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2F0F5B15-8214-4962-84C2-9566333B72E1}" xr6:coauthVersionLast="36" xr6:coauthVersionMax="36" xr10:uidLastSave="{00000000-0000-0000-0000-000000000000}"/>
  <bookViews>
    <workbookView xWindow="0" yWindow="0" windowWidth="19200" windowHeight="6640" activeTab="1" xr2:uid="{BB94B92A-C8EF-4BFC-A8C8-F3C66B3235F7}"/>
  </bookViews>
  <sheets>
    <sheet name="Curtailment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1" l="1"/>
  <c r="E5" i="1"/>
  <c r="D5" i="1" s="1"/>
  <c r="E4" i="1"/>
  <c r="D4" i="1" s="1"/>
  <c r="E3" i="1"/>
  <c r="D3" i="1" s="1"/>
  <c r="E2" i="1"/>
  <c r="D2" i="1" s="1"/>
</calcChain>
</file>

<file path=xl/sharedStrings.xml><?xml version="1.0" encoding="utf-8"?>
<sst xmlns="http://schemas.openxmlformats.org/spreadsheetml/2006/main" count="23" uniqueCount="21">
  <si>
    <t>2010 to 2019</t>
  </si>
  <si>
    <t>Period</t>
  </si>
  <si>
    <t>1452 to 1461</t>
  </si>
  <si>
    <t>1585 to 1594</t>
  </si>
  <si>
    <t>1998 to 2007</t>
  </si>
  <si>
    <t>To Lower Basin and Mexico</t>
  </si>
  <si>
    <t>To Upper Basin</t>
  </si>
  <si>
    <t xml:space="preserve"> Lee Ferry Natural Flow</t>
  </si>
  <si>
    <t>Source</t>
  </si>
  <si>
    <t>USBR (2021)</t>
  </si>
  <si>
    <t>Meko (2017)</t>
  </si>
  <si>
    <t>Grand Canyon Intervening Flow</t>
  </si>
  <si>
    <t>Lake Mead evaporation</t>
  </si>
  <si>
    <t>Mexico Treaty obligation</t>
  </si>
  <si>
    <t>Available water to Lower Basin</t>
  </si>
  <si>
    <t>Mohave / Havasu evaporation and &amp;ET</t>
  </si>
  <si>
    <t>021 (Nov forecast)</t>
  </si>
  <si>
    <t>Water Year</t>
  </si>
  <si>
    <t>Unregulated Inflow</t>
  </si>
  <si>
    <t>Release Volume</t>
  </si>
  <si>
    <t>https://gcdamp.com/index.php?title=Hydrology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</si>
</sst>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2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applyFont="1" applyFill="1" applyBorder="1"/>
    <xf numFmtId="2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20514-3706-4FB6-85B8-266E69D78861}">
  <dimension ref="A1:E12"/>
  <sheetViews>
    <sheetView topLeftCell="A2" zoomScale="160" zoomScaleNormal="160" workbookViewId="0">
      <selection activeCell="E13" sqref="E13"/>
    </sheetView>
  </sheetViews>
  <sheetFormatPr defaultRowHeight="14.5" x14ac:dyDescent="0.35"/>
  <cols>
    <col min="1" max="1" width="12.1796875" customWidth="1"/>
    <col min="2" max="2" width="11" customWidth="1"/>
    <col min="3" max="3" width="11.81640625" customWidth="1"/>
    <col min="4" max="4" width="8.90625" customWidth="1"/>
    <col min="5" max="5" width="13.6328125" customWidth="1"/>
    <col min="6" max="6" width="11.54296875" customWidth="1"/>
  </cols>
  <sheetData>
    <row r="1" spans="1:5" s="4" customFormat="1" ht="29" x14ac:dyDescent="0.35">
      <c r="A1" s="3" t="s">
        <v>1</v>
      </c>
      <c r="B1" s="3" t="s">
        <v>8</v>
      </c>
      <c r="C1" s="5" t="s">
        <v>7</v>
      </c>
      <c r="D1" s="5" t="s">
        <v>6</v>
      </c>
      <c r="E1" s="5" t="s">
        <v>5</v>
      </c>
    </row>
    <row r="2" spans="1:5" x14ac:dyDescent="0.35">
      <c r="A2" s="6" t="s">
        <v>0</v>
      </c>
      <c r="B2" s="6" t="s">
        <v>9</v>
      </c>
      <c r="C2" s="1">
        <v>13.4</v>
      </c>
      <c r="D2" s="1">
        <f>MAX(0,C2-E2)</f>
        <v>5.15</v>
      </c>
      <c r="E2" s="2">
        <f>IF(C2&gt;7.5+0.75,7.5+0.75,C2)</f>
        <v>8.25</v>
      </c>
    </row>
    <row r="3" spans="1:5" x14ac:dyDescent="0.35">
      <c r="A3" s="6" t="s">
        <v>4</v>
      </c>
      <c r="B3" s="6" t="s">
        <v>9</v>
      </c>
      <c r="C3" s="1">
        <v>12.3</v>
      </c>
      <c r="D3" s="1">
        <f>MAX(0,C3-E3)</f>
        <v>4.0500000000000007</v>
      </c>
      <c r="E3" s="2">
        <f>IF(C3&gt;7.5+0.75,7.5+0.75,C3)</f>
        <v>8.25</v>
      </c>
    </row>
    <row r="4" spans="1:5" x14ac:dyDescent="0.35">
      <c r="A4" s="6" t="s">
        <v>3</v>
      </c>
      <c r="B4" s="6" t="s">
        <v>10</v>
      </c>
      <c r="C4" s="1">
        <v>11.3</v>
      </c>
      <c r="D4" s="1">
        <f>MAX(0,C4-E4)</f>
        <v>3.0500000000000007</v>
      </c>
      <c r="E4" s="2">
        <f>IF(C4&gt;7.5+0.75,7.5+0.75,C4)</f>
        <v>8.25</v>
      </c>
    </row>
    <row r="5" spans="1:5" x14ac:dyDescent="0.35">
      <c r="A5" s="6" t="s">
        <v>2</v>
      </c>
      <c r="B5" s="6" t="s">
        <v>10</v>
      </c>
      <c r="C5" s="1">
        <v>9.8000000000000007</v>
      </c>
      <c r="D5" s="1">
        <f>MAX(0,C5-E5)</f>
        <v>1.5500000000000007</v>
      </c>
      <c r="E5" s="2">
        <f>IF(C5&gt;7.5+0.75,7.5+0.75,C5)</f>
        <v>8.25</v>
      </c>
    </row>
    <row r="8" spans="1:5" x14ac:dyDescent="0.35">
      <c r="A8" t="s">
        <v>11</v>
      </c>
      <c r="E8">
        <v>0.8</v>
      </c>
    </row>
    <row r="9" spans="1:5" x14ac:dyDescent="0.35">
      <c r="A9" t="s">
        <v>12</v>
      </c>
      <c r="E9">
        <v>0.5</v>
      </c>
    </row>
    <row r="10" spans="1:5" x14ac:dyDescent="0.35">
      <c r="A10" t="s">
        <v>13</v>
      </c>
      <c r="E10">
        <v>1.5</v>
      </c>
    </row>
    <row r="11" spans="1:5" x14ac:dyDescent="0.35">
      <c r="A11" t="s">
        <v>15</v>
      </c>
      <c r="E11">
        <v>0.6</v>
      </c>
    </row>
    <row r="12" spans="1:5" x14ac:dyDescent="0.35">
      <c r="A12" t="s">
        <v>14</v>
      </c>
      <c r="E12" s="7">
        <f>E5+E8-E9-E10-E11</f>
        <v>6.4500000000000011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FAB00-0168-4CAE-B73F-AB81DA5737F2}">
  <dimension ref="A1:F59"/>
  <sheetViews>
    <sheetView tabSelected="1" workbookViewId="0">
      <selection activeCell="F5" sqref="F5"/>
    </sheetView>
  </sheetViews>
  <sheetFormatPr defaultRowHeight="14.5" x14ac:dyDescent="0.35"/>
  <sheetData>
    <row r="1" spans="1:6" x14ac:dyDescent="0.35">
      <c r="A1" t="s">
        <v>17</v>
      </c>
      <c r="B1" t="s">
        <v>18</v>
      </c>
      <c r="C1" t="s">
        <v>19</v>
      </c>
      <c r="F1" t="s">
        <v>20</v>
      </c>
    </row>
    <row r="2" spans="1:6" ht="29" x14ac:dyDescent="0.35">
      <c r="A2" s="8" t="s">
        <v>16</v>
      </c>
      <c r="B2" s="8">
        <v>6.7910000000000004</v>
      </c>
      <c r="C2" s="8">
        <v>8.234</v>
      </c>
      <c r="D2" s="8"/>
    </row>
    <row r="3" spans="1:6" x14ac:dyDescent="0.35">
      <c r="A3" s="8">
        <v>2020</v>
      </c>
      <c r="B3" s="8">
        <v>5.8470000000000004</v>
      </c>
      <c r="C3" s="8">
        <v>8.23</v>
      </c>
      <c r="D3" s="8"/>
    </row>
    <row r="4" spans="1:6" x14ac:dyDescent="0.35">
      <c r="A4" s="8">
        <v>2019</v>
      </c>
      <c r="B4" s="8">
        <v>12.951000000000001</v>
      </c>
      <c r="C4" s="8">
        <v>9.0009999999999994</v>
      </c>
      <c r="D4" s="8"/>
    </row>
    <row r="5" spans="1:6" x14ac:dyDescent="0.35">
      <c r="A5" s="8">
        <v>2018</v>
      </c>
      <c r="B5" s="8">
        <v>4.6120000000000001</v>
      </c>
      <c r="C5" s="8">
        <v>9</v>
      </c>
      <c r="D5" s="8"/>
    </row>
    <row r="6" spans="1:6" x14ac:dyDescent="0.35">
      <c r="A6" s="8">
        <v>2017</v>
      </c>
      <c r="B6" s="8">
        <v>11.904999999999999</v>
      </c>
      <c r="C6" s="8">
        <v>9</v>
      </c>
      <c r="D6" s="8"/>
    </row>
    <row r="7" spans="1:6" x14ac:dyDescent="0.35">
      <c r="A7" s="8">
        <v>2016</v>
      </c>
      <c r="B7" s="8">
        <v>9.6159999999999997</v>
      </c>
      <c r="C7" s="8">
        <v>9</v>
      </c>
      <c r="D7" s="8"/>
    </row>
    <row r="8" spans="1:6" x14ac:dyDescent="0.35">
      <c r="A8" s="8">
        <v>2015</v>
      </c>
      <c r="B8" s="8">
        <v>10.173999999999999</v>
      </c>
      <c r="C8" s="8">
        <v>9</v>
      </c>
      <c r="D8" s="8"/>
    </row>
    <row r="9" spans="1:6" x14ac:dyDescent="0.35">
      <c r="A9" s="8">
        <v>2014</v>
      </c>
      <c r="B9" s="8">
        <v>10.381</v>
      </c>
      <c r="C9" s="8">
        <v>7.48</v>
      </c>
      <c r="D9" s="8"/>
    </row>
    <row r="10" spans="1:6" x14ac:dyDescent="0.35">
      <c r="A10" s="8">
        <v>2013</v>
      </c>
      <c r="B10" s="8">
        <v>5.117</v>
      </c>
      <c r="C10" s="8">
        <v>8.2319999999999993</v>
      </c>
      <c r="D10" s="8"/>
    </row>
    <row r="11" spans="1:6" x14ac:dyDescent="0.35">
      <c r="A11" s="8">
        <v>2012</v>
      </c>
      <c r="B11" s="8">
        <v>4.9080000000000004</v>
      </c>
      <c r="C11" s="8">
        <v>9.4659999999999993</v>
      </c>
      <c r="D11" s="8"/>
    </row>
    <row r="12" spans="1:6" x14ac:dyDescent="0.35">
      <c r="A12" s="8">
        <v>2011</v>
      </c>
      <c r="B12" s="8">
        <v>15.971</v>
      </c>
      <c r="C12" s="8">
        <v>12.518000000000001</v>
      </c>
      <c r="D12" s="8"/>
    </row>
    <row r="13" spans="1:6" x14ac:dyDescent="0.35">
      <c r="A13" s="8">
        <v>2010</v>
      </c>
      <c r="B13" s="8">
        <v>8.4260000000000002</v>
      </c>
      <c r="C13" s="8">
        <v>8.2349999999999994</v>
      </c>
      <c r="D13" s="8"/>
    </row>
    <row r="14" spans="1:6" x14ac:dyDescent="0.35">
      <c r="A14" s="8">
        <v>2009</v>
      </c>
      <c r="B14" s="8">
        <v>10.220000000000001</v>
      </c>
      <c r="C14" s="8">
        <v>8.2360000000000007</v>
      </c>
      <c r="D14" s="8"/>
    </row>
    <row r="15" spans="1:6" x14ac:dyDescent="0.35">
      <c r="A15" s="8">
        <v>2008</v>
      </c>
      <c r="B15" s="8">
        <v>12.086</v>
      </c>
      <c r="C15" s="8">
        <v>8.9779999999999998</v>
      </c>
      <c r="D15" s="8"/>
    </row>
    <row r="16" spans="1:6" x14ac:dyDescent="0.35">
      <c r="A16" s="8">
        <v>2007</v>
      </c>
      <c r="B16" s="8">
        <v>8.7539999999999996</v>
      </c>
      <c r="C16" s="8">
        <v>8.2309999999999999</v>
      </c>
      <c r="D16" s="8"/>
    </row>
    <row r="17" spans="1:4" x14ac:dyDescent="0.35">
      <c r="A17" s="8">
        <v>2006</v>
      </c>
      <c r="B17" s="8">
        <v>8.6259999999999994</v>
      </c>
      <c r="C17" s="8">
        <v>8.2279999999999998</v>
      </c>
      <c r="D17" s="8"/>
    </row>
    <row r="18" spans="1:4" x14ac:dyDescent="0.35">
      <c r="A18" s="8">
        <v>2005</v>
      </c>
      <c r="B18" s="8">
        <v>12.795</v>
      </c>
      <c r="C18" s="8">
        <v>8.2319999999999993</v>
      </c>
      <c r="D18" s="8"/>
    </row>
    <row r="19" spans="1:4" x14ac:dyDescent="0.35">
      <c r="A19" s="8">
        <v>2004</v>
      </c>
      <c r="B19" s="8">
        <v>5.9130000000000003</v>
      </c>
      <c r="C19" s="8">
        <v>8.2309999999999999</v>
      </c>
      <c r="D19" s="8"/>
    </row>
    <row r="20" spans="1:4" x14ac:dyDescent="0.35">
      <c r="A20" s="8">
        <v>2003</v>
      </c>
      <c r="B20" s="8">
        <v>6.1609999999999996</v>
      </c>
      <c r="C20" s="8">
        <v>8.2289999999999992</v>
      </c>
      <c r="D20" s="8"/>
    </row>
    <row r="21" spans="1:4" x14ac:dyDescent="0.35">
      <c r="A21" s="8">
        <v>2002</v>
      </c>
      <c r="B21" s="8">
        <v>2.6429999999999998</v>
      </c>
      <c r="C21" s="8">
        <v>8.23</v>
      </c>
      <c r="D21" s="8"/>
    </row>
    <row r="22" spans="1:4" x14ac:dyDescent="0.35">
      <c r="A22" s="8">
        <v>2001</v>
      </c>
      <c r="B22" s="8">
        <v>6.9939999999999998</v>
      </c>
      <c r="C22" s="8">
        <v>8.2360000000000007</v>
      </c>
      <c r="D22" s="8"/>
    </row>
    <row r="23" spans="1:4" x14ac:dyDescent="0.35">
      <c r="A23" s="8">
        <v>2000</v>
      </c>
      <c r="B23" s="8">
        <v>6.9359999999999999</v>
      </c>
      <c r="C23" s="8">
        <v>9.3810000000000002</v>
      </c>
      <c r="D23" s="8"/>
    </row>
    <row r="24" spans="1:4" x14ac:dyDescent="0.35">
      <c r="A24" s="8">
        <v>1999</v>
      </c>
      <c r="B24" s="8">
        <v>12.8</v>
      </c>
      <c r="C24" s="8">
        <v>11.204000000000001</v>
      </c>
      <c r="D24" s="8"/>
    </row>
    <row r="25" spans="1:4" x14ac:dyDescent="0.35">
      <c r="A25" s="8">
        <v>1998</v>
      </c>
      <c r="B25" s="8">
        <v>13.52</v>
      </c>
      <c r="C25" s="8">
        <v>13.51</v>
      </c>
      <c r="D25" s="8"/>
    </row>
    <row r="26" spans="1:4" x14ac:dyDescent="0.35">
      <c r="A26" s="8">
        <v>1997</v>
      </c>
      <c r="B26" s="8">
        <v>17.053000000000001</v>
      </c>
      <c r="C26" s="8">
        <v>13.824</v>
      </c>
      <c r="D26" s="8"/>
    </row>
    <row r="27" spans="1:4" x14ac:dyDescent="0.35">
      <c r="A27" s="8">
        <v>1996</v>
      </c>
      <c r="B27" s="8">
        <v>10.401999999999999</v>
      </c>
      <c r="C27" s="8">
        <v>11.522</v>
      </c>
      <c r="D27" s="8"/>
    </row>
    <row r="28" spans="1:4" x14ac:dyDescent="0.35">
      <c r="A28" s="8">
        <v>1995</v>
      </c>
      <c r="B28" s="8">
        <v>15.904999999999999</v>
      </c>
      <c r="C28" s="8">
        <v>9.2230000000000008</v>
      </c>
      <c r="D28" s="8"/>
    </row>
    <row r="29" spans="1:4" x14ac:dyDescent="0.35">
      <c r="A29" s="8">
        <v>1994</v>
      </c>
      <c r="B29" s="8">
        <v>6.7939999999999996</v>
      </c>
      <c r="C29" s="8">
        <v>8.2889999999999997</v>
      </c>
      <c r="D29" s="8"/>
    </row>
    <row r="30" spans="1:4" x14ac:dyDescent="0.35">
      <c r="A30" s="8">
        <v>1993</v>
      </c>
      <c r="B30" s="8">
        <v>14.436999999999999</v>
      </c>
      <c r="C30" s="8">
        <v>8.1020000000000003</v>
      </c>
      <c r="D30" s="8"/>
    </row>
    <row r="31" spans="1:4" x14ac:dyDescent="0.35">
      <c r="A31" s="8">
        <v>1992</v>
      </c>
      <c r="B31" s="8">
        <v>7.3520000000000003</v>
      </c>
      <c r="C31" s="8">
        <v>8.0020000000000007</v>
      </c>
      <c r="D31" s="8"/>
    </row>
    <row r="32" spans="1:4" x14ac:dyDescent="0.35">
      <c r="A32" s="8">
        <v>1991</v>
      </c>
      <c r="B32" s="8">
        <v>8.8010000000000002</v>
      </c>
      <c r="C32" s="8">
        <v>8.1210000000000004</v>
      </c>
      <c r="D32" s="8"/>
    </row>
    <row r="33" spans="1:4" x14ac:dyDescent="0.35">
      <c r="A33" s="8">
        <v>1990</v>
      </c>
      <c r="B33" s="8">
        <v>5.3109999999999999</v>
      </c>
      <c r="C33" s="8">
        <v>8.14</v>
      </c>
      <c r="D33" s="8"/>
    </row>
    <row r="34" spans="1:4" x14ac:dyDescent="0.35">
      <c r="A34" s="8">
        <v>1989</v>
      </c>
      <c r="B34" s="8">
        <v>5.9390000000000001</v>
      </c>
      <c r="C34" s="8">
        <v>7.9809999999999999</v>
      </c>
      <c r="D34" s="8"/>
    </row>
    <row r="35" spans="1:4" x14ac:dyDescent="0.35">
      <c r="A35" s="8">
        <v>1988</v>
      </c>
      <c r="B35" s="8">
        <v>7.9889999999999999</v>
      </c>
      <c r="C35" s="8">
        <v>8.1440000000000001</v>
      </c>
      <c r="D35" s="8"/>
    </row>
    <row r="36" spans="1:4" x14ac:dyDescent="0.35">
      <c r="A36" s="8">
        <v>1987</v>
      </c>
      <c r="B36" s="8">
        <v>13.377000000000001</v>
      </c>
      <c r="C36" s="8">
        <v>13.429</v>
      </c>
      <c r="D36" s="8"/>
    </row>
    <row r="37" spans="1:4" x14ac:dyDescent="0.35">
      <c r="A37" s="8">
        <v>1986</v>
      </c>
      <c r="B37" s="8">
        <v>18.545999999999999</v>
      </c>
      <c r="C37" s="8">
        <v>16.847999999999999</v>
      </c>
      <c r="D37" s="8"/>
    </row>
    <row r="38" spans="1:4" x14ac:dyDescent="0.35">
      <c r="A38" s="8">
        <v>1985</v>
      </c>
      <c r="B38" s="8">
        <v>17.516999999999999</v>
      </c>
      <c r="C38" s="8">
        <v>19.094000000000001</v>
      </c>
      <c r="D38" s="8"/>
    </row>
    <row r="39" spans="1:4" x14ac:dyDescent="0.35">
      <c r="A39" s="8">
        <v>1984</v>
      </c>
      <c r="B39" s="8">
        <v>20.846</v>
      </c>
      <c r="C39" s="8">
        <v>20.498999999999999</v>
      </c>
      <c r="D39" s="8"/>
    </row>
    <row r="40" spans="1:4" x14ac:dyDescent="0.35">
      <c r="A40" s="8">
        <v>1983</v>
      </c>
      <c r="B40" s="8">
        <v>20.370999999999999</v>
      </c>
      <c r="C40" s="8">
        <v>17.492999999999999</v>
      </c>
      <c r="D40" s="8"/>
    </row>
    <row r="41" spans="1:4" x14ac:dyDescent="0.35">
      <c r="A41" s="8">
        <v>1982</v>
      </c>
      <c r="B41" s="8">
        <v>12.771000000000001</v>
      </c>
      <c r="C41" s="8">
        <v>8.3040000000000003</v>
      </c>
      <c r="D41" s="8"/>
    </row>
    <row r="42" spans="1:4" x14ac:dyDescent="0.35">
      <c r="A42" s="8">
        <v>1981</v>
      </c>
      <c r="B42" s="8">
        <v>5.6390000000000002</v>
      </c>
      <c r="C42" s="8">
        <v>8.2949999999999999</v>
      </c>
      <c r="D42" s="8"/>
    </row>
    <row r="43" spans="1:4" x14ac:dyDescent="0.35">
      <c r="A43" s="8">
        <v>1980</v>
      </c>
      <c r="B43" s="8">
        <v>13.682</v>
      </c>
      <c r="C43" s="8">
        <v>10.907</v>
      </c>
      <c r="D43" s="8"/>
    </row>
    <row r="44" spans="1:4" x14ac:dyDescent="0.35">
      <c r="A44" s="8">
        <v>1979</v>
      </c>
      <c r="B44" s="8">
        <v>14.189</v>
      </c>
      <c r="C44" s="8">
        <v>8.2970000000000006</v>
      </c>
      <c r="D44" s="8"/>
    </row>
    <row r="45" spans="1:4" x14ac:dyDescent="0.35">
      <c r="A45" s="8">
        <v>1978</v>
      </c>
      <c r="B45" s="8">
        <v>11.058999999999999</v>
      </c>
      <c r="C45" s="8">
        <v>8.3539999999999992</v>
      </c>
      <c r="D45" s="8"/>
    </row>
    <row r="46" spans="1:4" x14ac:dyDescent="0.35">
      <c r="A46" s="8">
        <v>1977</v>
      </c>
      <c r="B46" s="8">
        <v>3.5289999999999999</v>
      </c>
      <c r="C46" s="8">
        <v>8.26</v>
      </c>
      <c r="D46" s="8"/>
    </row>
    <row r="47" spans="1:4" x14ac:dyDescent="0.35">
      <c r="A47" s="8">
        <v>1976</v>
      </c>
      <c r="B47" s="8">
        <v>8.4309999999999992</v>
      </c>
      <c r="C47" s="8">
        <v>8.4819999999999993</v>
      </c>
      <c r="D47" s="8"/>
    </row>
    <row r="48" spans="1:4" x14ac:dyDescent="0.35">
      <c r="A48" s="8">
        <v>1975</v>
      </c>
      <c r="B48" s="8">
        <v>13.095000000000001</v>
      </c>
      <c r="C48" s="8">
        <v>9.2550000000000008</v>
      </c>
      <c r="D48" s="8"/>
    </row>
    <row r="49" spans="1:4" x14ac:dyDescent="0.35">
      <c r="A49" s="8">
        <v>1974</v>
      </c>
      <c r="B49" s="8">
        <v>9.9700000000000006</v>
      </c>
      <c r="C49" s="8">
        <v>8.266</v>
      </c>
      <c r="D49" s="8"/>
    </row>
    <row r="50" spans="1:4" x14ac:dyDescent="0.35">
      <c r="A50" s="8">
        <v>1973</v>
      </c>
      <c r="B50" s="8">
        <v>15.974</v>
      </c>
      <c r="C50" s="8">
        <v>10.108000000000001</v>
      </c>
      <c r="D50" s="8"/>
    </row>
    <row r="51" spans="1:4" x14ac:dyDescent="0.35">
      <c r="A51" s="8">
        <v>1972</v>
      </c>
      <c r="B51" s="8">
        <v>9.3290000000000006</v>
      </c>
      <c r="C51" s="8">
        <v>9.3109999999999999</v>
      </c>
      <c r="D51" s="8"/>
    </row>
    <row r="52" spans="1:4" x14ac:dyDescent="0.35">
      <c r="A52" s="8">
        <v>1971</v>
      </c>
      <c r="B52" s="8">
        <v>11.798</v>
      </c>
      <c r="C52" s="8">
        <v>8.5909999999999993</v>
      </c>
      <c r="D52" s="8"/>
    </row>
    <row r="53" spans="1:4" x14ac:dyDescent="0.35">
      <c r="A53" s="8">
        <v>1970</v>
      </c>
      <c r="B53" s="8">
        <v>11.992000000000001</v>
      </c>
      <c r="C53" s="8">
        <v>8.6920000000000002</v>
      </c>
      <c r="D53" s="8"/>
    </row>
    <row r="54" spans="1:4" x14ac:dyDescent="0.35">
      <c r="A54" s="8">
        <v>1969</v>
      </c>
      <c r="B54" s="8">
        <v>11.52</v>
      </c>
      <c r="C54" s="8">
        <v>8.8230000000000004</v>
      </c>
      <c r="D54" s="8"/>
    </row>
    <row r="55" spans="1:4" x14ac:dyDescent="0.35">
      <c r="A55" s="8">
        <v>1968</v>
      </c>
      <c r="B55" s="8">
        <v>10.319000000000001</v>
      </c>
      <c r="C55" s="8">
        <v>8.3339999999999996</v>
      </c>
      <c r="D55" s="8"/>
    </row>
    <row r="56" spans="1:4" x14ac:dyDescent="0.35">
      <c r="A56" s="8">
        <v>1967</v>
      </c>
      <c r="B56" s="8">
        <v>8.9789999999999992</v>
      </c>
      <c r="C56" s="8">
        <v>7.7969999999999997</v>
      </c>
      <c r="D56" s="8"/>
    </row>
    <row r="57" spans="1:4" x14ac:dyDescent="0.35">
      <c r="A57" s="8">
        <v>1966</v>
      </c>
      <c r="B57" s="8">
        <v>8.6890000000000001</v>
      </c>
      <c r="C57" s="8">
        <v>7.8540000000000001</v>
      </c>
      <c r="D57" s="8"/>
    </row>
    <row r="58" spans="1:4" x14ac:dyDescent="0.35">
      <c r="A58" s="8">
        <v>1965</v>
      </c>
      <c r="B58" s="8">
        <v>15.045999999999999</v>
      </c>
      <c r="C58" s="8">
        <v>10.82</v>
      </c>
      <c r="D58" s="8"/>
    </row>
    <row r="59" spans="1:4" x14ac:dyDescent="0.35">
      <c r="A59" s="8">
        <v>1964</v>
      </c>
      <c r="B59" s="8">
        <v>7.492</v>
      </c>
      <c r="C59" s="8">
        <v>2.4129999999999998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Curtailment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david</cp:lastModifiedBy>
  <dcterms:created xsi:type="dcterms:W3CDTF">2021-05-04T03:23:23Z</dcterms:created>
  <dcterms:modified xsi:type="dcterms:W3CDTF">2021-05-04T04:53:49Z</dcterms:modified>
</cp:coreProperties>
</file>