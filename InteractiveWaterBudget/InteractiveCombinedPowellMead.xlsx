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E00F28F4-7F28-4D22-A0D3-77F0169D46B1}" xr6:coauthVersionLast="36" xr6:coauthVersionMax="36" xr10:uidLastSave="{00000000-0000-0000-0000-000000000000}"/>
  <bookViews>
    <workbookView xWindow="0" yWindow="0" windowWidth="19200" windowHeight="6640" activeTab="1" xr2:uid="{5373AB19-D84C-490D-97DC-C516D358024A}"/>
  </bookViews>
  <sheets>
    <sheet name="ReadMe-Directions" sheetId="6" r:id="rId1"/>
    <sheet name="Versions" sheetId="31" r:id="rId2"/>
    <sheet name="11.0-TradeReserveUser" sheetId="33" r:id="rId3"/>
    <sheet name="Master" sheetId="24" r:id="rId4"/>
    <sheet name="11.0-Trade" sheetId="27" r:id="rId5"/>
    <sheet name="11.0-TradeReserve" sheetId="30" r:id="rId6"/>
    <sheet name="11.0-LawOfRiver" sheetId="26" r:id="rId7"/>
    <sheet name="11.0-Plots" sheetId="19" r:id="rId8"/>
    <sheet name="MillenniumRecover-Trade" sheetId="29" r:id="rId9"/>
    <sheet name="MillenniumRecover-LawOfRiver" sheetId="25" r:id="rId10"/>
    <sheet name="Millennium-Plots" sheetId="28" r:id="rId11"/>
    <sheet name="MillenniumRecover-Delta" sheetId="21" r:id="rId12"/>
    <sheet name="HydrologicScenarios" sheetId="7" r:id="rId13"/>
    <sheet name="Powell-Elevation-Area" sheetId="2" r:id="rId14"/>
    <sheet name="Mead-Elevation-Area" sheetId="10" r:id="rId15"/>
    <sheet name="11.0-LawOfRiverShort" sheetId="16" r:id="rId1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49" i="33" l="1"/>
  <c r="H46" i="33"/>
  <c r="I46" i="33"/>
  <c r="J46" i="33"/>
  <c r="K46" i="33"/>
  <c r="L46" i="33"/>
  <c r="C46" i="33"/>
  <c r="H29" i="33"/>
  <c r="I29" i="33"/>
  <c r="J29" i="33"/>
  <c r="K29" i="33"/>
  <c r="L29" i="33"/>
  <c r="H30" i="33"/>
  <c r="I30" i="33"/>
  <c r="J30" i="33"/>
  <c r="K30" i="33"/>
  <c r="L30" i="33"/>
  <c r="H31" i="33"/>
  <c r="I31" i="33"/>
  <c r="J31" i="33"/>
  <c r="K31" i="33"/>
  <c r="L31" i="33"/>
  <c r="H32" i="33"/>
  <c r="I32" i="33"/>
  <c r="J32" i="33"/>
  <c r="K32" i="33"/>
  <c r="L32" i="33"/>
  <c r="H33" i="33"/>
  <c r="I33" i="33"/>
  <c r="J33" i="33"/>
  <c r="K33" i="33"/>
  <c r="L33" i="33"/>
  <c r="H34" i="33"/>
  <c r="I34" i="33"/>
  <c r="J34" i="33"/>
  <c r="K34" i="33"/>
  <c r="L34" i="33"/>
  <c r="D35" i="33"/>
  <c r="E35" i="33"/>
  <c r="F35" i="33"/>
  <c r="G35" i="33"/>
  <c r="H35" i="33"/>
  <c r="I35" i="33"/>
  <c r="J35" i="33"/>
  <c r="K35" i="33"/>
  <c r="L35" i="33"/>
  <c r="H47" i="33"/>
  <c r="I47" i="33"/>
  <c r="J47" i="33"/>
  <c r="K47" i="33"/>
  <c r="L47" i="33"/>
  <c r="L50" i="33"/>
  <c r="V65" i="33"/>
  <c r="W65" i="33"/>
  <c r="Y65" i="33"/>
  <c r="Z65" i="33"/>
  <c r="A49" i="33"/>
  <c r="J49" i="33" s="1"/>
  <c r="A50" i="33"/>
  <c r="J50" i="33" s="1"/>
  <c r="A51" i="33"/>
  <c r="H51" i="33" s="1"/>
  <c r="A52" i="33"/>
  <c r="H52" i="33" s="1"/>
  <c r="A53" i="33"/>
  <c r="C53" i="33" s="1"/>
  <c r="A48" i="33"/>
  <c r="H48" i="33" s="1"/>
  <c r="H112" i="33"/>
  <c r="I112" i="33"/>
  <c r="J112" i="33"/>
  <c r="K112" i="33"/>
  <c r="L112" i="33"/>
  <c r="A56" i="33"/>
  <c r="A57" i="33" s="1"/>
  <c r="N57" i="33" s="1"/>
  <c r="A64" i="33"/>
  <c r="A65" i="33" s="1"/>
  <c r="A72" i="33"/>
  <c r="A73" i="33" s="1"/>
  <c r="A80" i="33"/>
  <c r="A81" i="33" s="1"/>
  <c r="A88" i="33"/>
  <c r="A89" i="33" s="1"/>
  <c r="A96" i="33"/>
  <c r="A97" i="33" s="1"/>
  <c r="M98" i="33"/>
  <c r="M97" i="33"/>
  <c r="M90" i="33"/>
  <c r="M89" i="33"/>
  <c r="M82" i="33"/>
  <c r="M81" i="33"/>
  <c r="M74" i="33"/>
  <c r="M73" i="33"/>
  <c r="M66" i="33"/>
  <c r="M65" i="33"/>
  <c r="M57" i="33"/>
  <c r="M58" i="33"/>
  <c r="L131" i="33"/>
  <c r="K131" i="33"/>
  <c r="J131" i="33"/>
  <c r="I131" i="33"/>
  <c r="H131" i="33"/>
  <c r="L130" i="33"/>
  <c r="K130" i="33"/>
  <c r="J130" i="33"/>
  <c r="I130" i="33"/>
  <c r="H130" i="33"/>
  <c r="C130" i="33"/>
  <c r="L128" i="33"/>
  <c r="K128" i="33"/>
  <c r="J128" i="33"/>
  <c r="I128" i="33"/>
  <c r="H128" i="33"/>
  <c r="L127" i="33"/>
  <c r="K127" i="33"/>
  <c r="J127" i="33"/>
  <c r="I127" i="33"/>
  <c r="H127" i="33"/>
  <c r="A126" i="33"/>
  <c r="K126" i="33" s="1"/>
  <c r="A125" i="33"/>
  <c r="L125" i="33" s="1"/>
  <c r="A124" i="33"/>
  <c r="I124" i="33" s="1"/>
  <c r="X73" i="33"/>
  <c r="U73" i="33" s="1"/>
  <c r="A123" i="33"/>
  <c r="H123" i="33" s="1"/>
  <c r="X72" i="33"/>
  <c r="U72" i="33" s="1"/>
  <c r="A122" i="33"/>
  <c r="K122" i="33" s="1"/>
  <c r="X71" i="33"/>
  <c r="U71" i="33" s="1"/>
  <c r="A121" i="33"/>
  <c r="H121" i="33" s="1"/>
  <c r="X70" i="33"/>
  <c r="U70" i="33" s="1"/>
  <c r="X69" i="33"/>
  <c r="U69" i="33" s="1"/>
  <c r="A119" i="33"/>
  <c r="H119" i="33" s="1"/>
  <c r="X68" i="33"/>
  <c r="U68" i="33" s="1"/>
  <c r="A118" i="33"/>
  <c r="I118" i="33" s="1"/>
  <c r="X67" i="33"/>
  <c r="U67" i="33" s="1"/>
  <c r="A117" i="33"/>
  <c r="J117" i="33" s="1"/>
  <c r="X66" i="33"/>
  <c r="U66" i="33" s="1"/>
  <c r="U65" i="33" s="1"/>
  <c r="A116" i="33"/>
  <c r="K116" i="33" s="1"/>
  <c r="A115" i="33"/>
  <c r="L115" i="33" s="1"/>
  <c r="A114" i="33"/>
  <c r="C114" i="33" s="1"/>
  <c r="A111" i="33"/>
  <c r="K111" i="33" s="1"/>
  <c r="A110" i="33"/>
  <c r="L110" i="33" s="1"/>
  <c r="A109" i="33"/>
  <c r="N109" i="33" s="1"/>
  <c r="A108" i="33"/>
  <c r="H108" i="33" s="1"/>
  <c r="A107" i="33"/>
  <c r="H107" i="33" s="1"/>
  <c r="A106" i="33"/>
  <c r="H106" i="33" s="1"/>
  <c r="A45" i="33"/>
  <c r="J45" i="33" s="1"/>
  <c r="A44" i="33"/>
  <c r="J44" i="33" s="1"/>
  <c r="A43" i="33"/>
  <c r="K43" i="33" s="1"/>
  <c r="A42" i="33"/>
  <c r="J42" i="33" s="1"/>
  <c r="A41" i="33"/>
  <c r="K41" i="33" s="1"/>
  <c r="A40" i="33"/>
  <c r="L39" i="33"/>
  <c r="K39" i="33"/>
  <c r="J39" i="33"/>
  <c r="I39" i="33"/>
  <c r="H39" i="33"/>
  <c r="C38" i="33"/>
  <c r="B38" i="33"/>
  <c r="L37" i="33"/>
  <c r="K37" i="33"/>
  <c r="J37" i="33"/>
  <c r="I37" i="33"/>
  <c r="H37" i="33"/>
  <c r="C37" i="33"/>
  <c r="A35" i="33"/>
  <c r="A34" i="33"/>
  <c r="A33" i="33"/>
  <c r="A32" i="33"/>
  <c r="A31" i="33"/>
  <c r="A30" i="33"/>
  <c r="C29" i="33"/>
  <c r="L28" i="33"/>
  <c r="L38" i="33" s="1"/>
  <c r="K28" i="33"/>
  <c r="K38" i="33" s="1"/>
  <c r="J28" i="33"/>
  <c r="J38" i="33" s="1"/>
  <c r="I28" i="33"/>
  <c r="I38" i="33" s="1"/>
  <c r="H28" i="33"/>
  <c r="H38" i="33" s="1"/>
  <c r="D28" i="33"/>
  <c r="D47" i="33" s="1"/>
  <c r="C28" i="33"/>
  <c r="C47" i="33" s="1"/>
  <c r="D27" i="33"/>
  <c r="D115" i="33" s="1"/>
  <c r="C24" i="33"/>
  <c r="B31" i="33" s="1"/>
  <c r="B24" i="33"/>
  <c r="C39" i="33" l="1"/>
  <c r="L53" i="33"/>
  <c r="I53" i="33"/>
  <c r="I110" i="33"/>
  <c r="D53" i="33"/>
  <c r="L49" i="33"/>
  <c r="H118" i="33"/>
  <c r="J52" i="33"/>
  <c r="L48" i="33"/>
  <c r="J114" i="33"/>
  <c r="L51" i="33"/>
  <c r="J51" i="33"/>
  <c r="H111" i="33"/>
  <c r="K125" i="33"/>
  <c r="I50" i="33"/>
  <c r="K110" i="33"/>
  <c r="I117" i="33"/>
  <c r="I125" i="33"/>
  <c r="K51" i="33"/>
  <c r="H50" i="33"/>
  <c r="K49" i="33"/>
  <c r="J116" i="33"/>
  <c r="K123" i="33"/>
  <c r="L109" i="33"/>
  <c r="H116" i="33"/>
  <c r="J122" i="33"/>
  <c r="K53" i="33"/>
  <c r="L52" i="33"/>
  <c r="I51" i="33"/>
  <c r="K48" i="33"/>
  <c r="I49" i="33"/>
  <c r="N106" i="33"/>
  <c r="M111" i="33"/>
  <c r="J109" i="33"/>
  <c r="L114" i="33"/>
  <c r="H122" i="33"/>
  <c r="J53" i="33"/>
  <c r="K52" i="33"/>
  <c r="J48" i="33"/>
  <c r="H49" i="33"/>
  <c r="I48" i="33"/>
  <c r="D109" i="33"/>
  <c r="C110" i="33"/>
  <c r="K108" i="33"/>
  <c r="D114" i="33"/>
  <c r="H53" i="33"/>
  <c r="I52" i="33"/>
  <c r="K50" i="33"/>
  <c r="C106" i="33"/>
  <c r="J111" i="33"/>
  <c r="C117" i="33"/>
  <c r="J126" i="33"/>
  <c r="X65" i="33"/>
  <c r="B34" i="33"/>
  <c r="C111" i="33"/>
  <c r="I111" i="33"/>
  <c r="J110" i="33"/>
  <c r="K109" i="33"/>
  <c r="L108" i="33"/>
  <c r="D108" i="33"/>
  <c r="C116" i="33"/>
  <c r="H117" i="33"/>
  <c r="I116" i="33"/>
  <c r="J115" i="33"/>
  <c r="K114" i="33"/>
  <c r="I126" i="33"/>
  <c r="J125" i="33"/>
  <c r="L123" i="33"/>
  <c r="I122" i="33"/>
  <c r="D107" i="33"/>
  <c r="C126" i="33"/>
  <c r="H126" i="33"/>
  <c r="H124" i="33"/>
  <c r="N107" i="33"/>
  <c r="C109" i="33"/>
  <c r="H110" i="33"/>
  <c r="I109" i="33"/>
  <c r="J108" i="33"/>
  <c r="K107" i="33"/>
  <c r="L106" i="33"/>
  <c r="D106" i="33"/>
  <c r="L119" i="33"/>
  <c r="D119" i="33"/>
  <c r="H115" i="33"/>
  <c r="I114" i="33"/>
  <c r="H125" i="33"/>
  <c r="J123" i="33"/>
  <c r="L121" i="33"/>
  <c r="L107" i="33"/>
  <c r="I115" i="33"/>
  <c r="N108" i="33"/>
  <c r="C108" i="33"/>
  <c r="H109" i="33"/>
  <c r="I108" i="33"/>
  <c r="J107" i="33"/>
  <c r="K106" i="33"/>
  <c r="K119" i="33"/>
  <c r="L118" i="33"/>
  <c r="D118" i="33"/>
  <c r="H114" i="33"/>
  <c r="L124" i="33"/>
  <c r="I123" i="33"/>
  <c r="K121" i="33"/>
  <c r="C115" i="33"/>
  <c r="C131" i="33" s="1"/>
  <c r="C107" i="33"/>
  <c r="I107" i="33"/>
  <c r="J106" i="33"/>
  <c r="J119" i="33"/>
  <c r="K118" i="33"/>
  <c r="L117" i="33"/>
  <c r="D117" i="33"/>
  <c r="K124" i="33"/>
  <c r="J121" i="33"/>
  <c r="K115" i="33"/>
  <c r="N110" i="33"/>
  <c r="L111" i="33"/>
  <c r="D111" i="33"/>
  <c r="I106" i="33"/>
  <c r="C119" i="33"/>
  <c r="I119" i="33"/>
  <c r="J118" i="33"/>
  <c r="K117" i="33"/>
  <c r="L116" i="33"/>
  <c r="D116" i="33"/>
  <c r="L126" i="33"/>
  <c r="D126" i="33"/>
  <c r="J124" i="33"/>
  <c r="L122" i="33"/>
  <c r="I121" i="33"/>
  <c r="N111" i="33"/>
  <c r="D110" i="33"/>
  <c r="C118" i="33"/>
  <c r="A58" i="33"/>
  <c r="A59" i="33" s="1"/>
  <c r="N65" i="33"/>
  <c r="N73" i="33" s="1"/>
  <c r="N81" i="33" s="1"/>
  <c r="N89" i="33" s="1"/>
  <c r="A66" i="33"/>
  <c r="A68" i="33" s="1"/>
  <c r="A98" i="33"/>
  <c r="N97" i="33"/>
  <c r="A90" i="33"/>
  <c r="A82" i="33"/>
  <c r="A74" i="33"/>
  <c r="K44" i="33"/>
  <c r="L45" i="33"/>
  <c r="C45" i="33"/>
  <c r="C32" i="33"/>
  <c r="C42" i="33" s="1"/>
  <c r="H42" i="33"/>
  <c r="H45" i="33"/>
  <c r="I42" i="33"/>
  <c r="K45" i="33"/>
  <c r="I44" i="33"/>
  <c r="C33" i="33"/>
  <c r="C35" i="33"/>
  <c r="K42" i="33"/>
  <c r="I43" i="33"/>
  <c r="L43" i="33"/>
  <c r="C34" i="33"/>
  <c r="C44" i="33" s="1"/>
  <c r="C52" i="33" s="1"/>
  <c r="C51" i="33" s="1"/>
  <c r="L42" i="33"/>
  <c r="L40" i="33"/>
  <c r="K40" i="33"/>
  <c r="I40" i="33"/>
  <c r="H40" i="33"/>
  <c r="J40" i="33"/>
  <c r="C31" i="33"/>
  <c r="J41" i="33"/>
  <c r="L44" i="33"/>
  <c r="I45" i="33"/>
  <c r="B30" i="33"/>
  <c r="L41" i="33"/>
  <c r="H43" i="33"/>
  <c r="H41" i="33"/>
  <c r="J43" i="33"/>
  <c r="D45" i="33"/>
  <c r="I41" i="33"/>
  <c r="H44" i="33"/>
  <c r="D130" i="33"/>
  <c r="D131" i="33" s="1"/>
  <c r="E27" i="33"/>
  <c r="B29" i="21"/>
  <c r="B29" i="25"/>
  <c r="B29" i="29"/>
  <c r="B29" i="26"/>
  <c r="B31" i="30"/>
  <c r="B30" i="30"/>
  <c r="C24" i="30"/>
  <c r="B34" i="30" s="1"/>
  <c r="B24" i="30"/>
  <c r="B29" i="27"/>
  <c r="B30" i="24"/>
  <c r="B29" i="24" s="1"/>
  <c r="B29" i="33" l="1"/>
  <c r="L68" i="33"/>
  <c r="K68" i="33"/>
  <c r="H68" i="33"/>
  <c r="J68" i="33"/>
  <c r="I68" i="33"/>
  <c r="C50" i="33"/>
  <c r="C49" i="33" s="1"/>
  <c r="C48" i="33" s="1"/>
  <c r="E53" i="33"/>
  <c r="D112" i="33"/>
  <c r="E114" i="33"/>
  <c r="E109" i="33"/>
  <c r="E115" i="33"/>
  <c r="E131" i="33" s="1"/>
  <c r="E110" i="33"/>
  <c r="E126" i="33"/>
  <c r="E116" i="33"/>
  <c r="E111" i="33"/>
  <c r="E117" i="33"/>
  <c r="E118" i="33"/>
  <c r="E106" i="33"/>
  <c r="E108" i="33"/>
  <c r="E119" i="33"/>
  <c r="E107" i="33"/>
  <c r="C112" i="33"/>
  <c r="N58" i="33"/>
  <c r="N66" i="33" s="1"/>
  <c r="N74" i="33" s="1"/>
  <c r="N82" i="33" s="1"/>
  <c r="N90" i="33" s="1"/>
  <c r="A60" i="33"/>
  <c r="A67" i="33"/>
  <c r="A100" i="33"/>
  <c r="A99" i="33"/>
  <c r="N98" i="33"/>
  <c r="A92" i="33"/>
  <c r="A91" i="33"/>
  <c r="C43" i="33"/>
  <c r="A84" i="33"/>
  <c r="A83" i="33"/>
  <c r="A76" i="33"/>
  <c r="A75" i="33"/>
  <c r="A69" i="33"/>
  <c r="E130" i="33"/>
  <c r="E45" i="33"/>
  <c r="E28" i="33"/>
  <c r="E47" i="33" s="1"/>
  <c r="F27" i="33"/>
  <c r="C41" i="33"/>
  <c r="C30" i="33"/>
  <c r="G79" i="30"/>
  <c r="B49" i="30"/>
  <c r="L95" i="30"/>
  <c r="K95" i="30"/>
  <c r="J95" i="30"/>
  <c r="I95" i="30"/>
  <c r="H95" i="30"/>
  <c r="L94" i="30"/>
  <c r="K94" i="30"/>
  <c r="J94" i="30"/>
  <c r="I94" i="30"/>
  <c r="H94" i="30"/>
  <c r="C94" i="30"/>
  <c r="L92" i="30"/>
  <c r="K92" i="30"/>
  <c r="J92" i="30"/>
  <c r="I92" i="30"/>
  <c r="H92" i="30"/>
  <c r="L91" i="30"/>
  <c r="K91" i="30"/>
  <c r="J91" i="30"/>
  <c r="I91" i="30"/>
  <c r="H91" i="30"/>
  <c r="A90" i="30"/>
  <c r="K90" i="30" s="1"/>
  <c r="H89" i="30"/>
  <c r="A89" i="30"/>
  <c r="L89" i="30" s="1"/>
  <c r="K88" i="30"/>
  <c r="A88" i="30"/>
  <c r="J88" i="30" s="1"/>
  <c r="S87" i="30"/>
  <c r="P87" i="30" s="1"/>
  <c r="H87" i="30"/>
  <c r="A87" i="30"/>
  <c r="L87" i="30" s="1"/>
  <c r="S86" i="30"/>
  <c r="P86" i="30"/>
  <c r="L86" i="30"/>
  <c r="H86" i="30"/>
  <c r="A86" i="30"/>
  <c r="K86" i="30" s="1"/>
  <c r="S85" i="30"/>
  <c r="P85" i="30"/>
  <c r="A85" i="30"/>
  <c r="I85" i="30" s="1"/>
  <c r="S84" i="30"/>
  <c r="P84" i="30" s="1"/>
  <c r="S83" i="30"/>
  <c r="P83" i="30" s="1"/>
  <c r="A83" i="30"/>
  <c r="S82" i="30"/>
  <c r="P82" i="30" s="1"/>
  <c r="A82" i="30"/>
  <c r="S81" i="30"/>
  <c r="P81" i="30"/>
  <c r="A81" i="30"/>
  <c r="S80" i="30"/>
  <c r="P80" i="30"/>
  <c r="A80" i="30"/>
  <c r="A79" i="30"/>
  <c r="A78" i="30"/>
  <c r="A76" i="30"/>
  <c r="I76" i="30" s="1"/>
  <c r="A75" i="30"/>
  <c r="K75" i="30" s="1"/>
  <c r="K82" i="30" s="1"/>
  <c r="K74" i="30"/>
  <c r="H74" i="30"/>
  <c r="A74" i="30"/>
  <c r="L74" i="30" s="1"/>
  <c r="K73" i="30"/>
  <c r="A73" i="30"/>
  <c r="J73" i="30" s="1"/>
  <c r="A72" i="30"/>
  <c r="J72" i="30" s="1"/>
  <c r="L71" i="30"/>
  <c r="K71" i="30"/>
  <c r="I71" i="30"/>
  <c r="H71" i="30"/>
  <c r="A71" i="30"/>
  <c r="J71" i="30" s="1"/>
  <c r="L68" i="30"/>
  <c r="K68" i="30"/>
  <c r="J68" i="30"/>
  <c r="I68" i="30"/>
  <c r="H68" i="30"/>
  <c r="M67" i="30"/>
  <c r="A67" i="30"/>
  <c r="M66" i="30"/>
  <c r="A66" i="30"/>
  <c r="M65" i="30"/>
  <c r="A65" i="30"/>
  <c r="M64" i="30"/>
  <c r="A64" i="30"/>
  <c r="E63" i="30"/>
  <c r="D63" i="30"/>
  <c r="M63" i="30" s="1"/>
  <c r="C63" i="30"/>
  <c r="C68" i="30" s="1"/>
  <c r="A63" i="30"/>
  <c r="M62" i="30"/>
  <c r="A62" i="30"/>
  <c r="K60" i="30"/>
  <c r="A60" i="30"/>
  <c r="J60" i="30" s="1"/>
  <c r="A59" i="30"/>
  <c r="L59" i="30" s="1"/>
  <c r="L58" i="30"/>
  <c r="I58" i="30"/>
  <c r="A58" i="30"/>
  <c r="J58" i="30" s="1"/>
  <c r="A57" i="30"/>
  <c r="K57" i="30" s="1"/>
  <c r="A56" i="30"/>
  <c r="L55" i="30"/>
  <c r="K55" i="30"/>
  <c r="I55" i="30"/>
  <c r="H55" i="30"/>
  <c r="C55" i="30"/>
  <c r="A55" i="30"/>
  <c r="J55" i="30" s="1"/>
  <c r="L53" i="30"/>
  <c r="H53" i="30"/>
  <c r="A53" i="30"/>
  <c r="K53" i="30" s="1"/>
  <c r="A52" i="30"/>
  <c r="J52" i="30" s="1"/>
  <c r="A51" i="30"/>
  <c r="L51" i="30" s="1"/>
  <c r="A50" i="30"/>
  <c r="A49" i="30"/>
  <c r="K49" i="30" s="1"/>
  <c r="L48" i="30"/>
  <c r="K48" i="30"/>
  <c r="J48" i="30"/>
  <c r="I48" i="30"/>
  <c r="H48" i="30"/>
  <c r="A48" i="30"/>
  <c r="L46" i="30"/>
  <c r="K46" i="30"/>
  <c r="J46" i="30"/>
  <c r="I46" i="30"/>
  <c r="H46" i="30"/>
  <c r="A45" i="30"/>
  <c r="L45" i="30" s="1"/>
  <c r="A44" i="30"/>
  <c r="J44" i="30" s="1"/>
  <c r="L43" i="30"/>
  <c r="H43" i="30"/>
  <c r="A43" i="30"/>
  <c r="K42" i="30"/>
  <c r="H42" i="30"/>
  <c r="A42" i="30"/>
  <c r="J42" i="30" s="1"/>
  <c r="K41" i="30"/>
  <c r="A41" i="30"/>
  <c r="K40" i="30"/>
  <c r="J40" i="30"/>
  <c r="A40" i="30"/>
  <c r="L39" i="30"/>
  <c r="K39" i="30"/>
  <c r="J39" i="30"/>
  <c r="I39" i="30"/>
  <c r="H39" i="30"/>
  <c r="H38" i="30"/>
  <c r="C38" i="30"/>
  <c r="B38" i="30"/>
  <c r="L37" i="30"/>
  <c r="K37" i="30"/>
  <c r="J37" i="30"/>
  <c r="I37" i="30"/>
  <c r="H37" i="30"/>
  <c r="C37" i="30"/>
  <c r="A35" i="30"/>
  <c r="J35" i="30" s="1"/>
  <c r="A34" i="30"/>
  <c r="K34" i="30" s="1"/>
  <c r="A33" i="30"/>
  <c r="K33" i="30" s="1"/>
  <c r="H32" i="30"/>
  <c r="A32" i="30"/>
  <c r="K32" i="30" s="1"/>
  <c r="K31" i="30"/>
  <c r="A31" i="30"/>
  <c r="J31" i="30" s="1"/>
  <c r="L30" i="30"/>
  <c r="K30" i="30"/>
  <c r="H30" i="30"/>
  <c r="C30" i="30"/>
  <c r="B29" i="30"/>
  <c r="A30" i="30"/>
  <c r="J30" i="30" s="1"/>
  <c r="L29" i="30"/>
  <c r="K29" i="30"/>
  <c r="J29" i="30"/>
  <c r="I29" i="30"/>
  <c r="H29" i="30"/>
  <c r="C29" i="30"/>
  <c r="L28" i="30"/>
  <c r="L38" i="30" s="1"/>
  <c r="K28" i="30"/>
  <c r="K38" i="30" s="1"/>
  <c r="J28" i="30"/>
  <c r="J38" i="30" s="1"/>
  <c r="I28" i="30"/>
  <c r="I38" i="30" s="1"/>
  <c r="H28" i="30"/>
  <c r="D28" i="30"/>
  <c r="C28" i="30"/>
  <c r="D27" i="30"/>
  <c r="L100" i="33" l="1"/>
  <c r="K100" i="33"/>
  <c r="C100" i="33"/>
  <c r="H100" i="33"/>
  <c r="J100" i="33"/>
  <c r="I100" i="33"/>
  <c r="D100" i="33"/>
  <c r="F100" i="33"/>
  <c r="C68" i="33"/>
  <c r="C76" i="33"/>
  <c r="H76" i="33"/>
  <c r="I76" i="33"/>
  <c r="J76" i="33"/>
  <c r="K76" i="33"/>
  <c r="L76" i="33"/>
  <c r="C84" i="33"/>
  <c r="J84" i="33"/>
  <c r="K84" i="33"/>
  <c r="L84" i="33"/>
  <c r="H84" i="33"/>
  <c r="I84" i="33"/>
  <c r="I60" i="33"/>
  <c r="J60" i="33"/>
  <c r="K60" i="33"/>
  <c r="H60" i="33"/>
  <c r="L60" i="33"/>
  <c r="E100" i="33"/>
  <c r="C92" i="33"/>
  <c r="L92" i="33"/>
  <c r="H92" i="33"/>
  <c r="I92" i="33"/>
  <c r="K92" i="33"/>
  <c r="J92" i="33"/>
  <c r="F53" i="33"/>
  <c r="F108" i="33"/>
  <c r="F114" i="33"/>
  <c r="F109" i="33"/>
  <c r="F115" i="33"/>
  <c r="F110" i="33"/>
  <c r="F126" i="33"/>
  <c r="F116" i="33"/>
  <c r="F111" i="33"/>
  <c r="F107" i="33"/>
  <c r="F117" i="33"/>
  <c r="F118" i="33"/>
  <c r="F119" i="33"/>
  <c r="F106" i="33"/>
  <c r="E112" i="33"/>
  <c r="E91" i="33" s="1"/>
  <c r="K59" i="33"/>
  <c r="N59" i="33"/>
  <c r="N67" i="33" s="1"/>
  <c r="N75" i="33" s="1"/>
  <c r="N83" i="33" s="1"/>
  <c r="N91" i="33" s="1"/>
  <c r="M59" i="33"/>
  <c r="L59" i="33"/>
  <c r="D59" i="33"/>
  <c r="J59" i="33"/>
  <c r="I59" i="33"/>
  <c r="H59" i="33"/>
  <c r="A61" i="33"/>
  <c r="N60" i="33"/>
  <c r="N68" i="33" s="1"/>
  <c r="N76" i="33" s="1"/>
  <c r="N84" i="33" s="1"/>
  <c r="N92" i="33" s="1"/>
  <c r="K67" i="33"/>
  <c r="D67" i="33"/>
  <c r="H67" i="33"/>
  <c r="L67" i="33"/>
  <c r="J67" i="33"/>
  <c r="M67" i="33"/>
  <c r="I67" i="33"/>
  <c r="A70" i="33"/>
  <c r="I75" i="33"/>
  <c r="D75" i="33"/>
  <c r="J75" i="33"/>
  <c r="K75" i="33"/>
  <c r="L75" i="33"/>
  <c r="H75" i="33"/>
  <c r="H99" i="33"/>
  <c r="N99" i="33"/>
  <c r="F99" i="33"/>
  <c r="K99" i="33"/>
  <c r="M99" i="33"/>
  <c r="E99" i="33"/>
  <c r="C99" i="33"/>
  <c r="L99" i="33"/>
  <c r="D99" i="33"/>
  <c r="J99" i="33"/>
  <c r="I99" i="33"/>
  <c r="A101" i="33"/>
  <c r="N100" i="33"/>
  <c r="A93" i="33"/>
  <c r="H91" i="33"/>
  <c r="M91" i="33"/>
  <c r="I91" i="33"/>
  <c r="L91" i="33"/>
  <c r="D91" i="33"/>
  <c r="K91" i="33"/>
  <c r="J91" i="33"/>
  <c r="A85" i="33"/>
  <c r="L83" i="33"/>
  <c r="D83" i="33"/>
  <c r="M83" i="33"/>
  <c r="J83" i="33"/>
  <c r="K83" i="33"/>
  <c r="I83" i="33"/>
  <c r="H83" i="33"/>
  <c r="A77" i="33"/>
  <c r="M75" i="33"/>
  <c r="F28" i="33"/>
  <c r="F47" i="33" s="1"/>
  <c r="F45" i="33"/>
  <c r="G27" i="33"/>
  <c r="G100" i="33" s="1"/>
  <c r="F130" i="33"/>
  <c r="C40" i="33"/>
  <c r="C60" i="33" s="1"/>
  <c r="C35" i="30"/>
  <c r="I53" i="30"/>
  <c r="K58" i="30"/>
  <c r="L60" i="30"/>
  <c r="I32" i="30"/>
  <c r="I35" i="30"/>
  <c r="I42" i="30"/>
  <c r="C45" i="30"/>
  <c r="H57" i="30"/>
  <c r="H72" i="30"/>
  <c r="K89" i="30"/>
  <c r="H35" i="30"/>
  <c r="L32" i="30"/>
  <c r="K35" i="30"/>
  <c r="J45" i="30"/>
  <c r="J57" i="30"/>
  <c r="I72" i="30"/>
  <c r="L35" i="30"/>
  <c r="L42" i="30"/>
  <c r="I52" i="30"/>
  <c r="L57" i="30"/>
  <c r="C60" i="30"/>
  <c r="K72" i="30"/>
  <c r="K87" i="30"/>
  <c r="H90" i="30"/>
  <c r="I33" i="30"/>
  <c r="K52" i="30"/>
  <c r="H60" i="30"/>
  <c r="L72" i="30"/>
  <c r="L90" i="30"/>
  <c r="C58" i="30"/>
  <c r="I60" i="30"/>
  <c r="L75" i="30"/>
  <c r="H34" i="30"/>
  <c r="H59" i="30"/>
  <c r="I59" i="30"/>
  <c r="L52" i="30"/>
  <c r="H75" i="30"/>
  <c r="H82" i="30" s="1"/>
  <c r="I56" i="30"/>
  <c r="L56" i="30"/>
  <c r="K56" i="30"/>
  <c r="D90" i="30"/>
  <c r="D60" i="30"/>
  <c r="D55" i="30"/>
  <c r="D94" i="30"/>
  <c r="E27" i="30"/>
  <c r="D58" i="30"/>
  <c r="D76" i="30"/>
  <c r="D68" i="30"/>
  <c r="J34" i="30"/>
  <c r="D45" i="30"/>
  <c r="D51" i="30"/>
  <c r="H31" i="30"/>
  <c r="J33" i="30"/>
  <c r="I41" i="30"/>
  <c r="L41" i="30"/>
  <c r="K43" i="30"/>
  <c r="I49" i="30"/>
  <c r="D59" i="30"/>
  <c r="I31" i="30"/>
  <c r="L40" i="30"/>
  <c r="H40" i="30"/>
  <c r="J51" i="30"/>
  <c r="J56" i="30"/>
  <c r="C39" i="30"/>
  <c r="L31" i="30"/>
  <c r="I34" i="30"/>
  <c r="L34" i="30"/>
  <c r="H50" i="30"/>
  <c r="L50" i="30"/>
  <c r="K50" i="30"/>
  <c r="J50" i="30"/>
  <c r="D53" i="30"/>
  <c r="L33" i="30"/>
  <c r="H33" i="30"/>
  <c r="C34" i="30"/>
  <c r="D35" i="30"/>
  <c r="I44" i="30"/>
  <c r="L49" i="30"/>
  <c r="J49" i="30"/>
  <c r="H49" i="30"/>
  <c r="C33" i="30"/>
  <c r="H41" i="30"/>
  <c r="I43" i="30"/>
  <c r="C31" i="30"/>
  <c r="I40" i="30"/>
  <c r="J41" i="30"/>
  <c r="J43" i="30"/>
  <c r="K45" i="30"/>
  <c r="I45" i="30"/>
  <c r="H45" i="30"/>
  <c r="I50" i="30"/>
  <c r="K51" i="30"/>
  <c r="C51" i="30"/>
  <c r="I51" i="30"/>
  <c r="H51" i="30"/>
  <c r="H44" i="30"/>
  <c r="L44" i="30"/>
  <c r="K44" i="30"/>
  <c r="H56" i="30"/>
  <c r="J76" i="30"/>
  <c r="J85" i="30"/>
  <c r="L73" i="30"/>
  <c r="I74" i="30"/>
  <c r="C76" i="30"/>
  <c r="K76" i="30"/>
  <c r="K85" i="30"/>
  <c r="I87" i="30"/>
  <c r="L88" i="30"/>
  <c r="I89" i="30"/>
  <c r="J74" i="30"/>
  <c r="L76" i="30"/>
  <c r="L85" i="30"/>
  <c r="J87" i="30"/>
  <c r="J89" i="30"/>
  <c r="I30" i="30"/>
  <c r="J32" i="30"/>
  <c r="J53" i="30"/>
  <c r="J59" i="30"/>
  <c r="C32" i="30"/>
  <c r="C53" i="30"/>
  <c r="I57" i="30"/>
  <c r="C59" i="30"/>
  <c r="K59" i="30"/>
  <c r="I75" i="30"/>
  <c r="I86" i="30"/>
  <c r="I90" i="30"/>
  <c r="H52" i="30"/>
  <c r="H58" i="30"/>
  <c r="E59" i="30"/>
  <c r="H73" i="30"/>
  <c r="J75" i="30"/>
  <c r="J86" i="30"/>
  <c r="H88" i="30"/>
  <c r="J90" i="30"/>
  <c r="I73" i="30"/>
  <c r="H76" i="30"/>
  <c r="H85" i="30"/>
  <c r="I88" i="30"/>
  <c r="C90" i="30"/>
  <c r="P78" i="24"/>
  <c r="G53" i="33" l="1"/>
  <c r="G99" i="33"/>
  <c r="F131" i="33"/>
  <c r="E67" i="33"/>
  <c r="E75" i="33"/>
  <c r="F112" i="33"/>
  <c r="F59" i="33" s="1"/>
  <c r="E83" i="33"/>
  <c r="E59" i="33"/>
  <c r="G107" i="33"/>
  <c r="M107" i="33" s="1"/>
  <c r="G108" i="33"/>
  <c r="M108" i="33" s="1"/>
  <c r="G117" i="33"/>
  <c r="G114" i="33"/>
  <c r="G109" i="33"/>
  <c r="M109" i="33" s="1"/>
  <c r="G115" i="33"/>
  <c r="G110" i="33"/>
  <c r="M110" i="33" s="1"/>
  <c r="G119" i="33"/>
  <c r="G126" i="33"/>
  <c r="G116" i="33"/>
  <c r="G111" i="33"/>
  <c r="G106" i="33"/>
  <c r="G118" i="33"/>
  <c r="A62" i="33"/>
  <c r="N61" i="33"/>
  <c r="N69" i="33" s="1"/>
  <c r="N77" i="33" s="1"/>
  <c r="N85" i="33" s="1"/>
  <c r="N93" i="33" s="1"/>
  <c r="H70" i="33"/>
  <c r="I70" i="33"/>
  <c r="J70" i="33"/>
  <c r="K70" i="33"/>
  <c r="L70" i="33"/>
  <c r="A102" i="33"/>
  <c r="N101" i="33"/>
  <c r="A94" i="33"/>
  <c r="A86" i="33"/>
  <c r="A78" i="33"/>
  <c r="G45" i="33"/>
  <c r="G28" i="33"/>
  <c r="G130" i="33"/>
  <c r="C44" i="30"/>
  <c r="C52" i="30" s="1"/>
  <c r="C75" i="30" s="1"/>
  <c r="C89" i="30" s="1"/>
  <c r="D34" i="30" s="1"/>
  <c r="C40" i="30"/>
  <c r="C42" i="30"/>
  <c r="C46" i="30"/>
  <c r="B50" i="30" s="1"/>
  <c r="C95" i="30"/>
  <c r="C43" i="30"/>
  <c r="C74" i="30" s="1"/>
  <c r="C88" i="30" s="1"/>
  <c r="D33" i="30" s="1"/>
  <c r="C41" i="30"/>
  <c r="E51" i="30"/>
  <c r="E45" i="30"/>
  <c r="E28" i="30"/>
  <c r="E94" i="30"/>
  <c r="E53" i="30"/>
  <c r="E76" i="30"/>
  <c r="F27" i="30"/>
  <c r="E68" i="30"/>
  <c r="E90" i="30"/>
  <c r="E60" i="30"/>
  <c r="E35" i="30"/>
  <c r="B55" i="24"/>
  <c r="G47" i="33" l="1"/>
  <c r="C70" i="33"/>
  <c r="C122" i="33" s="1"/>
  <c r="D31" i="33" s="1"/>
  <c r="F67" i="33"/>
  <c r="F83" i="33"/>
  <c r="F91" i="33"/>
  <c r="F75" i="33"/>
  <c r="G112" i="33"/>
  <c r="G59" i="33" s="1"/>
  <c r="M106" i="33"/>
  <c r="G131" i="33"/>
  <c r="K62" i="33"/>
  <c r="N62" i="33"/>
  <c r="N70" i="33" s="1"/>
  <c r="N78" i="33" s="1"/>
  <c r="N86" i="33" s="1"/>
  <c r="N94" i="33" s="1"/>
  <c r="L62" i="33"/>
  <c r="H62" i="33"/>
  <c r="J62" i="33"/>
  <c r="I62" i="33"/>
  <c r="H78" i="33"/>
  <c r="I78" i="33"/>
  <c r="J78" i="33"/>
  <c r="K78" i="33"/>
  <c r="L78" i="33"/>
  <c r="L102" i="33"/>
  <c r="D102" i="33"/>
  <c r="N102" i="33"/>
  <c r="K102" i="33"/>
  <c r="C102" i="33"/>
  <c r="J102" i="33"/>
  <c r="I102" i="33"/>
  <c r="H102" i="33"/>
  <c r="G102" i="33"/>
  <c r="F102" i="33"/>
  <c r="E102" i="33"/>
  <c r="L94" i="33"/>
  <c r="K94" i="33"/>
  <c r="C94" i="33"/>
  <c r="C125" i="33" s="1"/>
  <c r="D34" i="33" s="1"/>
  <c r="J94" i="33"/>
  <c r="I94" i="33"/>
  <c r="H94" i="33"/>
  <c r="L86" i="33"/>
  <c r="K86" i="33"/>
  <c r="C86" i="33"/>
  <c r="C124" i="33" s="1"/>
  <c r="D33" i="33" s="1"/>
  <c r="J86" i="33"/>
  <c r="I86" i="33"/>
  <c r="H86" i="33"/>
  <c r="C78" i="33"/>
  <c r="C123" i="33" s="1"/>
  <c r="D32" i="33" s="1"/>
  <c r="C50" i="30"/>
  <c r="C49" i="30" s="1"/>
  <c r="C48" i="30" s="1"/>
  <c r="B57" i="30"/>
  <c r="C57" i="30"/>
  <c r="C56" i="30" s="1"/>
  <c r="E58" i="30"/>
  <c r="E55" i="30"/>
  <c r="F94" i="30"/>
  <c r="F35" i="30"/>
  <c r="F76" i="30"/>
  <c r="F60" i="30"/>
  <c r="F68" i="30"/>
  <c r="F90" i="30"/>
  <c r="F28" i="30"/>
  <c r="F55" i="30" s="1"/>
  <c r="F53" i="30"/>
  <c r="F59" i="30"/>
  <c r="F51" i="30"/>
  <c r="F45" i="30"/>
  <c r="G27" i="30"/>
  <c r="K60" i="29"/>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6" i="29"/>
  <c r="B36" i="29"/>
  <c r="C35" i="29"/>
  <c r="I33" i="29"/>
  <c r="A33" i="29"/>
  <c r="C33" i="29" s="1"/>
  <c r="I32" i="29"/>
  <c r="C32" i="29"/>
  <c r="A32" i="29"/>
  <c r="A31" i="29"/>
  <c r="C30" i="29"/>
  <c r="A30" i="29"/>
  <c r="C29" i="29"/>
  <c r="A29" i="29"/>
  <c r="B28" i="29"/>
  <c r="B27" i="29" s="1"/>
  <c r="A28" i="29"/>
  <c r="C27" i="29"/>
  <c r="K26" i="29"/>
  <c r="I26" i="29"/>
  <c r="C26" i="29"/>
  <c r="K25" i="29"/>
  <c r="J25" i="29"/>
  <c r="D25" i="29"/>
  <c r="D46" i="33" l="1"/>
  <c r="G67" i="33"/>
  <c r="G75" i="33"/>
  <c r="G83" i="33"/>
  <c r="G91" i="33"/>
  <c r="C62" i="33"/>
  <c r="C121" i="33" s="1"/>
  <c r="D30" i="33" s="1"/>
  <c r="C39" i="29"/>
  <c r="F58" i="30"/>
  <c r="G53" i="30"/>
  <c r="G76" i="30"/>
  <c r="G68" i="30"/>
  <c r="G60" i="30"/>
  <c r="G55" i="30"/>
  <c r="G51" i="30"/>
  <c r="G90" i="30"/>
  <c r="G94" i="30"/>
  <c r="G35" i="30"/>
  <c r="G28" i="30"/>
  <c r="G58" i="30"/>
  <c r="G45" i="30"/>
  <c r="G59" i="30"/>
  <c r="C73" i="30"/>
  <c r="M60" i="29"/>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C29" i="27"/>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7" i="25"/>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A29" i="24"/>
  <c r="C29" i="24" s="1"/>
  <c r="B28" i="24"/>
  <c r="B27" i="24" s="1"/>
  <c r="A28" i="24"/>
  <c r="C27" i="24"/>
  <c r="I26" i="24"/>
  <c r="C26" i="24"/>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A29" i="21"/>
  <c r="B28" i="21"/>
  <c r="A28" i="21"/>
  <c r="C27" i="21"/>
  <c r="B27" i="21"/>
  <c r="D26" i="21"/>
  <c r="D53" i="21" s="1"/>
  <c r="C26" i="21"/>
  <c r="C80" i="30" l="1"/>
  <c r="C87" i="30" s="1"/>
  <c r="D32" i="30" s="1"/>
  <c r="C71" i="30"/>
  <c r="C85" i="30" s="1"/>
  <c r="C72" i="30"/>
  <c r="C86" i="30" s="1"/>
  <c r="D31" i="30" s="1"/>
  <c r="E74" i="29"/>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B48" i="24" s="1"/>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G50" i="21"/>
  <c r="G66" i="21"/>
  <c r="F92" i="21"/>
  <c r="F33" i="21"/>
  <c r="F66" i="21"/>
  <c r="F26" i="21"/>
  <c r="F53" i="21" s="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C43" i="21"/>
  <c r="G43" i="21"/>
  <c r="F43" i="21"/>
  <c r="E43" i="21"/>
  <c r="G58" i="21"/>
  <c r="E58" i="21"/>
  <c r="D58" i="21"/>
  <c r="C58" i="21"/>
  <c r="E53" i="21"/>
  <c r="C37" i="21"/>
  <c r="C41" i="21" s="1"/>
  <c r="D74" i="21"/>
  <c r="F88" i="21"/>
  <c r="C50" i="21"/>
  <c r="C56" i="21"/>
  <c r="C32" i="21"/>
  <c r="D50" i="21"/>
  <c r="D56" i="21"/>
  <c r="G88" i="21"/>
  <c r="F50" i="21"/>
  <c r="F56" i="21"/>
  <c r="G74" i="21"/>
  <c r="C88" i="21"/>
  <c r="D88" i="21"/>
  <c r="E46" i="29" l="1"/>
  <c r="D95" i="30"/>
  <c r="D46" i="30"/>
  <c r="D57" i="30" s="1"/>
  <c r="D56" i="30" s="1"/>
  <c r="C91" i="30"/>
  <c r="D30" i="30"/>
  <c r="F92" i="29"/>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66" i="21"/>
  <c r="H33" i="21"/>
  <c r="H74" i="21"/>
  <c r="H58" i="21"/>
  <c r="H43" i="21"/>
  <c r="H51" i="21"/>
  <c r="C39" i="21"/>
  <c r="C38" i="21"/>
  <c r="C40" i="21"/>
  <c r="C42" i="21"/>
  <c r="C73" i="21"/>
  <c r="C87" i="21" s="1"/>
  <c r="D32" i="21" s="1"/>
  <c r="C77" i="21"/>
  <c r="C93" i="21" s="1"/>
  <c r="C44" i="21"/>
  <c r="D29" i="30" l="1"/>
  <c r="C92" i="30"/>
  <c r="C78" i="29"/>
  <c r="C85" i="29"/>
  <c r="D30" i="29" s="1"/>
  <c r="F56" i="29"/>
  <c r="G87" i="29"/>
  <c r="G66" i="29"/>
  <c r="G33" i="29"/>
  <c r="G57" i="29"/>
  <c r="G51" i="29"/>
  <c r="G73" i="29"/>
  <c r="G48" i="29"/>
  <c r="G42" i="29"/>
  <c r="G50" i="29"/>
  <c r="G88" i="29"/>
  <c r="G74" i="29"/>
  <c r="G47" i="29"/>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8" i="26"/>
  <c r="F46" i="26" s="1"/>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88" i="21"/>
  <c r="I43" i="21"/>
  <c r="I49" i="21"/>
  <c r="I58" i="21"/>
  <c r="H53" i="21"/>
  <c r="C55" i="21"/>
  <c r="C54" i="21" s="1"/>
  <c r="B48" i="21"/>
  <c r="I48" i="21" s="1"/>
  <c r="B55" i="21"/>
  <c r="F48" i="21" l="1"/>
  <c r="G48" i="21"/>
  <c r="F47" i="21"/>
  <c r="F46" i="21" s="1"/>
  <c r="G47" i="21"/>
  <c r="G46" i="21" s="1"/>
  <c r="H47" i="21"/>
  <c r="H48" i="21"/>
  <c r="G46" i="29"/>
  <c r="D38" i="30"/>
  <c r="D37" i="30"/>
  <c r="D77" i="29"/>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s="1"/>
  <c r="D30" i="27" s="1"/>
  <c r="D46" i="26"/>
  <c r="E46" i="26"/>
  <c r="G53" i="26"/>
  <c r="C46" i="26"/>
  <c r="C69" i="26" s="1"/>
  <c r="C70" i="26"/>
  <c r="C84" i="26" s="1"/>
  <c r="D29" i="26" s="1"/>
  <c r="D77" i="26" s="1"/>
  <c r="C78" i="26"/>
  <c r="C85" i="26" s="1"/>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D48" i="21"/>
  <c r="E47" i="21"/>
  <c r="E46" i="21" s="1"/>
  <c r="D47" i="21"/>
  <c r="H46" i="21" l="1"/>
  <c r="D46" i="21"/>
  <c r="C85" i="21"/>
  <c r="D30" i="21" s="1"/>
  <c r="C78" i="21"/>
  <c r="I46" i="25"/>
  <c r="D39" i="30"/>
  <c r="D44" i="30" s="1"/>
  <c r="C89" i="29"/>
  <c r="D27" i="29" s="1"/>
  <c r="D28" i="29"/>
  <c r="C90" i="29"/>
  <c r="D44" i="27"/>
  <c r="D55" i="27" s="1"/>
  <c r="D54" i="27" s="1"/>
  <c r="D77" i="27"/>
  <c r="D93" i="27" s="1"/>
  <c r="C83" i="27"/>
  <c r="D44" i="26"/>
  <c r="D55" i="26" s="1"/>
  <c r="D54" i="26" s="1"/>
  <c r="D93" i="26"/>
  <c r="H56" i="26"/>
  <c r="C76" i="26"/>
  <c r="C83" i="26" s="1"/>
  <c r="J46" i="25"/>
  <c r="L46" i="25"/>
  <c r="E46" i="25"/>
  <c r="K46" i="25"/>
  <c r="G46" i="25"/>
  <c r="C46" i="25"/>
  <c r="C69" i="25" s="1"/>
  <c r="C70" i="25"/>
  <c r="C84" i="25" s="1"/>
  <c r="D29" i="25" s="1"/>
  <c r="F46" i="25"/>
  <c r="C78" i="25"/>
  <c r="C85" i="25" s="1"/>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51" i="21"/>
  <c r="K56" i="21"/>
  <c r="K88" i="21"/>
  <c r="C46" i="21"/>
  <c r="C69" i="21" s="1"/>
  <c r="C70" i="21"/>
  <c r="C84" i="21" s="1"/>
  <c r="D29" i="21" s="1"/>
  <c r="K46" i="21" l="1"/>
  <c r="D52" i="30"/>
  <c r="D41" i="30"/>
  <c r="D40" i="30"/>
  <c r="D42" i="30"/>
  <c r="D43" i="30"/>
  <c r="D74" i="30" s="1"/>
  <c r="D88" i="30" s="1"/>
  <c r="E33" i="30" s="1"/>
  <c r="D35" i="29"/>
  <c r="D36" i="29"/>
  <c r="C89" i="27"/>
  <c r="D27" i="27" s="1"/>
  <c r="D28"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C90" i="27" l="1"/>
  <c r="D75" i="30"/>
  <c r="D89" i="30" s="1"/>
  <c r="E34" i="30" s="1"/>
  <c r="D50" i="30"/>
  <c r="D49" i="30" s="1"/>
  <c r="D48" i="30" s="1"/>
  <c r="D71" i="30" s="1"/>
  <c r="D85" i="30" s="1"/>
  <c r="D37" i="29"/>
  <c r="D35" i="27"/>
  <c r="D36" i="27"/>
  <c r="D36" i="26"/>
  <c r="D35" i="26"/>
  <c r="C89" i="25"/>
  <c r="D27" i="25" s="1"/>
  <c r="D28" i="25"/>
  <c r="D35" i="24"/>
  <c r="D36" i="24"/>
  <c r="C90" i="24"/>
  <c r="L46" i="21"/>
  <c r="L53" i="21"/>
  <c r="D55" i="21"/>
  <c r="C83" i="21"/>
  <c r="D72" i="30" l="1"/>
  <c r="D86" i="30" s="1"/>
  <c r="E31" i="30" s="1"/>
  <c r="D73" i="30"/>
  <c r="D80" i="30" s="1"/>
  <c r="D87" i="30" s="1"/>
  <c r="E32" i="30" s="1"/>
  <c r="E30" i="30"/>
  <c r="D39" i="29"/>
  <c r="D70" i="29" s="1"/>
  <c r="D84" i="29" s="1"/>
  <c r="E29" i="29" s="1"/>
  <c r="D40" i="29"/>
  <c r="D71" i="29" s="1"/>
  <c r="D38" i="29"/>
  <c r="D41" i="29"/>
  <c r="D72" i="29" s="1"/>
  <c r="D86" i="29" s="1"/>
  <c r="E31" i="29" s="1"/>
  <c r="D37" i="27"/>
  <c r="D37" i="26"/>
  <c r="C90" i="25"/>
  <c r="D35" i="25"/>
  <c r="D36" i="25"/>
  <c r="D37" i="24"/>
  <c r="D54" i="21"/>
  <c r="C89" i="21"/>
  <c r="D28" i="21"/>
  <c r="D91" i="30" l="1"/>
  <c r="E29" i="30" s="1"/>
  <c r="E95" i="30"/>
  <c r="E46" i="30"/>
  <c r="E57" i="30" s="1"/>
  <c r="E56" i="30" s="1"/>
  <c r="D69" i="29"/>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92" i="30" l="1"/>
  <c r="E37" i="30"/>
  <c r="E38" i="30"/>
  <c r="D76" i="29"/>
  <c r="D83" i="29" s="1"/>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E39" i="30" l="1"/>
  <c r="E44" i="30" s="1"/>
  <c r="D89" i="29"/>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52" i="30" l="1"/>
  <c r="E50" i="30" s="1"/>
  <c r="E41" i="30"/>
  <c r="E43" i="30"/>
  <c r="E74" i="30" s="1"/>
  <c r="E88" i="30" s="1"/>
  <c r="F33" i="30" s="1"/>
  <c r="E40" i="30"/>
  <c r="E42" i="30"/>
  <c r="E35" i="29"/>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73" i="30" l="1"/>
  <c r="E80" i="30" s="1"/>
  <c r="E87" i="30" s="1"/>
  <c r="F32" i="30" s="1"/>
  <c r="E75" i="30"/>
  <c r="E89" i="30" s="1"/>
  <c r="F34" i="30" s="1"/>
  <c r="E49" i="30"/>
  <c r="E48" i="30" s="1"/>
  <c r="E71" i="30" s="1"/>
  <c r="E85" i="30" s="1"/>
  <c r="E37" i="29"/>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72" i="30" l="1"/>
  <c r="E86" i="30" s="1"/>
  <c r="F31" i="30" s="1"/>
  <c r="F30" i="30"/>
  <c r="E40" i="29"/>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91" i="30" l="1"/>
  <c r="E92" i="30" s="1"/>
  <c r="F46" i="30"/>
  <c r="F57" i="30" s="1"/>
  <c r="F56" i="30" s="1"/>
  <c r="F95" i="30"/>
  <c r="E69" i="29"/>
  <c r="F77" i="29"/>
  <c r="F93" i="29" s="1"/>
  <c r="F44" i="29"/>
  <c r="F55" i="29" s="1"/>
  <c r="F54" i="29" s="1"/>
  <c r="E78" i="29"/>
  <c r="E85" i="29" s="1"/>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F29" i="30" l="1"/>
  <c r="F38" i="30" s="1"/>
  <c r="E76" i="29"/>
  <c r="F77" i="27"/>
  <c r="F93" i="27" s="1"/>
  <c r="F44" i="27"/>
  <c r="F55" i="27" s="1"/>
  <c r="F54" i="27" s="1"/>
  <c r="E69" i="27"/>
  <c r="E78" i="27"/>
  <c r="E85" i="27"/>
  <c r="F30" i="27" s="1"/>
  <c r="E78" i="26"/>
  <c r="E85" i="26" s="1"/>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F37" i="30" l="1"/>
  <c r="F39" i="30" s="1"/>
  <c r="F44" i="30" s="1"/>
  <c r="E83" i="29"/>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F52" i="30" l="1"/>
  <c r="F50" i="30" s="1"/>
  <c r="F42" i="30"/>
  <c r="F43" i="30"/>
  <c r="F74" i="30" s="1"/>
  <c r="F88" i="30" s="1"/>
  <c r="G33" i="30" s="1"/>
  <c r="F41" i="30"/>
  <c r="F40" i="30"/>
  <c r="E89" i="29"/>
  <c r="F28" i="29"/>
  <c r="E89" i="27"/>
  <c r="F27" i="27" s="1"/>
  <c r="F28"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E90" i="27" l="1"/>
  <c r="F73" i="30"/>
  <c r="F80" i="30" s="1"/>
  <c r="F87" i="30" s="1"/>
  <c r="G32" i="30" s="1"/>
  <c r="F75" i="30"/>
  <c r="F89" i="30" s="1"/>
  <c r="G34" i="30" s="1"/>
  <c r="F49" i="30"/>
  <c r="F48" i="30" s="1"/>
  <c r="F71" i="30" s="1"/>
  <c r="F85" i="30" s="1"/>
  <c r="F27" i="29"/>
  <c r="E90" i="29"/>
  <c r="F35" i="27"/>
  <c r="F36" i="27"/>
  <c r="E90" i="26"/>
  <c r="F35" i="26"/>
  <c r="F36" i="26"/>
  <c r="E89" i="25"/>
  <c r="F27" i="25" s="1"/>
  <c r="F28" i="25"/>
  <c r="E90" i="24"/>
  <c r="F35" i="24"/>
  <c r="F36" i="24"/>
  <c r="E37" i="21"/>
  <c r="E49" i="16"/>
  <c r="E54" i="16" s="1"/>
  <c r="F50" i="16"/>
  <c r="F60" i="16" s="1"/>
  <c r="F72" i="30" l="1"/>
  <c r="F86" i="30" s="1"/>
  <c r="G31" i="30" s="1"/>
  <c r="G95" i="30" s="1"/>
  <c r="G30" i="30"/>
  <c r="F35" i="29"/>
  <c r="F36" i="29"/>
  <c r="F37" i="27"/>
  <c r="F37" i="26"/>
  <c r="E90" i="25"/>
  <c r="F35" i="25"/>
  <c r="F36" i="25"/>
  <c r="F37" i="24"/>
  <c r="E38" i="21"/>
  <c r="E40" i="21"/>
  <c r="E71" i="21" s="1"/>
  <c r="E42" i="21"/>
  <c r="E73" i="21" s="1"/>
  <c r="E80" i="21" s="1"/>
  <c r="E41" i="21"/>
  <c r="E72" i="21" s="1"/>
  <c r="E86" i="21" s="1"/>
  <c r="F31" i="21" s="1"/>
  <c r="E39" i="21"/>
  <c r="E70" i="21" s="1"/>
  <c r="E84" i="21" s="1"/>
  <c r="F29" i="21" s="1"/>
  <c r="E57" i="16"/>
  <c r="F24" i="16" s="1"/>
  <c r="F25" i="16"/>
  <c r="F91" i="30" l="1"/>
  <c r="G29" i="30" s="1"/>
  <c r="G46" i="30"/>
  <c r="G57" i="30" s="1"/>
  <c r="G56" i="30" s="1"/>
  <c r="F37" i="29"/>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92" i="30" l="1"/>
  <c r="G37" i="30"/>
  <c r="G38" i="30"/>
  <c r="F40" i="29"/>
  <c r="F71" i="29" s="1"/>
  <c r="F39" i="29"/>
  <c r="F70" i="29" s="1"/>
  <c r="F84" i="29" s="1"/>
  <c r="G29" i="29" s="1"/>
  <c r="F38" i="29"/>
  <c r="F41" i="29"/>
  <c r="F72" i="29" s="1"/>
  <c r="F86" i="29" s="1"/>
  <c r="G31" i="29" s="1"/>
  <c r="F69" i="27"/>
  <c r="F78" i="27"/>
  <c r="F85" i="27" s="1"/>
  <c r="G30" i="27" s="1"/>
  <c r="G77" i="27"/>
  <c r="G93" i="27" s="1"/>
  <c r="G44" i="27"/>
  <c r="G55" i="27" s="1"/>
  <c r="G54" i="27" s="1"/>
  <c r="G77" i="26"/>
  <c r="G93" i="26" s="1"/>
  <c r="G44" i="26"/>
  <c r="G55" i="26" s="1"/>
  <c r="G54" i="26" s="1"/>
  <c r="F69" i="26"/>
  <c r="F78" i="26"/>
  <c r="F85" i="26" s="1"/>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G39" i="30" l="1"/>
  <c r="G44" i="30" s="1"/>
  <c r="F69" i="29"/>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G52" i="30" l="1"/>
  <c r="G50" i="30" s="1"/>
  <c r="G43" i="30"/>
  <c r="G74" i="30" s="1"/>
  <c r="G88" i="30" s="1"/>
  <c r="G42" i="30"/>
  <c r="G41" i="30"/>
  <c r="G40" i="30"/>
  <c r="F76" i="29"/>
  <c r="F83" i="29"/>
  <c r="F89" i="27"/>
  <c r="G27" i="27" s="1"/>
  <c r="G28" i="27"/>
  <c r="F89" i="26"/>
  <c r="G27" i="26" s="1"/>
  <c r="G28" i="26"/>
  <c r="F90" i="26"/>
  <c r="F76" i="25"/>
  <c r="F83" i="25" s="1"/>
  <c r="F83" i="24"/>
  <c r="E90" i="21"/>
  <c r="F35" i="21"/>
  <c r="F36" i="21"/>
  <c r="F57" i="16"/>
  <c r="G24" i="16" s="1"/>
  <c r="G25" i="16"/>
  <c r="H50" i="16"/>
  <c r="G60" i="16"/>
  <c r="G73" i="30" l="1"/>
  <c r="G80" i="30" s="1"/>
  <c r="G87" i="30" s="1"/>
  <c r="G75" i="30"/>
  <c r="G89" i="30" s="1"/>
  <c r="G49" i="30"/>
  <c r="G48" i="30" s="1"/>
  <c r="G71" i="30" s="1"/>
  <c r="G85" i="30" s="1"/>
  <c r="F89" i="29"/>
  <c r="G27" i="29" s="1"/>
  <c r="G28" i="29"/>
  <c r="F90" i="29"/>
  <c r="G35" i="27"/>
  <c r="G36" i="27"/>
  <c r="F90" i="27"/>
  <c r="G35" i="26"/>
  <c r="G36" i="26"/>
  <c r="F89" i="25"/>
  <c r="G27" i="25" s="1"/>
  <c r="G28" i="25"/>
  <c r="F89" i="24"/>
  <c r="G28" i="24"/>
  <c r="F37" i="21"/>
  <c r="I50" i="16"/>
  <c r="H60" i="16"/>
  <c r="G27" i="16"/>
  <c r="G29" i="16"/>
  <c r="G31" i="16" s="1"/>
  <c r="G30" i="16"/>
  <c r="G72" i="30" l="1"/>
  <c r="G86" i="30" s="1"/>
  <c r="G91" i="30" s="1"/>
  <c r="G92" i="30" s="1"/>
  <c r="G35" i="29"/>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37" i="29" l="1"/>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s="1"/>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s="1"/>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s="1"/>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H35" i="26"/>
  <c r="H36" i="26"/>
  <c r="G89" i="25"/>
  <c r="H27" i="25" s="1"/>
  <c r="H28" i="25"/>
  <c r="G83" i="24"/>
  <c r="G37" i="21"/>
  <c r="H33" i="16"/>
  <c r="H46" i="16" s="1"/>
  <c r="H55" i="16" s="1"/>
  <c r="I26" i="16" s="1"/>
  <c r="H32" i="16"/>
  <c r="H45" i="16" s="1"/>
  <c r="H54" i="16" s="1"/>
  <c r="G90" i="29" l="1"/>
  <c r="H35" i="29"/>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s="1"/>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s="1"/>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I35" i="26"/>
  <c r="I36" i="26"/>
  <c r="I28" i="25"/>
  <c r="H89" i="25"/>
  <c r="I27" i="25" s="1"/>
  <c r="H83" i="24"/>
  <c r="H37" i="21"/>
  <c r="J32" i="16"/>
  <c r="J45" i="16" s="1"/>
  <c r="J54" i="16" s="1"/>
  <c r="K25" i="16" s="1"/>
  <c r="J33" i="16"/>
  <c r="J46" i="16" s="1"/>
  <c r="J55" i="16" s="1"/>
  <c r="K26" i="16" s="1"/>
  <c r="H90" i="29" l="1"/>
  <c r="I35" i="29"/>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 r="C91" i="33" l="1"/>
  <c r="C59" i="33" l="1"/>
  <c r="C75" i="33"/>
  <c r="C67" i="33"/>
  <c r="C127" i="33"/>
  <c r="D29" i="33" s="1"/>
  <c r="C83" i="33"/>
  <c r="C128" i="33" l="1"/>
  <c r="D38" i="33" l="1"/>
  <c r="D37" i="33"/>
  <c r="D39" i="33" l="1"/>
  <c r="D42" i="33" l="1"/>
  <c r="D43" i="33"/>
  <c r="D44" i="33"/>
  <c r="D40" i="33"/>
  <c r="D41" i="33"/>
  <c r="D52" i="33" l="1"/>
  <c r="D92" i="33" s="1"/>
  <c r="D51" i="33" l="1"/>
  <c r="D94" i="33"/>
  <c r="D125" i="33" s="1"/>
  <c r="E34" i="33" s="1"/>
  <c r="D50" i="33" l="1"/>
  <c r="D84" i="33"/>
  <c r="D86" i="33" s="1"/>
  <c r="D124" i="33" s="1"/>
  <c r="E33" i="33" s="1"/>
  <c r="D49" i="33" l="1"/>
  <c r="D76" i="33"/>
  <c r="D78" i="33" s="1"/>
  <c r="D123" i="33" s="1"/>
  <c r="E32" i="33" s="1"/>
  <c r="D48" i="33" l="1"/>
  <c r="D68" i="33"/>
  <c r="D70" i="33" s="1"/>
  <c r="D122" i="33" s="1"/>
  <c r="E31" i="33" l="1"/>
  <c r="E46" i="33" s="1"/>
  <c r="D60" i="33"/>
  <c r="D62" i="33" s="1"/>
  <c r="D121" i="33" s="1"/>
  <c r="E30" i="33" s="1"/>
  <c r="D127" i="33" l="1"/>
  <c r="E29" i="33" s="1"/>
  <c r="D128" i="33" l="1"/>
  <c r="E37" i="33" l="1"/>
  <c r="E38" i="33"/>
  <c r="E39" i="33" l="1"/>
  <c r="E40" i="33" s="1"/>
  <c r="E43" i="33" l="1"/>
  <c r="E41" i="33"/>
  <c r="E44" i="33"/>
  <c r="E52" i="33" s="1"/>
  <c r="E92" i="33" s="1"/>
  <c r="E94" i="33" s="1"/>
  <c r="E125" i="33" s="1"/>
  <c r="F34" i="33" s="1"/>
  <c r="E42" i="33"/>
  <c r="E51" i="33" l="1"/>
  <c r="E50" i="33" s="1"/>
  <c r="E84" i="33"/>
  <c r="E86" i="33" s="1"/>
  <c r="E124" i="33" s="1"/>
  <c r="F33" i="33" s="1"/>
  <c r="E49" i="33" l="1"/>
  <c r="E76" i="33"/>
  <c r="E78" i="33" s="1"/>
  <c r="E123" i="33" s="1"/>
  <c r="F32" i="33" s="1"/>
  <c r="E48" i="33" l="1"/>
  <c r="E68" i="33"/>
  <c r="E70" i="33" s="1"/>
  <c r="E122" i="33" s="1"/>
  <c r="F31" i="33" l="1"/>
  <c r="F46" i="33" s="1"/>
  <c r="E60" i="33"/>
  <c r="E62" i="33" s="1"/>
  <c r="E121" i="33" s="1"/>
  <c r="F30" i="33" s="1"/>
  <c r="E127" i="33" l="1"/>
  <c r="F29" i="33" s="1"/>
  <c r="E128" i="33" l="1"/>
  <c r="F38" i="33" l="1"/>
  <c r="F37" i="33"/>
  <c r="F39" i="33" s="1"/>
  <c r="F40" i="33" s="1"/>
  <c r="F41" i="33" l="1"/>
  <c r="F44" i="33"/>
  <c r="F52" i="33" s="1"/>
  <c r="F92" i="33" s="1"/>
  <c r="F42" i="33"/>
  <c r="F43" i="33"/>
  <c r="F51" i="33" l="1"/>
  <c r="F94" i="33"/>
  <c r="F125" i="33" s="1"/>
  <c r="G34" i="33" s="1"/>
  <c r="F50" i="33" l="1"/>
  <c r="F84" i="33"/>
  <c r="F86" i="33" s="1"/>
  <c r="F124" i="33" s="1"/>
  <c r="G33" i="33" s="1"/>
  <c r="F49" i="33" l="1"/>
  <c r="F76" i="33"/>
  <c r="F78" i="33" s="1"/>
  <c r="F123" i="33" s="1"/>
  <c r="G32" i="33" s="1"/>
  <c r="F48" i="33" l="1"/>
  <c r="F68" i="33"/>
  <c r="F70" i="33" s="1"/>
  <c r="F122" i="33" s="1"/>
  <c r="G31" i="33" l="1"/>
  <c r="G46" i="33" s="1"/>
  <c r="F60" i="33"/>
  <c r="F62" i="33" s="1"/>
  <c r="F121" i="33" s="1"/>
  <c r="G30" i="33" s="1"/>
  <c r="F127" i="33" l="1"/>
  <c r="G29" i="33" s="1"/>
  <c r="F128" i="33" l="1"/>
  <c r="G38" i="33" l="1"/>
  <c r="G37" i="33"/>
  <c r="G39" i="33" s="1"/>
  <c r="G42" i="33" s="1"/>
  <c r="G40" i="33" l="1"/>
  <c r="G44" i="33"/>
  <c r="G52" i="33" s="1"/>
  <c r="G92" i="33" s="1"/>
  <c r="G43" i="33"/>
  <c r="G41" i="33"/>
  <c r="G51" i="33" l="1"/>
  <c r="G94" i="33"/>
  <c r="G125" i="33" s="1"/>
  <c r="G50" i="33" l="1"/>
  <c r="G84" i="33"/>
  <c r="G86" i="33" s="1"/>
  <c r="G124" i="33" s="1"/>
  <c r="G49" i="33" l="1"/>
  <c r="G76" i="33"/>
  <c r="G78" i="33" s="1"/>
  <c r="G123" i="33" s="1"/>
  <c r="G48" i="33" l="1"/>
  <c r="G68" i="33"/>
  <c r="G70" i="33" s="1"/>
  <c r="G122" i="33" s="1"/>
  <c r="G60" i="33" l="1"/>
  <c r="G62" i="33" s="1"/>
  <c r="G121" i="33" s="1"/>
  <c r="G127" i="33" s="1"/>
  <c r="G128" i="33" s="1"/>
</calcChain>
</file>

<file path=xl/sharedStrings.xml><?xml version="1.0" encoding="utf-8"?>
<sst xmlns="http://schemas.openxmlformats.org/spreadsheetml/2006/main" count="914" uniqueCount="246">
  <si>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</si>
  <si>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</si>
  <si>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</si>
  <si>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</si>
  <si>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</si>
  <si>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</si>
  <si>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</si>
  <si>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</si>
  <si>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</si>
  <si>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</si>
  <si>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</si>
  <si>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</si>
  <si>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</si>
  <si>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</si>
  <si>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</si>
  <si>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</si>
  <si>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</si>
  <si>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</si>
  <si>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</si>
  <si>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</si>
  <si>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</si>
  <si>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</si>
  <si>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</si>
  <si>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</si>
  <si>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</si>
  <si>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</si>
  <si>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</si>
  <si>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</si>
  <si>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</si>
  <si>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</si>
  <si>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</si>
  <si>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</si>
  <si>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</si>
  <si>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</si>
  <si>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</si>
  <si>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</si>
  <si>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</si>
  <si>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</si>
  <si>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</si>
  <si>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</si>
  <si>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</si>
  <si>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</si>
  <si>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</si>
  <si>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</si>
  <si>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</si>
  <si>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</si>
  <si>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</si>
  <si>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</si>
  <si>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</si>
  <si>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</si>
  <si>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</si>
  <si>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</si>
  <si>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</si>
  <si>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</si>
  <si>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</si>
  <si>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</si>
  <si>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</si>
  <si>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</si>
  <si>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</si>
  <si>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</si>
  <si>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</si>
  <si>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</si>
  <si>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</si>
  <si>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</si>
  <si>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</si>
  <si>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</si>
  <si>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</si>
  <si>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</si>
  <si>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</si>
  <si>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</si>
  <si>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</si>
  <si>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</si>
  <si>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</si>
  <si>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</si>
  <si>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</si>
  <si>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</si>
  <si>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</si>
  <si>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</si>
  <si>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</si>
  <si>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</si>
  <si>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</si>
  <si>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</si>
  <si>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</si>
  <si>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</si>
  <si>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</si>
  <si>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</si>
  <si>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</si>
  <si>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</si>
  <si>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</si>
  <si>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</si>
  <si>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</si>
  <si>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</si>
  <si>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</si>
  <si>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</si>
  <si>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</si>
  <si>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</si>
  <si>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</si>
  <si>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</si>
  <si>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</si>
  <si>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</si>
  <si>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</si>
  <si>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</si>
  <si>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</si>
  <si>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</si>
  <si>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</si>
  <si>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</si>
  <si>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</si>
  <si>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</si>
  <si>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</si>
  <si>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</si>
  <si>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</si>
  <si>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</si>
  <si>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</si>
  <si>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</si>
  <si>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</si>
  <si>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</si>
  <si>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</si>
  <si>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</si>
  <si>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</si>
  <si>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</si>
  <si>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</si>
  <si>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</si>
  <si>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</si>
  <si>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</si>
  <si>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</si>
  <si>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</si>
  <si>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</si>
  <si>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</si>
  <si>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</si>
  <si>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</si>
  <si>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</si>
  <si>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</si>
  <si>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</si>
  <si>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</si>
  <si>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</si>
  <si>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</si>
  <si>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</si>
  <si>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</si>
  <si>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</si>
  <si>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</si>
  <si>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</si>
  <si>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</si>
  <si>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</si>
  <si>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</si>
  <si>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</si>
  <si>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</si>
  <si>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</si>
  <si>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</si>
  <si>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</si>
  <si>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</si>
  <si>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</si>
  <si>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</si>
  <si>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</si>
  <si>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</si>
  <si>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</si>
  <si>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</si>
  <si>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</si>
  <si>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</si>
  <si>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</si>
  <si>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</si>
  <si>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</si>
  <si>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</si>
  <si>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</si>
  <si>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</si>
  <si>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</si>
  <si>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</si>
  <si>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</si>
  <si>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</si>
  <si>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</si>
  <si>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</si>
  <si>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</si>
  <si>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</si>
  <si>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</si>
  <si>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</si>
  <si>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</si>
  <si>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</si>
  <si>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</si>
  <si>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</si>
  <si>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</si>
  <si>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</si>
  <si>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</si>
  <si>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</si>
  <si>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</si>
  <si>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</si>
  <si>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</si>
  <si>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</si>
  <si>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</si>
  <si>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</si>
  <si>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</si>
  <si>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</si>
  <si>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</si>
  <si>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</si>
  <si>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</si>
  <si>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</si>
  <si>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</si>
  <si>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</si>
  <si>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</si>
  <si>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</si>
  <si>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</si>
  <si>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</si>
  <si>
    <t>Shared, Reserve</t>
  </si>
  <si>
    <t>12 maf initial, inflow is evap</t>
  </si>
  <si>
    <t>11.0-TradeReserve</t>
  </si>
  <si>
    <t>A completed role play with Lee ferry natural flow of 11.0 maf, trade, and a combined share reserve account with 12 maf</t>
  </si>
  <si>
    <t>Versions</t>
  </si>
  <si>
    <t>List of the versions and changes made</t>
  </si>
  <si>
    <t>Date Implimented</t>
  </si>
  <si>
    <t>Changes</t>
  </si>
  <si>
    <t>Suggested By</t>
  </si>
  <si>
    <t>Implemented By</t>
  </si>
  <si>
    <t>Date Suggested</t>
  </si>
  <si>
    <t>Jennifer Pitt</t>
  </si>
  <si>
    <t>Add version control worksheet. List versions</t>
  </si>
  <si>
    <t>David Tarboton, Homa Salahebadi</t>
  </si>
  <si>
    <t>Chris Harris</t>
  </si>
  <si>
    <t>Show what is happening for Lake Mead and below</t>
  </si>
  <si>
    <t>Jian Wang</t>
  </si>
  <si>
    <t>Limit number of years (columns) to 5</t>
  </si>
  <si>
    <t>Shorten worksheet to only essential items. For example, combine Powell and Mead in to one combined reservoir. Show plots of results.</t>
  </si>
  <si>
    <t>Compare results to Law-Of-River operations</t>
  </si>
  <si>
    <t>1) Allow players to define up to six user accounts, 2) Make Mohave/Havasu evaporation and evapotranspiration an account, 3) Create role play (worksheet) with a Colorado River Delta account, 4) Create role play (worksheet) with a shared, Reservoir account</t>
  </si>
  <si>
    <t>Notes</t>
  </si>
  <si>
    <t>Initialize: all Powell storage</t>
  </si>
  <si>
    <t>Initialize: Conservation account balance + remaining Mead storage - Mexico conservation account balance</t>
  </si>
  <si>
    <t>Initialize:  Mexico conservation account balance</t>
  </si>
  <si>
    <t>Initialize: Conservation account balance + remaining Mead storage - Mexico conservation account balance - portion of shared, reservoir balance</t>
  </si>
  <si>
    <t xml:space="preserve">   Protection elevation (feet)</t>
  </si>
  <si>
    <t xml:space="preserve">   Storage at protection elevation (maf)</t>
  </si>
  <si>
    <t>Initialize: Sum of protection volumes</t>
  </si>
  <si>
    <t>Initialize: all Powell storage minus Powell protection volume</t>
  </si>
  <si>
    <t>Version</t>
  </si>
  <si>
    <t>3.2.1</t>
  </si>
  <si>
    <t>Give Mexico share of initial Mead storage. The share is Mexico's conservation account balance</t>
  </si>
  <si>
    <t>PLAYER DASHBOARDS</t>
  </si>
  <si>
    <t>Total (maf)</t>
  </si>
  <si>
    <t>SUMMARY of PLAYER ACTIONS</t>
  </si>
  <si>
    <t>Lower Basin Drought Contingency Plan Helper</t>
  </si>
  <si>
    <t>11.6 maf initial, inflow is evap</t>
  </si>
  <si>
    <t>Political decision - Player chooses</t>
  </si>
  <si>
    <t>Combined Natural Inflow</t>
  </si>
  <si>
    <t>Evap</t>
  </si>
  <si>
    <t>Row 46</t>
  </si>
  <si>
    <t>3.3.1</t>
  </si>
  <si>
    <t>1) Create player dashboard so can see Sales/Purchases, Available Water, Account Withdraw, and End-Of-Year Balance all at once, 2) Allow variable price sales</t>
  </si>
  <si>
    <t>3.3.2</t>
  </si>
  <si>
    <t>Combine all natural flows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</si>
</sst>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9">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122">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70" fontId="5" fillId="5" borderId="0" xfId="5" applyNumberFormat="1" applyFont="1" applyFill="1" applyAlignment="1">
      <alignment horizontal="center"/>
    </xf>
    <xf numFmtId="2" fontId="0" fillId="0" borderId="0" xfId="0" applyNumberFormat="1"/>
    <xf numFmtId="0" fontId="1" fillId="0" borderId="0" xfId="0" applyFont="1" applyAlignment="1">
      <alignment wrapText="1"/>
    </xf>
    <xf numFmtId="0" fontId="1" fillId="6" borderId="9" xfId="0" applyFont="1" applyFill="1" applyBorder="1" applyAlignment="1">
      <alignment horizontal="center" vertical="center" wrapText="1"/>
    </xf>
    <xf numFmtId="0" fontId="1" fillId="6"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2" fontId="5" fillId="5" borderId="0" xfId="6" applyNumberFormat="1" applyAlignment="1">
      <alignment horizontal="center"/>
    </xf>
    <xf numFmtId="166" fontId="5" fillId="5" borderId="1" xfId="6" applyNumberFormat="1" applyBorder="1" applyAlignment="1">
      <alignment horizontal="center"/>
    </xf>
    <xf numFmtId="164" fontId="0" fillId="0" borderId="9" xfId="0" applyNumberFormat="1" applyBorder="1" applyAlignment="1">
      <alignment horizontal="center" vertical="top"/>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5" fillId="5" borderId="9" xfId="6" applyBorder="1" applyAlignment="1">
      <alignment horizontal="left"/>
    </xf>
    <xf numFmtId="0" fontId="6" fillId="0" borderId="0" xfId="0" applyFont="1" applyAlignment="1">
      <alignment horizontal="center"/>
    </xf>
    <xf numFmtId="0" fontId="3" fillId="2" borderId="1" xfId="2" applyAlignment="1">
      <alignment horizontal="center"/>
    </xf>
    <xf numFmtId="167" fontId="4" fillId="3" borderId="1" xfId="4" applyNumberFormat="1" applyFont="1" applyFill="1" applyBorder="1" applyAlignment="1">
      <alignment horizontal="center"/>
    </xf>
    <xf numFmtId="167" fontId="5" fillId="5" borderId="1" xfId="6" applyNumberFormat="1" applyBorder="1" applyAlignment="1">
      <alignment horizontal="center"/>
    </xf>
    <xf numFmtId="164" fontId="4" fillId="3" borderId="1" xfId="3" applyNumberFormat="1" applyFont="1" applyAlignment="1">
      <alignment horizontal="center"/>
    </xf>
    <xf numFmtId="164" fontId="4" fillId="3" borderId="1" xfId="4" applyNumberFormat="1" applyFont="1" applyFill="1" applyBorder="1" applyAlignment="1">
      <alignment horizontal="center"/>
    </xf>
    <xf numFmtId="0" fontId="1" fillId="6" borderId="0" xfId="0" applyFont="1" applyFill="1"/>
    <xf numFmtId="0" fontId="0" fillId="6" borderId="0" xfId="0" applyFill="1"/>
    <xf numFmtId="0" fontId="1" fillId="6" borderId="0" xfId="0" applyFont="1" applyFill="1" applyAlignment="1">
      <alignment horizontal="center"/>
    </xf>
    <xf numFmtId="0" fontId="1" fillId="8" borderId="0" xfId="0" applyFont="1" applyFill="1"/>
    <xf numFmtId="0" fontId="0" fillId="8" borderId="0" xfId="0" applyFill="1"/>
    <xf numFmtId="164" fontId="0" fillId="0" borderId="0" xfId="1" applyNumberFormat="1" applyFont="1"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48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3.4213727493546848</c:v>
                </c:pt>
                <c:pt idx="3">
                  <c:v>2.4265133965237027</c:v>
                </c:pt>
                <c:pt idx="4">
                  <c:v>2.4230730928820652</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'11.0-TradeReserve'!$C$78:$G$78</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0-70C4-4BB9-9852-15FB71419EFE}"/>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3067390379738842"/>
          <c:h val="0.35031387871442449"/>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7.6425607766800914</c:v>
                </c:pt>
                <c:pt idx="3">
                  <c:v>6.6113060670383863</c:v>
                </c:pt>
                <c:pt idx="4">
                  <c:v>6.2249460986089646</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7.1385464313993898</c:v>
                </c:pt>
                <c:pt idx="3">
                  <c:v>6.1</c:v>
                </c:pt>
                <c:pt idx="4">
                  <c:v>6.1</c:v>
                </c:pt>
              </c:numCache>
            </c:numRef>
          </c:val>
          <c:smooth val="0"/>
          <c:extLst>
            <c:ext xmlns:c16="http://schemas.microsoft.com/office/drawing/2014/chart" uri="{C3380CC4-5D6E-409C-BE32-E72D297353CC}">
              <c16:uniqueId val="{00000001-A243-4D6A-9A25-2CBF47155BF4}"/>
            </c:ext>
          </c:extLst>
        </c:ser>
        <c:ser>
          <c:idx val="2"/>
          <c:order val="2"/>
          <c:tx>
            <c:v>Trade, Reserve</c:v>
          </c:tx>
          <c:spPr>
            <a:ln w="19050" cap="rnd">
              <a:solidFill>
                <a:schemeClr val="tx1"/>
              </a:solidFill>
              <a:prstDash val="lgDash"/>
              <a:round/>
            </a:ln>
            <a:effectLst/>
          </c:spPr>
          <c:marker>
            <c:symbol val="x"/>
            <c:size val="6"/>
            <c:spPr>
              <a:noFill/>
              <a:ln w="9525">
                <a:solidFill>
                  <a:schemeClr val="tx1"/>
                </a:solidFill>
              </a:ln>
              <a:effectLst/>
            </c:spPr>
          </c:marker>
          <c:val>
            <c:numRef>
              <c:f>'11.0-TradeReserve'!$C$85:$G$85</c:f>
              <c:numCache>
                <c:formatCode>0.0</c:formatCode>
                <c:ptCount val="5"/>
                <c:pt idx="0">
                  <c:v>3.2624438809560035</c:v>
                </c:pt>
                <c:pt idx="1">
                  <c:v>2.6059121066952144</c:v>
                </c:pt>
                <c:pt idx="2">
                  <c:v>2.2851245093047288</c:v>
                </c:pt>
                <c:pt idx="3">
                  <c:v>2.5817095100952416</c:v>
                </c:pt>
                <c:pt idx="4">
                  <c:v>2.8637198302764233</c:v>
                </c:pt>
              </c:numCache>
            </c:numRef>
          </c:val>
          <c:smooth val="0"/>
          <c:extLst>
            <c:ext xmlns:c16="http://schemas.microsoft.com/office/drawing/2014/chart" uri="{C3380CC4-5D6E-409C-BE32-E72D297353CC}">
              <c16:uniqueId val="{00000000-04A7-4822-A6EB-C6AA51C40F6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'11.0-TradeReserve'!$C$79:$G$79</c:f>
              <c:numCache>
                <c:formatCode>0.0</c:formatCode>
                <c:ptCount val="5"/>
                <c:pt idx="0">
                  <c:v>6.9</c:v>
                </c:pt>
                <c:pt idx="1">
                  <c:v>6.9</c:v>
                </c:pt>
                <c:pt idx="2">
                  <c:v>6.9</c:v>
                </c:pt>
                <c:pt idx="3">
                  <c:v>6.9</c:v>
                </c:pt>
                <c:pt idx="4">
                  <c:v>6.9</c:v>
                </c:pt>
              </c:numCache>
            </c:numRef>
          </c:val>
          <c:smooth val="0"/>
          <c:extLst>
            <c:ext xmlns:c16="http://schemas.microsoft.com/office/drawing/2014/chart" uri="{C3380CC4-5D6E-409C-BE32-E72D297353CC}">
              <c16:uniqueId val="{00000000-3D35-4113-A3D3-11A0935FD7C1}"/>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10.058999999999999</c:v>
                </c:pt>
                <c:pt idx="1">
                  <c:v>9.6698308643071194</c:v>
                </c:pt>
                <c:pt idx="2">
                  <c:v>9.2767404490576055</c:v>
                </c:pt>
                <c:pt idx="3">
                  <c:v>8.9640950761011382</c:v>
                </c:pt>
                <c:pt idx="4">
                  <c:v>8.6506809620768621</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10.058999999999999</c:v>
                </c:pt>
                <c:pt idx="1">
                  <c:v>10.169830864307119</c:v>
                </c:pt>
                <c:pt idx="2">
                  <c:v>10.155867467276902</c:v>
                </c:pt>
                <c:pt idx="3">
                  <c:v>10.127301773918607</c:v>
                </c:pt>
                <c:pt idx="4">
                  <c:v>9.687083092847427</c:v>
                </c:pt>
              </c:numCache>
            </c:numRef>
          </c:val>
          <c:smooth val="0"/>
          <c:extLst>
            <c:ext xmlns:c16="http://schemas.microsoft.com/office/drawing/2014/chart" uri="{C3380CC4-5D6E-409C-BE32-E72D297353CC}">
              <c16:uniqueId val="{00000001-D877-4E0B-8DD9-991F585A264B}"/>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'11.0-TradeReserve'!$C$86:$G$86</c:f>
              <c:numCache>
                <c:formatCode>0.0</c:formatCode>
                <c:ptCount val="5"/>
                <c:pt idx="0">
                  <c:v>4.566312706382833</c:v>
                </c:pt>
                <c:pt idx="1">
                  <c:v>4.6147112984892829</c:v>
                </c:pt>
                <c:pt idx="2">
                  <c:v>4.6537848163901909</c:v>
                </c:pt>
                <c:pt idx="3">
                  <c:v>4.2884546174808307</c:v>
                </c:pt>
                <c:pt idx="4">
                  <c:v>3.9404978431203883</c:v>
                </c:pt>
              </c:numCache>
            </c:numRef>
          </c:val>
          <c:smooth val="0"/>
          <c:extLst>
            <c:ext xmlns:c16="http://schemas.microsoft.com/office/drawing/2014/chart" uri="{C3380CC4-5D6E-409C-BE32-E72D297353CC}">
              <c16:uniqueId val="{00000000-4CE3-4BC1-B35E-9665CC053CA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8.9036315279864233</c:v>
                </c:pt>
                <c:pt idx="8">
                  <c:v>9.902385129376853</c:v>
                </c:pt>
                <c:pt idx="9">
                  <c:v>10.862467282554409</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9.4036315279864233</c:v>
                </c:pt>
                <c:pt idx="8">
                  <c:v>10.876202195079536</c:v>
                </c:pt>
                <c:pt idx="9">
                  <c:v>12.286629885257579</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7.9355115124682873</c:v>
                </c:pt>
                <c:pt idx="8">
                  <c:v>7.703961559375176</c:v>
                </c:pt>
                <c:pt idx="9">
                  <c:v>7.4951402711965605</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8.4355115124682882</c:v>
                </c:pt>
                <c:pt idx="8">
                  <c:v>8.6777786250778597</c:v>
                </c:pt>
                <c:pt idx="9">
                  <c:v>8.9193028738997313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7"/>
  <sheetViews>
    <sheetView topLeftCell="A14" zoomScale="150" zoomScaleNormal="150" workbookViewId="0">
      <selection activeCell="B14" sqref="B14:L1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92" t="s">
        <v>171</v>
      </c>
      <c r="B4" s="92"/>
      <c r="C4" s="92"/>
      <c r="D4" s="92"/>
      <c r="E4" s="92"/>
      <c r="F4" s="92"/>
      <c r="G4" s="92"/>
      <c r="H4" s="92"/>
      <c r="I4" s="92"/>
      <c r="J4" s="92"/>
      <c r="K4" s="92"/>
      <c r="L4" s="92"/>
    </row>
    <row r="5" spans="1:12" ht="13.5" customHeight="1" x14ac:dyDescent="0.35">
      <c r="B5" s="15"/>
      <c r="C5" s="15"/>
      <c r="D5" s="15"/>
      <c r="E5" s="15"/>
      <c r="F5" s="15"/>
      <c r="G5" s="15"/>
      <c r="H5" s="15"/>
      <c r="I5" s="15"/>
      <c r="J5" s="15"/>
      <c r="K5" s="15"/>
      <c r="L5" s="15"/>
    </row>
    <row r="6" spans="1:12" ht="16.5" customHeight="1" x14ac:dyDescent="0.35">
      <c r="A6" s="96" t="s">
        <v>109</v>
      </c>
      <c r="B6" s="97"/>
      <c r="C6" s="97"/>
      <c r="D6" s="97"/>
      <c r="E6" s="97"/>
      <c r="F6" s="97"/>
      <c r="G6" s="97"/>
      <c r="H6" s="97"/>
      <c r="I6" s="97"/>
      <c r="J6" s="97"/>
      <c r="K6" s="97"/>
      <c r="L6" s="98"/>
    </row>
    <row r="7" spans="1:12" ht="16.5" customHeight="1" x14ac:dyDescent="0.35">
      <c r="A7" s="28">
        <v>1</v>
      </c>
      <c r="B7" s="93" t="s">
        <v>148</v>
      </c>
      <c r="C7" s="93"/>
      <c r="D7" s="93"/>
      <c r="E7" s="93"/>
      <c r="F7" s="93"/>
      <c r="G7" s="93"/>
      <c r="H7" s="93"/>
      <c r="I7" s="93"/>
      <c r="J7" s="93"/>
      <c r="K7" s="93"/>
      <c r="L7" s="94"/>
    </row>
    <row r="8" spans="1:12" ht="16.5" customHeight="1" x14ac:dyDescent="0.35">
      <c r="A8" s="28">
        <v>2</v>
      </c>
      <c r="B8" s="93" t="s">
        <v>93</v>
      </c>
      <c r="C8" s="93"/>
      <c r="D8" s="93"/>
      <c r="E8" s="93"/>
      <c r="F8" s="93"/>
      <c r="G8" s="93"/>
      <c r="H8" s="93"/>
      <c r="I8" s="93"/>
      <c r="J8" s="93"/>
      <c r="K8" s="93"/>
      <c r="L8" s="94"/>
    </row>
    <row r="9" spans="1:12" ht="31" customHeight="1" x14ac:dyDescent="0.35">
      <c r="A9" s="28">
        <v>3</v>
      </c>
      <c r="B9" s="93" t="s">
        <v>170</v>
      </c>
      <c r="C9" s="93"/>
      <c r="D9" s="93"/>
      <c r="E9" s="93"/>
      <c r="F9" s="93"/>
      <c r="G9" s="93"/>
      <c r="H9" s="93"/>
      <c r="I9" s="93"/>
      <c r="J9" s="93"/>
      <c r="K9" s="93"/>
      <c r="L9" s="94"/>
    </row>
    <row r="10" spans="1:12" ht="32.5" customHeight="1" x14ac:dyDescent="0.35">
      <c r="A10" s="28">
        <v>4</v>
      </c>
      <c r="B10" s="93" t="s">
        <v>172</v>
      </c>
      <c r="C10" s="93"/>
      <c r="D10" s="93"/>
      <c r="E10" s="93"/>
      <c r="F10" s="93"/>
      <c r="G10" s="93"/>
      <c r="H10" s="93"/>
      <c r="I10" s="93"/>
      <c r="J10" s="93"/>
      <c r="K10" s="93"/>
      <c r="L10" s="94"/>
    </row>
    <row r="11" spans="1:12" ht="16.5" customHeight="1" x14ac:dyDescent="0.35">
      <c r="A11" s="28">
        <v>5</v>
      </c>
      <c r="B11" s="93" t="s">
        <v>173</v>
      </c>
      <c r="C11" s="93"/>
      <c r="D11" s="93"/>
      <c r="E11" s="93"/>
      <c r="F11" s="93"/>
      <c r="G11" s="93"/>
      <c r="H11" s="93"/>
      <c r="I11" s="93"/>
      <c r="J11" s="93"/>
      <c r="K11" s="93"/>
      <c r="L11" s="94"/>
    </row>
    <row r="12" spans="1:12" ht="16.5" customHeight="1" x14ac:dyDescent="0.35">
      <c r="A12" s="28">
        <v>6</v>
      </c>
      <c r="B12" s="93" t="s">
        <v>174</v>
      </c>
      <c r="C12" s="93"/>
      <c r="D12" s="93"/>
      <c r="E12" s="93"/>
      <c r="F12" s="93"/>
      <c r="G12" s="93"/>
      <c r="H12" s="93"/>
      <c r="I12" s="93"/>
      <c r="J12" s="93"/>
      <c r="K12" s="93"/>
      <c r="L12" s="94"/>
    </row>
    <row r="13" spans="1:12" ht="47" customHeight="1" x14ac:dyDescent="0.35">
      <c r="A13" s="28">
        <v>7</v>
      </c>
      <c r="B13" s="93" t="s">
        <v>175</v>
      </c>
      <c r="C13" s="93"/>
      <c r="D13" s="93"/>
      <c r="E13" s="93"/>
      <c r="F13" s="93"/>
      <c r="G13" s="93"/>
      <c r="H13" s="93"/>
      <c r="I13" s="93"/>
      <c r="J13" s="93"/>
      <c r="K13" s="93"/>
      <c r="L13" s="94"/>
    </row>
    <row r="14" spans="1:12" ht="32.5" customHeight="1" x14ac:dyDescent="0.35">
      <c r="A14" s="28">
        <v>8</v>
      </c>
      <c r="B14" s="93" t="s">
        <v>177</v>
      </c>
      <c r="C14" s="93"/>
      <c r="D14" s="93"/>
      <c r="E14" s="93"/>
      <c r="F14" s="93"/>
      <c r="G14" s="93"/>
      <c r="H14" s="93"/>
      <c r="I14" s="93"/>
      <c r="J14" s="93"/>
      <c r="K14" s="93"/>
      <c r="L14" s="94"/>
    </row>
    <row r="15" spans="1:12" ht="16.5" customHeight="1" x14ac:dyDescent="0.35">
      <c r="A15" s="28">
        <v>9</v>
      </c>
      <c r="B15" s="93" t="s">
        <v>176</v>
      </c>
      <c r="C15" s="93"/>
      <c r="D15" s="93"/>
      <c r="E15" s="93"/>
      <c r="F15" s="93"/>
      <c r="G15" s="93"/>
      <c r="H15" s="93"/>
      <c r="I15" s="93"/>
      <c r="J15" s="93"/>
      <c r="K15" s="93"/>
      <c r="L15" s="94"/>
    </row>
    <row r="16" spans="1:12" ht="16.5" customHeight="1" x14ac:dyDescent="0.35">
      <c r="A16" s="28">
        <v>10</v>
      </c>
      <c r="B16" s="93" t="s">
        <v>178</v>
      </c>
      <c r="C16" s="93"/>
      <c r="D16" s="93"/>
      <c r="E16" s="93"/>
      <c r="F16" s="93"/>
      <c r="G16" s="93"/>
      <c r="H16" s="93"/>
      <c r="I16" s="93"/>
      <c r="J16" s="93"/>
      <c r="K16" s="93"/>
      <c r="L16" s="94"/>
    </row>
    <row r="17" spans="1:12" ht="32" customHeight="1" x14ac:dyDescent="0.35">
      <c r="A17" s="28">
        <v>11</v>
      </c>
      <c r="B17" s="93" t="s">
        <v>179</v>
      </c>
      <c r="C17" s="93"/>
      <c r="D17" s="93"/>
      <c r="E17" s="93"/>
      <c r="F17" s="93"/>
      <c r="G17" s="93"/>
      <c r="H17" s="93"/>
      <c r="I17" s="93"/>
      <c r="J17" s="93"/>
      <c r="K17" s="93"/>
      <c r="L17" s="94"/>
    </row>
    <row r="18" spans="1:12" ht="16.5" customHeight="1" x14ac:dyDescent="0.35">
      <c r="A18" s="28">
        <v>12</v>
      </c>
      <c r="B18" s="99" t="s">
        <v>149</v>
      </c>
      <c r="C18" s="99"/>
      <c r="D18" s="99"/>
      <c r="E18" s="99"/>
      <c r="F18" s="99"/>
      <c r="G18" s="99"/>
      <c r="H18" s="99"/>
      <c r="I18" s="99"/>
      <c r="J18" s="99"/>
      <c r="K18" s="99"/>
      <c r="L18" s="100"/>
    </row>
    <row r="19" spans="1:12" ht="32" customHeight="1" x14ac:dyDescent="0.35">
      <c r="A19" s="28">
        <v>13</v>
      </c>
      <c r="B19" s="101" t="s">
        <v>150</v>
      </c>
      <c r="C19" s="101"/>
      <c r="D19" s="101"/>
      <c r="E19" s="101"/>
      <c r="F19" s="101"/>
      <c r="G19" s="101"/>
      <c r="H19" s="101"/>
      <c r="I19" s="101"/>
      <c r="J19" s="101"/>
      <c r="K19" s="101"/>
      <c r="L19" s="102"/>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204</v>
      </c>
      <c r="C23" t="s">
        <v>205</v>
      </c>
    </row>
    <row r="24" spans="1:12" x14ac:dyDescent="0.35">
      <c r="B24" s="2" t="s">
        <v>143</v>
      </c>
      <c r="C24" t="s">
        <v>195</v>
      </c>
    </row>
    <row r="25" spans="1:12" x14ac:dyDescent="0.35">
      <c r="B25" s="2" t="s">
        <v>202</v>
      </c>
      <c r="C25" t="s">
        <v>203</v>
      </c>
    </row>
    <row r="26" spans="1:12" x14ac:dyDescent="0.35">
      <c r="B26" s="2" t="s">
        <v>144</v>
      </c>
      <c r="C26" t="s">
        <v>152</v>
      </c>
    </row>
    <row r="27" spans="1:12" x14ac:dyDescent="0.35">
      <c r="B27" s="2" t="s">
        <v>146</v>
      </c>
      <c r="C27" t="s">
        <v>153</v>
      </c>
    </row>
    <row r="28" spans="1:12" x14ac:dyDescent="0.35">
      <c r="B28" s="2" t="s">
        <v>196</v>
      </c>
      <c r="C28" t="s">
        <v>197</v>
      </c>
    </row>
    <row r="29" spans="1:12" x14ac:dyDescent="0.35">
      <c r="B29" s="2" t="s">
        <v>191</v>
      </c>
      <c r="C29" t="s">
        <v>154</v>
      </c>
    </row>
    <row r="30" spans="1:12" x14ac:dyDescent="0.35">
      <c r="B30" s="2" t="s">
        <v>198</v>
      </c>
      <c r="C30" t="s">
        <v>199</v>
      </c>
    </row>
    <row r="31" spans="1:12" x14ac:dyDescent="0.35">
      <c r="B31" s="2" t="s">
        <v>192</v>
      </c>
      <c r="C31" t="s">
        <v>193</v>
      </c>
    </row>
    <row r="32" spans="1:12" x14ac:dyDescent="0.35">
      <c r="B32" s="2" t="s">
        <v>96</v>
      </c>
      <c r="C32" t="s">
        <v>97</v>
      </c>
    </row>
    <row r="33" spans="1:12" x14ac:dyDescent="0.35">
      <c r="B33" s="2" t="s">
        <v>98</v>
      </c>
      <c r="C33" t="s">
        <v>99</v>
      </c>
    </row>
    <row r="34" spans="1:12" x14ac:dyDescent="0.35">
      <c r="B34" s="2" t="s">
        <v>155</v>
      </c>
      <c r="C34" t="s">
        <v>156</v>
      </c>
    </row>
    <row r="36" spans="1:12" x14ac:dyDescent="0.35">
      <c r="A36" s="1" t="s">
        <v>50</v>
      </c>
    </row>
    <row r="37" spans="1:12" ht="30.5" customHeight="1" x14ac:dyDescent="0.35">
      <c r="A37" s="95" t="s">
        <v>151</v>
      </c>
      <c r="B37" s="95"/>
      <c r="C37" s="95"/>
      <c r="D37" s="95"/>
      <c r="E37" s="95"/>
      <c r="F37" s="95"/>
      <c r="G37" s="95"/>
      <c r="H37" s="95"/>
      <c r="I37" s="95"/>
      <c r="J37" s="95"/>
      <c r="K37" s="95"/>
      <c r="L37" s="95"/>
    </row>
  </sheetData>
  <mergeCells count="16">
    <mergeCell ref="A37:L37"/>
    <mergeCell ref="A6:L6"/>
    <mergeCell ref="B10:L10"/>
    <mergeCell ref="B7:L7"/>
    <mergeCell ref="B8:L8"/>
    <mergeCell ref="B15:L15"/>
    <mergeCell ref="B16:L16"/>
    <mergeCell ref="B17:L17"/>
    <mergeCell ref="B18:L18"/>
    <mergeCell ref="B19:L19"/>
    <mergeCell ref="B14:L14"/>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F11"/>
  <sheetViews>
    <sheetView tabSelected="1" zoomScale="150" zoomScaleNormal="150" workbookViewId="0">
      <selection activeCell="C3" sqref="C3"/>
    </sheetView>
  </sheetViews>
  <sheetFormatPr defaultRowHeight="14.5" x14ac:dyDescent="0.35"/>
  <cols>
    <col min="1" max="1" width="8.7265625" style="83"/>
    <col min="2" max="2" width="12.6328125" style="83" customWidth="1"/>
    <col min="3" max="3" width="29.90625" style="82" customWidth="1"/>
    <col min="4" max="4" width="12.453125" style="85" customWidth="1"/>
    <col min="5" max="5" width="15.08984375" style="85" customWidth="1"/>
    <col min="6" max="6" width="10.54296875" style="83" customWidth="1"/>
  </cols>
  <sheetData>
    <row r="1" spans="1:6" s="79" customFormat="1" ht="30.5" customHeight="1" x14ac:dyDescent="0.35">
      <c r="A1" s="80" t="s">
        <v>230</v>
      </c>
      <c r="B1" s="80" t="s">
        <v>206</v>
      </c>
      <c r="C1" s="81" t="s">
        <v>207</v>
      </c>
      <c r="D1" s="80" t="s">
        <v>209</v>
      </c>
      <c r="E1" s="80" t="s">
        <v>208</v>
      </c>
      <c r="F1" s="80" t="s">
        <v>210</v>
      </c>
    </row>
    <row r="3" spans="1:6" x14ac:dyDescent="0.35">
      <c r="A3" s="83" t="s">
        <v>244</v>
      </c>
      <c r="B3" s="84">
        <v>44377</v>
      </c>
      <c r="C3" s="82" t="s">
        <v>245</v>
      </c>
      <c r="D3" s="85" t="s">
        <v>184</v>
      </c>
      <c r="E3" s="85" t="s">
        <v>184</v>
      </c>
      <c r="F3" s="84">
        <v>44377</v>
      </c>
    </row>
    <row r="4" spans="1:6" ht="72.5" x14ac:dyDescent="0.35">
      <c r="A4" s="83" t="s">
        <v>242</v>
      </c>
      <c r="B4" s="84">
        <v>44377</v>
      </c>
      <c r="C4" s="82" t="s">
        <v>243</v>
      </c>
      <c r="D4" s="85" t="s">
        <v>184</v>
      </c>
      <c r="E4" s="85" t="s">
        <v>211</v>
      </c>
      <c r="F4" s="84">
        <v>44372</v>
      </c>
    </row>
    <row r="5" spans="1:6" ht="43.5" x14ac:dyDescent="0.35">
      <c r="A5" s="83">
        <v>3.3</v>
      </c>
      <c r="B5" s="84">
        <v>44377</v>
      </c>
      <c r="C5" s="82" t="s">
        <v>232</v>
      </c>
      <c r="D5" s="85" t="s">
        <v>184</v>
      </c>
      <c r="E5" s="85" t="s">
        <v>211</v>
      </c>
      <c r="F5" s="84">
        <v>44372</v>
      </c>
    </row>
    <row r="6" spans="1:6" ht="29" x14ac:dyDescent="0.35">
      <c r="A6" s="83" t="s">
        <v>231</v>
      </c>
      <c r="B6" s="84">
        <v>44377</v>
      </c>
      <c r="C6" s="82" t="s">
        <v>212</v>
      </c>
      <c r="D6" s="85" t="s">
        <v>184</v>
      </c>
      <c r="E6" s="85" t="s">
        <v>184</v>
      </c>
      <c r="F6" s="84">
        <v>44377</v>
      </c>
    </row>
    <row r="7" spans="1:6" ht="116" x14ac:dyDescent="0.35">
      <c r="A7" s="83">
        <v>3.2</v>
      </c>
      <c r="B7" s="84">
        <v>44367</v>
      </c>
      <c r="C7" s="82" t="s">
        <v>220</v>
      </c>
      <c r="D7" s="85" t="s">
        <v>184</v>
      </c>
      <c r="E7" s="85" t="s">
        <v>184</v>
      </c>
      <c r="F7" s="84">
        <v>44367</v>
      </c>
    </row>
    <row r="8" spans="1:6" ht="29" x14ac:dyDescent="0.35">
      <c r="A8" s="83">
        <v>3.1</v>
      </c>
      <c r="B8" s="84">
        <v>44331</v>
      </c>
      <c r="C8" s="82" t="s">
        <v>219</v>
      </c>
      <c r="D8" s="85" t="s">
        <v>184</v>
      </c>
      <c r="E8" s="85" t="s">
        <v>184</v>
      </c>
      <c r="F8" s="84">
        <v>44331</v>
      </c>
    </row>
    <row r="9" spans="1:6" ht="72.5" x14ac:dyDescent="0.35">
      <c r="A9" s="83">
        <v>3</v>
      </c>
      <c r="B9" s="84">
        <v>44319</v>
      </c>
      <c r="C9" s="82" t="s">
        <v>218</v>
      </c>
      <c r="D9" s="85" t="s">
        <v>184</v>
      </c>
      <c r="E9" s="85" t="s">
        <v>213</v>
      </c>
      <c r="F9" s="84">
        <v>44315</v>
      </c>
    </row>
    <row r="10" spans="1:6" ht="29" x14ac:dyDescent="0.35">
      <c r="A10" s="83">
        <v>2</v>
      </c>
      <c r="B10" s="84">
        <v>44307</v>
      </c>
      <c r="C10" s="82" t="s">
        <v>215</v>
      </c>
      <c r="D10" s="85" t="s">
        <v>184</v>
      </c>
      <c r="E10" s="85" t="s">
        <v>214</v>
      </c>
      <c r="F10" s="84">
        <v>44294</v>
      </c>
    </row>
    <row r="11" spans="1:6" ht="29" x14ac:dyDescent="0.35">
      <c r="A11" s="88">
        <v>1</v>
      </c>
      <c r="B11" s="84">
        <v>44291</v>
      </c>
      <c r="C11" s="82" t="s">
        <v>217</v>
      </c>
      <c r="D11" s="85" t="s">
        <v>184</v>
      </c>
      <c r="E11" s="85" t="s">
        <v>216</v>
      </c>
      <c r="F11" s="84">
        <v>44291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83D47-9CB3-4455-88E6-2FDFFECA8F9F}">
  <dimension ref="A1:Z133"/>
  <sheetViews>
    <sheetView zoomScale="150" zoomScaleNormal="150" workbookViewId="0">
      <selection activeCell="C1" sqref="C1"/>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
        <v>110</v>
      </c>
      <c r="B1" s="1"/>
    </row>
    <row r="2" spans="1:11" x14ac:dyDescent="0.35">
      <c r="A2" s="1"/>
      <c r="B2" s="1"/>
    </row>
    <row r="3" spans="1:11" ht="32" customHeight="1" x14ac:dyDescent="0.35">
      <c r="A3" s="104" t="s">
        <v>169</v>
      </c>
      <c r="B3" s="104"/>
      <c r="C3" s="104"/>
      <c r="D3" s="104"/>
      <c r="E3" s="104"/>
      <c r="F3" s="104"/>
      <c r="G3" s="104"/>
      <c r="H3" s="90"/>
      <c r="I3" s="90"/>
      <c r="J3" s="90"/>
      <c r="K3" s="90"/>
    </row>
    <row r="4" spans="1:11" x14ac:dyDescent="0.35">
      <c r="A4" s="64" t="s">
        <v>39</v>
      </c>
      <c r="B4" s="64" t="s">
        <v>43</v>
      </c>
      <c r="C4" s="105" t="s">
        <v>44</v>
      </c>
      <c r="D4" s="106"/>
      <c r="E4" s="106"/>
      <c r="F4" s="106"/>
      <c r="G4" s="107"/>
    </row>
    <row r="5" spans="1:11" x14ac:dyDescent="0.35">
      <c r="A5" s="91" t="s">
        <v>52</v>
      </c>
      <c r="B5" s="91"/>
      <c r="C5" s="108"/>
      <c r="D5" s="108"/>
      <c r="E5" s="108"/>
      <c r="F5" s="108"/>
      <c r="G5" s="108"/>
    </row>
    <row r="6" spans="1:11" x14ac:dyDescent="0.35">
      <c r="A6" s="89" t="s">
        <v>40</v>
      </c>
      <c r="B6" s="89" t="s">
        <v>184</v>
      </c>
      <c r="C6" s="109" t="s">
        <v>189</v>
      </c>
      <c r="D6" s="109"/>
      <c r="E6" s="109"/>
      <c r="F6" s="109"/>
      <c r="G6" s="109"/>
    </row>
    <row r="7" spans="1:11" x14ac:dyDescent="0.35">
      <c r="A7" s="89" t="s">
        <v>41</v>
      </c>
      <c r="B7" s="89" t="s">
        <v>184</v>
      </c>
      <c r="C7" s="109" t="s">
        <v>190</v>
      </c>
      <c r="D7" s="109"/>
      <c r="E7" s="109"/>
      <c r="F7" s="109"/>
      <c r="G7" s="109"/>
    </row>
    <row r="8" spans="1:11" x14ac:dyDescent="0.35">
      <c r="A8" s="89" t="s">
        <v>42</v>
      </c>
      <c r="B8" s="89" t="s">
        <v>184</v>
      </c>
      <c r="C8" s="109" t="s">
        <v>181</v>
      </c>
      <c r="D8" s="109"/>
      <c r="E8" s="109"/>
      <c r="F8" s="109"/>
      <c r="G8" s="109"/>
    </row>
    <row r="9" spans="1:11" x14ac:dyDescent="0.35">
      <c r="A9" s="89" t="s">
        <v>165</v>
      </c>
      <c r="B9" s="89" t="s">
        <v>184</v>
      </c>
      <c r="C9" s="109" t="s">
        <v>182</v>
      </c>
      <c r="D9" s="109"/>
      <c r="E9" s="109"/>
      <c r="F9" s="109"/>
      <c r="G9" s="109"/>
    </row>
    <row r="10" spans="1:11" x14ac:dyDescent="0.35">
      <c r="A10" s="89" t="s">
        <v>200</v>
      </c>
      <c r="B10" s="89" t="s">
        <v>184</v>
      </c>
      <c r="C10" s="103" t="s">
        <v>237</v>
      </c>
      <c r="D10" s="103"/>
      <c r="E10" s="103"/>
      <c r="F10" s="103"/>
      <c r="G10" s="103"/>
    </row>
    <row r="11" spans="1:11" x14ac:dyDescent="0.35">
      <c r="A11" s="89"/>
      <c r="B11" s="89"/>
      <c r="C11" s="103"/>
      <c r="D11" s="103"/>
      <c r="E11" s="103"/>
      <c r="F11" s="103"/>
      <c r="G11" s="103"/>
    </row>
    <row r="12" spans="1:11" x14ac:dyDescent="0.35">
      <c r="A12" s="16"/>
      <c r="B12" s="2"/>
      <c r="C12"/>
    </row>
    <row r="13" spans="1:11" x14ac:dyDescent="0.35">
      <c r="A13" s="19" t="s">
        <v>46</v>
      </c>
      <c r="B13" s="2"/>
      <c r="C13"/>
    </row>
    <row r="14" spans="1:11" x14ac:dyDescent="0.35">
      <c r="A14" s="20" t="s">
        <v>53</v>
      </c>
    </row>
    <row r="15" spans="1:11" x14ac:dyDescent="0.35">
      <c r="A15" s="22" t="s">
        <v>238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226</v>
      </c>
      <c r="B23" s="87">
        <v>3525</v>
      </c>
      <c r="C23" s="87">
        <v>1020</v>
      </c>
      <c r="D23" s="11"/>
    </row>
    <row r="24" spans="1:14" x14ac:dyDescent="0.35">
      <c r="A24" t="s">
        <v>227</v>
      </c>
      <c r="B24" s="12">
        <f>VLOOKUP(B23,'Powell-Elevation-Area'!$A$5:$B$689,2)/1000000</f>
        <v>5.9265762500000001</v>
      </c>
      <c r="C24" s="12">
        <f>VLOOKUP(C23,'Mead-Elevation-Area'!$A$5:$B$689,2)/1000000</f>
        <v>5.664593</v>
      </c>
      <c r="D24" s="11"/>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221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 ca="1">IF(D$27&lt;&gt;"",C127,"")</f>
        <v>25.378102320000025</v>
      </c>
      <c r="E29" s="14">
        <f ca="1">IF(E$27&lt;&gt;"",D127,"")</f>
        <v>36.042327040895827</v>
      </c>
      <c r="F29" s="14">
        <f ca="1">IF(F$27&lt;&gt;"",E127,"")</f>
        <v>46.395440627535834</v>
      </c>
      <c r="G29" s="14">
        <f ca="1">IF(G$27&lt;&gt;"",F127,"")</f>
        <v>56.437669268707829</v>
      </c>
      <c r="H29" s="14" t="str">
        <f>IF(H$27&lt;&gt;"",G127,"")</f>
        <v/>
      </c>
      <c r="I29" s="14" t="str">
        <f>IF(I$27&lt;&gt;"",H127,"")</f>
        <v/>
      </c>
      <c r="J29" s="14" t="str">
        <f>IF(J$27&lt;&gt;"",I127,"")</f>
        <v/>
      </c>
      <c r="K29" s="14" t="str">
        <f>IF(K$27&lt;&gt;"",J127,"")</f>
        <v/>
      </c>
      <c r="L29" s="14" t="str">
        <f>IF(L$27&lt;&gt;"",K127,"")</f>
        <v/>
      </c>
    </row>
    <row r="30" spans="1:14" x14ac:dyDescent="0.35">
      <c r="A30" t="str">
        <f t="shared" ref="A30:A35" si="2">IF(A6="","","    "&amp;A6&amp;" Balance")</f>
        <v xml:space="preserve">    Upper Basin Balance</v>
      </c>
      <c r="B30" s="55">
        <f>B22-B24</f>
        <v>5.0734237499999999</v>
      </c>
      <c r="C30" s="14">
        <f>IF(OR(C$27="",$A30=""),"",B30)</f>
        <v>5.0734237499999999</v>
      </c>
      <c r="D30" s="14">
        <f ca="1">IF(OR(D$27="",$A30=""),"",C121)</f>
        <v>5.8178582945981319</v>
      </c>
      <c r="E30" s="14">
        <f ca="1">IF(OR(E$27="",$A30=""),"",D121)</f>
        <v>8.053941915874697</v>
      </c>
      <c r="F30" s="14">
        <f ca="1">IF(OR(F$27="",$A30=""),"",E121)</f>
        <v>10.253798612052412</v>
      </c>
      <c r="G30" s="14">
        <f ca="1">IF(OR(G$27="",$A30=""),"",F121)</f>
        <v>12.401573356020792</v>
      </c>
      <c r="H30" s="14" t="str">
        <f>IF(OR(H$27="",$A30=""),"",G121)</f>
        <v/>
      </c>
      <c r="I30" s="14" t="str">
        <f>IF(OR(I$27="",$A30=""),"",H121)</f>
        <v/>
      </c>
      <c r="J30" s="14" t="str">
        <f>IF(OR(J$27="",$A30=""),"",I121)</f>
        <v/>
      </c>
      <c r="K30" s="14" t="str">
        <f>IF(OR(K$27="",$A30=""),"",J121)</f>
        <v/>
      </c>
      <c r="L30" s="14" t="str">
        <f>IF(OR(L$27="",$A30=""),"",K121)</f>
        <v/>
      </c>
      <c r="N30" t="s">
        <v>229</v>
      </c>
    </row>
    <row r="31" spans="1:14" x14ac:dyDescent="0.35">
      <c r="A31" t="str">
        <f t="shared" si="2"/>
        <v xml:space="preserve">    Lower Basin Balance</v>
      </c>
      <c r="B31" s="55">
        <f>C22-C24-B32</f>
        <v>4.3944069999999993</v>
      </c>
      <c r="C31" s="14">
        <f t="shared" ref="C31:C35" si="3">IF(OR(C$27="",$A31=""),"",B31)</f>
        <v>4.3944069999999993</v>
      </c>
      <c r="D31" s="14">
        <f ca="1">IF(OR(D$27="",$A31=""),"",C122)</f>
        <v>6.8717271200249606</v>
      </c>
      <c r="E31" s="14">
        <f ca="1">IF(OR(E$27="",$A31=""),"",D122)</f>
        <v>13.260645742743099</v>
      </c>
      <c r="F31" s="14">
        <f ca="1">IF(OR(F$27="",$A31=""),"",E122)</f>
        <v>19.451484052928773</v>
      </c>
      <c r="G31" s="14">
        <f ca="1">IF(OR(G$27="",$A31=""),"",F122)</f>
        <v>25.450788606361094</v>
      </c>
      <c r="H31" s="14" t="str">
        <f>IF(OR(H$27="",$A31=""),"",G122)</f>
        <v/>
      </c>
      <c r="I31" s="14" t="str">
        <f>IF(OR(I$27="",$A31=""),"",H122)</f>
        <v/>
      </c>
      <c r="J31" s="14" t="str">
        <f>IF(OR(J$27="",$A31=""),"",I122)</f>
        <v/>
      </c>
      <c r="K31" s="14" t="str">
        <f>IF(OR(K$27="",$A31=""),"",J122)</f>
        <v/>
      </c>
      <c r="L31" s="14" t="str">
        <f>IF(OR(L$27="",$A31=""),"",K122)</f>
        <v/>
      </c>
      <c r="N31" t="s">
        <v>225</v>
      </c>
    </row>
    <row r="32" spans="1:14" x14ac:dyDescent="0.35">
      <c r="A32" t="str">
        <f t="shared" si="2"/>
        <v xml:space="preserve">    Mexico Balance</v>
      </c>
      <c r="B32" s="86">
        <v>4.1000000000000002E-2</v>
      </c>
      <c r="C32" s="59">
        <f t="shared" si="3"/>
        <v>4.1000000000000002E-2</v>
      </c>
      <c r="D32" s="59">
        <f ca="1">IF(OR(D$27="",$A32=""),"",C123)</f>
        <v>0.49734765537693515</v>
      </c>
      <c r="E32" s="59">
        <f ca="1">IF(OR(E$27="",$A32=""),"",D123)</f>
        <v>1.9634226194683575</v>
      </c>
      <c r="F32" s="59">
        <f ca="1">IF(OR(F$27="",$A32=""),"",E123)</f>
        <v>3.3729361388488051</v>
      </c>
      <c r="G32" s="59">
        <f ca="1">IF(OR(G$27="",$A32=""),"",F123)</f>
        <v>4.7334799639927168</v>
      </c>
      <c r="H32" s="14" t="str">
        <f>IF(OR(H$27="",$A32=""),"",G123)</f>
        <v/>
      </c>
      <c r="I32" s="14" t="str">
        <f>IF(OR(I$27="",$A32=""),"",H123)</f>
        <v/>
      </c>
      <c r="J32" s="14" t="str">
        <f>IF(OR(J$27="",$A32=""),"",I123)</f>
        <v/>
      </c>
      <c r="K32" s="14" t="str">
        <f>IF(OR(K$27="",$A32=""),"",J123)</f>
        <v/>
      </c>
      <c r="L32" s="14" t="str">
        <f>IF(OR(L$27="",$A32=""),"",K123)</f>
        <v/>
      </c>
      <c r="N32" t="s">
        <v>224</v>
      </c>
    </row>
    <row r="33" spans="1:14" x14ac:dyDescent="0.35">
      <c r="A33" t="str">
        <f t="shared" si="2"/>
        <v xml:space="preserve">    Mohave &amp; Havasu Evap &amp; ET Balance</v>
      </c>
      <c r="B33" s="56">
        <v>0</v>
      </c>
      <c r="C33" s="14">
        <f t="shared" si="3"/>
        <v>0</v>
      </c>
      <c r="D33" s="14">
        <f ca="1">IF(OR(D$27="",$A33=""),"",C124)</f>
        <v>0.6</v>
      </c>
      <c r="E33" s="14">
        <f ca="1">IF(OR(E$27="",$A33=""),"",D124)</f>
        <v>1.1731475128096764</v>
      </c>
      <c r="F33" s="14">
        <f ca="1">IF(OR(F$27="",$A33=""),"",E124)</f>
        <v>1.7260525737058441</v>
      </c>
      <c r="G33" s="14">
        <f ca="1">IF(OR(G$27="",$A33=""),"",F124)</f>
        <v>2.2606580923332324</v>
      </c>
      <c r="H33" s="14" t="str">
        <f>IF(OR(H$27="",$A33=""),"",G124)</f>
        <v/>
      </c>
      <c r="I33" s="14" t="str">
        <f>IF(OR(I$27="",$A33=""),"",H124)</f>
        <v/>
      </c>
      <c r="J33" s="14" t="str">
        <f>IF(OR(J$27="",$A33=""),"",I124)</f>
        <v/>
      </c>
      <c r="K33" s="14" t="str">
        <f>IF(OR(K$27="",$A33=""),"",J124)</f>
        <v/>
      </c>
      <c r="L33" s="14" t="str">
        <f>IF(OR(L$27="",$A33=""),"",K124)</f>
        <v/>
      </c>
    </row>
    <row r="34" spans="1:14" x14ac:dyDescent="0.35">
      <c r="A34" t="str">
        <f t="shared" si="2"/>
        <v xml:space="preserve">    Shared, Reserve Balance</v>
      </c>
      <c r="B34" s="55">
        <f>SUM(B24:C24)</f>
        <v>11.59116925</v>
      </c>
      <c r="C34" s="14">
        <f t="shared" si="3"/>
        <v>11.59116925</v>
      </c>
      <c r="D34" s="14">
        <f ca="1">IF(OR(D$27="",$A34=""),"",C125)</f>
        <v>11.59116925</v>
      </c>
      <c r="E34" s="14">
        <f ca="1">IF(OR(E$27="",$A34=""),"",D125)</f>
        <v>11.59116925</v>
      </c>
      <c r="F34" s="14">
        <f ca="1">IF(OR(F$27="",$A34=""),"",E125)</f>
        <v>11.59116925</v>
      </c>
      <c r="G34" s="14">
        <f ca="1">IF(OR(G$27="",$A34=""),"",F125)</f>
        <v>11.59116925</v>
      </c>
      <c r="H34" s="14" t="str">
        <f>IF(OR(H$27="",$A34=""),"",G125)</f>
        <v/>
      </c>
      <c r="I34" s="14" t="str">
        <f>IF(OR(I$27="",$A34=""),"",H125)</f>
        <v/>
      </c>
      <c r="J34" s="14" t="str">
        <f>IF(OR(J$27="",$A34=""),"",I125)</f>
        <v/>
      </c>
      <c r="K34" s="14" t="str">
        <f>IF(OR(K$27="",$A34=""),"",J125)</f>
        <v/>
      </c>
      <c r="L34" s="14" t="str">
        <f>IF(OR(L$27="",$A34=""),"",K125)</f>
        <v/>
      </c>
      <c r="N34" t="s">
        <v>228</v>
      </c>
    </row>
    <row r="35" spans="1:14" x14ac:dyDescent="0.35">
      <c r="A35" t="str">
        <f t="shared" si="2"/>
        <v/>
      </c>
      <c r="B35" s="56"/>
      <c r="C35" s="14" t="str">
        <f t="shared" si="3"/>
        <v/>
      </c>
      <c r="D35" s="14" t="str">
        <f>IF(OR(D$27="",$A35=""),"",C126)</f>
        <v/>
      </c>
      <c r="E35" s="14" t="str">
        <f>IF(OR(E$27="",$A35=""),"",D126)</f>
        <v/>
      </c>
      <c r="F35" s="14" t="str">
        <f>IF(OR(F$27="",$A35=""),"",E126)</f>
        <v/>
      </c>
      <c r="G35" s="14" t="str">
        <f>IF(OR(G$27="",$A35=""),"",F126)</f>
        <v/>
      </c>
      <c r="H35" s="14" t="str">
        <f>IF(OR(H$27="",$A35=""),"",G126)</f>
        <v/>
      </c>
      <c r="I35" s="14" t="str">
        <f>IF(OR(I$27="",$A35=""),"",H126)</f>
        <v/>
      </c>
      <c r="J35" s="14" t="str">
        <f>IF(OR(J$27="",$A35=""),"",I126)</f>
        <v/>
      </c>
      <c r="K35" s="14" t="str">
        <f>IF(OR(K$27="",$A35=""),"",J126)</f>
        <v/>
      </c>
      <c r="L35" s="14" t="str">
        <f>IF(OR(L$27="",$A35=""),"",K126)</f>
        <v/>
      </c>
    </row>
    <row r="36" spans="1:14" x14ac:dyDescent="0.35">
      <c r="A36" s="1" t="s">
        <v>117</v>
      </c>
      <c r="C36"/>
    </row>
    <row r="37" spans="1:14" x14ac:dyDescent="0.35">
      <c r="A37" t="s">
        <v>115</v>
      </c>
      <c r="B37" s="35">
        <v>0.5</v>
      </c>
      <c r="C37" s="14">
        <f>IF(C$27&lt;&gt;"",B22,"")</f>
        <v>11</v>
      </c>
      <c r="D37" s="14">
        <f t="shared" ref="D37:L38" ca="1" si="4">IF(D27&lt;&gt;"",$B37*D$29,"")</f>
        <v>12.689051160000012</v>
      </c>
      <c r="E37" s="14">
        <f t="shared" ca="1" si="4"/>
        <v>18.021163520447914</v>
      </c>
      <c r="F37" s="14">
        <f t="shared" ca="1" si="4"/>
        <v>23.197720313767917</v>
      </c>
      <c r="G37" s="14">
        <f t="shared" ca="1" si="4"/>
        <v>28.218834634353914</v>
      </c>
      <c r="H37" s="14" t="str">
        <f t="shared" si="4"/>
        <v/>
      </c>
      <c r="I37" s="14" t="str">
        <f t="shared" si="4"/>
        <v/>
      </c>
      <c r="J37" s="14" t="str">
        <f t="shared" si="4"/>
        <v/>
      </c>
      <c r="K37" s="14" t="str">
        <f t="shared" si="4"/>
        <v/>
      </c>
      <c r="L37" s="14" t="str">
        <f t="shared" si="4"/>
        <v/>
      </c>
    </row>
    <row r="38" spans="1:14" x14ac:dyDescent="0.35">
      <c r="A38" t="s">
        <v>116</v>
      </c>
      <c r="B38" s="35">
        <f>1-B37</f>
        <v>0.5</v>
      </c>
      <c r="C38" s="14">
        <f>IF(C$27&lt;&gt;"",C22,"")</f>
        <v>10.1</v>
      </c>
      <c r="D38" s="14">
        <f t="shared" ca="1" si="4"/>
        <v>12.689051160000012</v>
      </c>
      <c r="E38" s="14">
        <f t="shared" ca="1" si="4"/>
        <v>18.021163520447914</v>
      </c>
      <c r="F38" s="14">
        <f t="shared" ca="1" si="4"/>
        <v>23.197720313767917</v>
      </c>
      <c r="G38" s="14">
        <f t="shared" ca="1" si="4"/>
        <v>28.218834634353914</v>
      </c>
      <c r="H38" s="14" t="str">
        <f t="shared" si="4"/>
        <v/>
      </c>
      <c r="I38" s="14" t="str">
        <f t="shared" si="4"/>
        <v/>
      </c>
      <c r="J38" s="14" t="str">
        <f t="shared" si="4"/>
        <v/>
      </c>
      <c r="K38" s="14" t="str">
        <f t="shared" si="4"/>
        <v/>
      </c>
      <c r="L38" s="14" t="str">
        <f t="shared" si="4"/>
        <v/>
      </c>
    </row>
    <row r="39" spans="1:14" x14ac:dyDescent="0.35">
      <c r="A39" s="1" t="s">
        <v>121</v>
      </c>
      <c r="B39" s="1"/>
      <c r="C39" s="14">
        <f>IF(C$27&lt;&gt;"",VLOOKUP(C37*1000000,'Powell-Elevation-Area'!$B$5:$D$689,3)*$B$21/1000000 + VLOOKUP(C38*1000000,'Mead-Elevation-Area'!$B$5:$D$676,3)*$C$21/1000000,"")</f>
        <v>1.0218976799999733</v>
      </c>
      <c r="D39" s="14">
        <f ca="1">IF(D$27&lt;&gt;"",VLOOKUP(D37*1000000,'Powell-Elevation-Area'!$B$5:$D$689,3)*$B$21/1000000 + VLOOKUP(D38*1000000,'Mead-Elevation-Area'!$B$5:$D$676,3)*$C$21/1000000,"")</f>
        <v>1.1357752791042</v>
      </c>
      <c r="E39" s="14">
        <f ca="1">IF(E$27&lt;&gt;"",VLOOKUP(E37*1000000,'Powell-Elevation-Area'!$B$5:$D$689,3)*$B$21/1000000 + VLOOKUP(E38*1000000,'Mead-Elevation-Area'!$B$5:$D$676,3)*$C$21/1000000,"")</f>
        <v>1.4468864133600001</v>
      </c>
      <c r="F39" s="14">
        <f ca="1">IF(F$27&lt;&gt;"",VLOOKUP(F37*1000000,'Powell-Elevation-Area'!$B$5:$D$689,3)*$B$21/1000000 + VLOOKUP(F38*1000000,'Mead-Elevation-Area'!$B$5:$D$676,3)*$C$21/1000000,"")</f>
        <v>1.7577713588280002</v>
      </c>
      <c r="G39" s="14">
        <f ca="1">IF(G$27&lt;&gt;"",VLOOKUP(G37*1000000,'Powell-Elevation-Area'!$B$5:$D$689,3)*$B$21/1000000 + VLOOKUP(G38*1000000,'Mead-Elevation-Area'!$B$5:$D$676,3)*$C$21/1000000,"")</f>
        <v>1.9559712167819998</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5">IF(A6="","","    "&amp;A6&amp;" Share")</f>
        <v xml:space="preserve">    Upper Basin Share</v>
      </c>
      <c r="B40" s="1"/>
      <c r="C40" s="14">
        <f>IF(OR(C$27="",$A40=""),"",C$39*C30/C$29)</f>
        <v>0.24571184643515467</v>
      </c>
      <c r="D40" s="14">
        <f t="shared" ref="D40:L40" ca="1" si="6">IF(OR(D$27="",$A40=""),"",D$39*D30/D$29)</f>
        <v>0.2603732755513562</v>
      </c>
      <c r="E40" s="14">
        <f t="shared" ca="1" si="6"/>
        <v>0.32331816752140735</v>
      </c>
      <c r="F40" s="14">
        <f t="shared" ca="1" si="6"/>
        <v>0.3884828611533615</v>
      </c>
      <c r="G40" s="14">
        <f t="shared" ca="1" si="6"/>
        <v>0.4298037258005038</v>
      </c>
      <c r="H40" s="14" t="str">
        <f t="shared" si="6"/>
        <v/>
      </c>
      <c r="I40" s="14" t="str">
        <f t="shared" si="6"/>
        <v/>
      </c>
      <c r="J40" s="14" t="str">
        <f t="shared" si="6"/>
        <v/>
      </c>
      <c r="K40" s="14" t="str">
        <f t="shared" si="6"/>
        <v/>
      </c>
      <c r="L40" s="14" t="str">
        <f t="shared" si="6"/>
        <v/>
      </c>
    </row>
    <row r="41" spans="1:14" x14ac:dyDescent="0.35">
      <c r="A41" t="str">
        <f t="shared" si="5"/>
        <v xml:space="preserve">    Lower Basin Share</v>
      </c>
      <c r="B41" s="1"/>
      <c r="C41" s="14">
        <f t="shared" ref="C41:L45" si="7">IF(OR(C$27="",$A41=""),"",C$39*C31/C$29)</f>
        <v>0.21282627100832421</v>
      </c>
      <c r="D41" s="14">
        <f t="shared" ca="1" si="7"/>
        <v>0.30753827410978152</v>
      </c>
      <c r="E41" s="14">
        <f t="shared" ca="1" si="7"/>
        <v>0.53233655351345033</v>
      </c>
      <c r="F41" s="14">
        <f t="shared" ca="1" si="7"/>
        <v>0.73695305168941905</v>
      </c>
      <c r="G41" s="14">
        <f t="shared" ca="1" si="7"/>
        <v>0.88205290196218145</v>
      </c>
      <c r="H41" s="14" t="str">
        <f t="shared" si="7"/>
        <v/>
      </c>
      <c r="I41" s="14" t="str">
        <f t="shared" si="7"/>
        <v/>
      </c>
      <c r="J41" s="14" t="str">
        <f t="shared" si="7"/>
        <v/>
      </c>
      <c r="K41" s="14" t="str">
        <f t="shared" si="7"/>
        <v/>
      </c>
      <c r="L41" s="14" t="str">
        <f t="shared" si="7"/>
        <v/>
      </c>
    </row>
    <row r="42" spans="1:14" x14ac:dyDescent="0.35">
      <c r="A42" t="str">
        <f t="shared" si="5"/>
        <v xml:space="preserve">    Mexico Share</v>
      </c>
      <c r="B42" s="1"/>
      <c r="C42" s="14">
        <f t="shared" si="7"/>
        <v>1.9856779563980523E-3</v>
      </c>
      <c r="D42" s="14">
        <f t="shared" ca="1" si="7"/>
        <v>2.225836924191097E-2</v>
      </c>
      <c r="E42" s="14">
        <f t="shared" ca="1" si="7"/>
        <v>7.8819813952885634E-2</v>
      </c>
      <c r="F42" s="14">
        <f t="shared" ca="1" si="7"/>
        <v>0.127789508189422</v>
      </c>
      <c r="G42" s="14">
        <f t="shared" ca="1" si="7"/>
        <v>0.1640491303902499</v>
      </c>
      <c r="H42" s="14" t="str">
        <f t="shared" si="7"/>
        <v/>
      </c>
      <c r="I42" s="14" t="str">
        <f t="shared" si="7"/>
        <v/>
      </c>
      <c r="J42" s="14" t="str">
        <f t="shared" si="7"/>
        <v/>
      </c>
      <c r="K42" s="14" t="str">
        <f t="shared" si="7"/>
        <v/>
      </c>
      <c r="L42" s="14" t="str">
        <f t="shared" si="7"/>
        <v/>
      </c>
    </row>
    <row r="43" spans="1:14" x14ac:dyDescent="0.35">
      <c r="A43" t="str">
        <f t="shared" si="5"/>
        <v xml:space="preserve">    Mohave &amp; Havasu Evap &amp; ET Share</v>
      </c>
      <c r="B43" s="1"/>
      <c r="C43" s="14">
        <f t="shared" si="7"/>
        <v>0</v>
      </c>
      <c r="D43" s="14">
        <f t="shared" ca="1" si="7"/>
        <v>2.6852487190323508E-2</v>
      </c>
      <c r="E43" s="14">
        <f t="shared" ca="1" si="7"/>
        <v>4.7094939103832313E-2</v>
      </c>
      <c r="F43" s="14">
        <f t="shared" ca="1" si="7"/>
        <v>6.5394481372611363E-2</v>
      </c>
      <c r="G43" s="14">
        <f t="shared" ca="1" si="7"/>
        <v>7.8348064632796394E-2</v>
      </c>
      <c r="H43" s="14" t="str">
        <f t="shared" si="7"/>
        <v/>
      </c>
      <c r="I43" s="14" t="str">
        <f t="shared" si="7"/>
        <v/>
      </c>
      <c r="J43" s="14" t="str">
        <f t="shared" si="7"/>
        <v/>
      </c>
      <c r="K43" s="14" t="str">
        <f t="shared" si="7"/>
        <v/>
      </c>
      <c r="L43" s="14" t="str">
        <f t="shared" si="7"/>
        <v/>
      </c>
    </row>
    <row r="44" spans="1:14" x14ac:dyDescent="0.35">
      <c r="A44" t="str">
        <f t="shared" si="5"/>
        <v xml:space="preserve">    Shared, Reserve Share</v>
      </c>
      <c r="B44" s="1"/>
      <c r="C44" s="14">
        <f t="shared" si="7"/>
        <v>0.56137388460009618</v>
      </c>
      <c r="D44" s="14">
        <f t="shared" ca="1" si="7"/>
        <v>0.51875287301082795</v>
      </c>
      <c r="E44" s="14">
        <f t="shared" ca="1" si="7"/>
        <v>0.46531693926842466</v>
      </c>
      <c r="F44" s="14">
        <f t="shared" ca="1" si="7"/>
        <v>0.43915145642318631</v>
      </c>
      <c r="G44" s="14">
        <f t="shared" ca="1" si="7"/>
        <v>0.40171739399626855</v>
      </c>
      <c r="H44" s="14" t="str">
        <f t="shared" si="7"/>
        <v/>
      </c>
      <c r="I44" s="14" t="str">
        <f t="shared" si="7"/>
        <v/>
      </c>
      <c r="J44" s="14" t="str">
        <f t="shared" si="7"/>
        <v/>
      </c>
      <c r="K44" s="14" t="str">
        <f t="shared" si="7"/>
        <v/>
      </c>
      <c r="L44" s="14" t="str">
        <f t="shared" si="7"/>
        <v/>
      </c>
    </row>
    <row r="45" spans="1:14" x14ac:dyDescent="0.35">
      <c r="A45" t="str">
        <f t="shared" si="5"/>
        <v/>
      </c>
      <c r="B45" s="1"/>
      <c r="C45" s="14" t="str">
        <f t="shared" si="7"/>
        <v/>
      </c>
      <c r="D45" s="14" t="str">
        <f t="shared" si="7"/>
        <v/>
      </c>
      <c r="E45" s="14" t="str">
        <f t="shared" si="7"/>
        <v/>
      </c>
      <c r="F45" s="14" t="str">
        <f t="shared" si="7"/>
        <v/>
      </c>
      <c r="G45" s="14" t="str">
        <f t="shared" si="7"/>
        <v/>
      </c>
      <c r="H45" s="14" t="str">
        <f t="shared" si="7"/>
        <v/>
      </c>
      <c r="I45" s="14" t="str">
        <f t="shared" si="7"/>
        <v/>
      </c>
      <c r="J45" s="14" t="str">
        <f t="shared" si="7"/>
        <v/>
      </c>
      <c r="K45" s="14" t="str">
        <f t="shared" si="7"/>
        <v/>
      </c>
      <c r="L45" s="14" t="str">
        <f t="shared" si="7"/>
        <v/>
      </c>
    </row>
    <row r="46" spans="1:14" x14ac:dyDescent="0.35">
      <c r="A46" s="1" t="s">
        <v>161</v>
      </c>
      <c r="B46" s="1"/>
      <c r="C46" s="50">
        <f>IF(C$27&lt;&gt;"",1.5-0.21/9/2-IF(C$31+C34/2&lt;$T$66,$V$66,IF(C$31&lt;=$T$73,VLOOKUP(C$31+C34/2,$T$66:$V$74,3),0)),"")</f>
        <v>1.4583333333333333</v>
      </c>
      <c r="D46" s="50">
        <f t="shared" ref="D46:L46" ca="1" si="8">IF(D$27&lt;&gt;"",1.5-0.21/9/2-IF(D$31+D34/2&lt;$T$66,$V$66,IF(D$31&lt;=$T$73,VLOOKUP(D$31+D34/2,$T$66:$V$74,3),0)),"")</f>
        <v>1.4883333333333333</v>
      </c>
      <c r="E46" s="50">
        <f t="shared" ca="1" si="8"/>
        <v>1.4883333333333333</v>
      </c>
      <c r="F46" s="50">
        <f t="shared" ca="1" si="8"/>
        <v>1.4883333333333333</v>
      </c>
      <c r="G46" s="50">
        <f t="shared" ca="1" si="8"/>
        <v>1.4883333333333333</v>
      </c>
      <c r="H46" s="50" t="str">
        <f t="shared" si="8"/>
        <v/>
      </c>
      <c r="I46" s="50" t="str">
        <f t="shared" si="8"/>
        <v/>
      </c>
      <c r="J46" s="50" t="str">
        <f t="shared" si="8"/>
        <v/>
      </c>
      <c r="K46" s="50" t="str">
        <f t="shared" si="8"/>
        <v/>
      </c>
      <c r="L46" s="50" t="str">
        <f t="shared" si="8"/>
        <v/>
      </c>
    </row>
    <row r="47" spans="1:14" x14ac:dyDescent="0.35">
      <c r="A47" s="1" t="s">
        <v>239</v>
      </c>
      <c r="B47" s="1"/>
      <c r="C47" s="53">
        <f>IF(C27="","",SUM(C27:C28))</f>
        <v>11.8</v>
      </c>
      <c r="D47" s="53">
        <f t="shared" ref="D47:L47" si="9">IF(D27="","",SUM(D27:D28))</f>
        <v>11.8</v>
      </c>
      <c r="E47" s="53">
        <f t="shared" si="9"/>
        <v>11.8</v>
      </c>
      <c r="F47" s="53">
        <f t="shared" si="9"/>
        <v>11.8</v>
      </c>
      <c r="G47" s="53">
        <f t="shared" si="9"/>
        <v>11.8</v>
      </c>
      <c r="H47" s="53" t="str">
        <f t="shared" si="9"/>
        <v/>
      </c>
      <c r="I47" s="53" t="str">
        <f t="shared" si="9"/>
        <v/>
      </c>
      <c r="J47" s="53" t="str">
        <f t="shared" si="9"/>
        <v/>
      </c>
      <c r="K47" s="53" t="str">
        <f t="shared" si="9"/>
        <v/>
      </c>
      <c r="L47" s="53" t="str">
        <f t="shared" si="9"/>
        <v/>
      </c>
      <c r="M47" s="46"/>
      <c r="N47" s="46"/>
    </row>
    <row r="48" spans="1:14" x14ac:dyDescent="0.35">
      <c r="A48" t="str">
        <f>IF(A6="","","    To "&amp;A6)</f>
        <v xml:space="preserve">    To Upper Basin</v>
      </c>
      <c r="B48" s="24" t="s">
        <v>164</v>
      </c>
      <c r="C48" s="14">
        <f>IF(OR(C$27="",$A48=""),"",IF(C$47&gt;SUM(C49:C53),C$47-SUM(C49:C53),0))</f>
        <v>2.4901463910332868</v>
      </c>
      <c r="D48" s="14">
        <f t="shared" ref="D48:L48" ca="1" si="10">IF(OR(D$27="",$A48=""),"",IF(D$47&gt;SUM(D49:D53),D$47-SUM(D49:D53),0))</f>
        <v>2.4964568968279206</v>
      </c>
      <c r="E48" s="14">
        <f t="shared" ca="1" si="10"/>
        <v>2.523174863699122</v>
      </c>
      <c r="F48" s="14">
        <f t="shared" ca="1" si="10"/>
        <v>2.536257605121742</v>
      </c>
      <c r="G48" s="14">
        <f t="shared" ca="1" si="10"/>
        <v>2.5549746363352011</v>
      </c>
      <c r="H48" s="14" t="str">
        <f t="shared" si="10"/>
        <v/>
      </c>
      <c r="I48" s="14" t="str">
        <f t="shared" si="10"/>
        <v/>
      </c>
      <c r="J48" s="14" t="str">
        <f t="shared" si="10"/>
        <v/>
      </c>
      <c r="K48" s="14" t="str">
        <f t="shared" si="10"/>
        <v/>
      </c>
      <c r="L48" s="14" t="str">
        <f t="shared" si="10"/>
        <v/>
      </c>
      <c r="M48" s="46"/>
      <c r="N48" s="46"/>
    </row>
    <row r="49" spans="1:26" x14ac:dyDescent="0.35">
      <c r="A49" t="str">
        <f t="shared" ref="A49:A53" si="11">IF(A7="","","    To "&amp;A7)</f>
        <v xml:space="preserve">    To Lower Basin</v>
      </c>
      <c r="B49" s="44">
        <f>7.5</f>
        <v>7.5</v>
      </c>
      <c r="C49" s="14">
        <f>IF(OR(C$27="",$A49=""),"",C28-C52/2-C51-C50/2+MIN($B49,C27-C50/2-C52/2))</f>
        <v>6.6901463910332852</v>
      </c>
      <c r="D49" s="14">
        <f t="shared" ref="D49:G49" ca="1" si="12">IF(OR(D$27="",$A49=""),"",D28-D52/2-D51-D50/2+MIN($B49,D27-D50/2-D52/2))</f>
        <v>6.6964568968279199</v>
      </c>
      <c r="E49" s="14">
        <f t="shared" ca="1" si="12"/>
        <v>6.7231748636991213</v>
      </c>
      <c r="F49" s="14">
        <f t="shared" ca="1" si="12"/>
        <v>6.7362576051217404</v>
      </c>
      <c r="G49" s="14">
        <f t="shared" ca="1" si="12"/>
        <v>6.7549746363351995</v>
      </c>
      <c r="H49" s="14" t="str">
        <f>IF(OR(H$27="",$A49=""),"",H28-H52/2-H51-H50/2+MIN($B49,H27-H50/2-H52/2))</f>
        <v/>
      </c>
      <c r="I49" s="14" t="str">
        <f t="shared" ref="I49" si="13">IF(OR(I$27="",$A49=""),"",I28-I52/2-I51-I50/2+MIN($B49,I27-I50/2-I52/2))</f>
        <v/>
      </c>
      <c r="J49" s="14" t="str">
        <f t="shared" ref="J49" si="14">IF(OR(J$27="",$A49=""),"",J28-J52/2-J51-J50/2+MIN($B49,J27-J50/2-J52/2))</f>
        <v/>
      </c>
      <c r="K49" s="14" t="str">
        <f t="shared" ref="K49" si="15">IF(OR(K$27="",$A49=""),"",K28-K52/2-K51-K50/2+MIN($B49,K27-K50/2-K52/2))</f>
        <v/>
      </c>
      <c r="L49" s="14" t="str">
        <f t="shared" ref="L49" si="16">IF(OR(L$27="",$A49=""),"",L28-L52/2-L51-L50/2+MIN($B49,L27-L50/2-L52/2))</f>
        <v/>
      </c>
      <c r="M49" s="46"/>
      <c r="N49" s="46"/>
    </row>
    <row r="50" spans="1:26" x14ac:dyDescent="0.35">
      <c r="A50" t="str">
        <f t="shared" si="11"/>
        <v xml:space="preserve">    To Mexico</v>
      </c>
      <c r="B50" s="44" t="s">
        <v>241</v>
      </c>
      <c r="C50" s="14">
        <f>IF(OR(C$27="",$A50=""),"",IF(C$47&gt;SUM(C51:C52,C46),C46,C$47-SUM(C51:C52)))</f>
        <v>1.4583333333333333</v>
      </c>
      <c r="D50" s="14">
        <f t="shared" ref="D50:L50" ca="1" si="17">IF(OR(D$27="",$A50=""),"",IF(D$47&gt;SUM(D51:D52,D46),D46,D$47-SUM(D51:D52)))</f>
        <v>1.4883333333333333</v>
      </c>
      <c r="E50" s="14">
        <f t="shared" ca="1" si="17"/>
        <v>1.4883333333333333</v>
      </c>
      <c r="F50" s="14">
        <f t="shared" ca="1" si="17"/>
        <v>1.4883333333333333</v>
      </c>
      <c r="G50" s="14">
        <f t="shared" ca="1" si="17"/>
        <v>1.4883333333333333</v>
      </c>
      <c r="H50" s="14" t="str">
        <f t="shared" si="17"/>
        <v/>
      </c>
      <c r="I50" s="14" t="str">
        <f t="shared" si="17"/>
        <v/>
      </c>
      <c r="J50" s="14" t="str">
        <f t="shared" si="17"/>
        <v/>
      </c>
      <c r="K50" s="14" t="str">
        <f t="shared" si="17"/>
        <v/>
      </c>
      <c r="L50" s="14" t="str">
        <f t="shared" si="17"/>
        <v/>
      </c>
      <c r="M50" s="46"/>
      <c r="N50" s="46"/>
    </row>
    <row r="51" spans="1:26" x14ac:dyDescent="0.35">
      <c r="A51" t="str">
        <f t="shared" si="11"/>
        <v xml:space="preserve">    To Mohave &amp; Havasu Evap &amp; ET</v>
      </c>
      <c r="B51" s="44">
        <v>0.6</v>
      </c>
      <c r="C51" s="14">
        <f>IF(OR(C$27="",$A51=""),"",IF(C$47&gt;C52+$B$51,$B51,C$47-C52))</f>
        <v>0.6</v>
      </c>
      <c r="D51" s="14">
        <f t="shared" ref="D51:L51" ca="1" si="18">IF(OR(D$27="",$A51=""),"",IF(D$47&gt;D52+$B$51,$B51,D$47-D52))</f>
        <v>0.6</v>
      </c>
      <c r="E51" s="14">
        <f t="shared" ca="1" si="18"/>
        <v>0.6</v>
      </c>
      <c r="F51" s="14">
        <f t="shared" ca="1" si="18"/>
        <v>0.6</v>
      </c>
      <c r="G51" s="14">
        <f t="shared" ca="1" si="18"/>
        <v>0.6</v>
      </c>
      <c r="H51" s="14" t="str">
        <f t="shared" si="18"/>
        <v/>
      </c>
      <c r="I51" s="14" t="str">
        <f t="shared" si="18"/>
        <v/>
      </c>
      <c r="J51" s="14" t="str">
        <f t="shared" si="18"/>
        <v/>
      </c>
      <c r="K51" s="14" t="str">
        <f t="shared" si="18"/>
        <v/>
      </c>
      <c r="L51" s="14" t="str">
        <f t="shared" si="18"/>
        <v/>
      </c>
      <c r="M51" s="46"/>
      <c r="N51" s="46"/>
    </row>
    <row r="52" spans="1:26" x14ac:dyDescent="0.35">
      <c r="A52" t="str">
        <f t="shared" si="11"/>
        <v xml:space="preserve">    To Shared, Reserve</v>
      </c>
      <c r="B52" s="44" t="s">
        <v>240</v>
      </c>
      <c r="C52" s="14">
        <f>IF(OR(C$27="",$A52=""),"",IF(C$47&gt;C44,C44,C$47))</f>
        <v>0.56137388460009618</v>
      </c>
      <c r="D52" s="14">
        <f t="shared" ref="D52:L52" ca="1" si="19">IF(OR(D$27="",$A52=""),"",IF(D$47&gt;D44,D44,D$47))</f>
        <v>0.51875287301082795</v>
      </c>
      <c r="E52" s="14">
        <f t="shared" ca="1" si="19"/>
        <v>0.46531693926842466</v>
      </c>
      <c r="F52" s="14">
        <f t="shared" ca="1" si="19"/>
        <v>0.43915145642318631</v>
      </c>
      <c r="G52" s="14">
        <f t="shared" ca="1" si="19"/>
        <v>0.40171739399626855</v>
      </c>
      <c r="H52" s="14" t="str">
        <f t="shared" si="19"/>
        <v/>
      </c>
      <c r="I52" s="14" t="str">
        <f t="shared" si="19"/>
        <v/>
      </c>
      <c r="J52" s="14" t="str">
        <f t="shared" si="19"/>
        <v/>
      </c>
      <c r="K52" s="14" t="str">
        <f t="shared" si="19"/>
        <v/>
      </c>
      <c r="L52" s="14" t="str">
        <f t="shared" si="19"/>
        <v/>
      </c>
      <c r="M52" s="46"/>
      <c r="N52" s="46"/>
    </row>
    <row r="53" spans="1:26" x14ac:dyDescent="0.35">
      <c r="A53" t="str">
        <f t="shared" si="11"/>
        <v/>
      </c>
      <c r="B53" s="44"/>
      <c r="C53" s="59" t="str">
        <f t="shared" ref="C53:L53" si="20">IF(OR(C$27="",$A53=""),"",IF(C$27&gt;$B53,$B53,C$27))</f>
        <v/>
      </c>
      <c r="D53" s="59" t="str">
        <f t="shared" si="20"/>
        <v/>
      </c>
      <c r="E53" s="59" t="str">
        <f t="shared" si="20"/>
        <v/>
      </c>
      <c r="F53" s="59" t="str">
        <f t="shared" si="20"/>
        <v/>
      </c>
      <c r="G53" s="59" t="str">
        <f t="shared" si="20"/>
        <v/>
      </c>
      <c r="H53" s="59" t="str">
        <f t="shared" si="20"/>
        <v/>
      </c>
      <c r="I53" s="59" t="str">
        <f t="shared" si="20"/>
        <v/>
      </c>
      <c r="J53" s="59" t="str">
        <f t="shared" si="20"/>
        <v/>
      </c>
      <c r="K53" s="59" t="str">
        <f t="shared" si="20"/>
        <v/>
      </c>
      <c r="L53" s="59" t="str">
        <f t="shared" si="20"/>
        <v/>
      </c>
    </row>
    <row r="54" spans="1:26" x14ac:dyDescent="0.35">
      <c r="C54"/>
    </row>
    <row r="55" spans="1:26" x14ac:dyDescent="0.35">
      <c r="A55" s="119" t="s">
        <v>233</v>
      </c>
      <c r="B55" s="120"/>
      <c r="C55" s="120"/>
      <c r="D55" s="120"/>
      <c r="E55" s="120"/>
      <c r="F55" s="120"/>
      <c r="G55" s="120"/>
      <c r="H55" s="120"/>
      <c r="I55" s="120"/>
      <c r="J55" s="120"/>
      <c r="K55" s="120"/>
      <c r="L55" s="120"/>
      <c r="M55" s="120"/>
      <c r="N55" s="120"/>
    </row>
    <row r="56" spans="1:26" x14ac:dyDescent="0.35">
      <c r="A56" s="116" t="str">
        <f>IF(A$6="[Unused]","",A6)</f>
        <v>Upper Basin</v>
      </c>
      <c r="B56" s="117"/>
      <c r="C56" s="117"/>
      <c r="D56" s="117"/>
      <c r="E56" s="117"/>
      <c r="F56" s="117"/>
      <c r="G56" s="117"/>
      <c r="H56" s="117"/>
      <c r="I56" s="117"/>
      <c r="J56" s="117"/>
      <c r="K56" s="117"/>
      <c r="L56" s="117"/>
      <c r="M56" s="118" t="s">
        <v>108</v>
      </c>
      <c r="N56" s="116" t="s">
        <v>221</v>
      </c>
    </row>
    <row r="57" spans="1:26" x14ac:dyDescent="0.35">
      <c r="A57" s="32" t="str">
        <f>IF(A56="[Unused]","","   Volume of Sales(+) and Purchases(-) [maf]")</f>
        <v xml:space="preserve">   Volume of Sales(+) and Purchases(-) [maf]</v>
      </c>
      <c r="C57" s="25"/>
      <c r="D57" s="25"/>
      <c r="E57" s="25"/>
      <c r="F57" s="25"/>
      <c r="G57" s="25"/>
      <c r="H57" s="25"/>
      <c r="I57" s="25"/>
      <c r="J57" s="25"/>
      <c r="K57" s="25"/>
      <c r="L57" s="25"/>
      <c r="M57" s="115">
        <f>SUM(C57:L57)</f>
        <v>0</v>
      </c>
      <c r="N57" t="str">
        <f>IF(A57="","","Add if multiple transactions, e.g.: 0.5 + 0.25")</f>
        <v>Add if multiple transactions, e.g.: 0.5 + 0.25</v>
      </c>
    </row>
    <row r="58" spans="1:26" x14ac:dyDescent="0.35">
      <c r="A58" s="32" t="str">
        <f>IF(A57="","","   Cash Intake(+) and Payments(-) [$ Mill]")</f>
        <v xml:space="preserve">   Cash Intake(+) and Payments(-) [$ Mill]</v>
      </c>
      <c r="C58" s="113"/>
      <c r="D58" s="113"/>
      <c r="E58" s="113"/>
      <c r="F58" s="113"/>
      <c r="G58" s="113"/>
      <c r="H58" s="113"/>
      <c r="I58" s="113"/>
      <c r="J58" s="113"/>
      <c r="K58" s="113"/>
      <c r="L58" s="113"/>
      <c r="M58" s="112">
        <f>SUM(C58:L58)</f>
        <v>0</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115">
        <f ca="1">IF(OR(C$27="",$A59=""),"",C$112)</f>
        <v>0</v>
      </c>
      <c r="D59" s="115">
        <f ca="1">IF(OR(D$27="",$A59=""),"",D$112)</f>
        <v>0</v>
      </c>
      <c r="E59" s="115">
        <f ca="1">IF(OR(E$27="",$A59=""),"",E$112)</f>
        <v>0</v>
      </c>
      <c r="F59" s="115">
        <f ca="1">IF(OR(F$27="",$A59=""),"",F$112)</f>
        <v>0</v>
      </c>
      <c r="G59" s="115">
        <f ca="1">IF(OR(G$27="",$A59=""),"",G$112)</f>
        <v>0</v>
      </c>
      <c r="H59" s="115" t="str">
        <f>IF(OR(H$27="",$A59=""),"",H$112)</f>
        <v/>
      </c>
      <c r="I59" s="115" t="str">
        <f>IF(OR(I$27="",$A59=""),"",I$112)</f>
        <v/>
      </c>
      <c r="J59" s="115" t="str">
        <f>IF(OR(J$27="",$A59=""),"",J$112)</f>
        <v/>
      </c>
      <c r="K59" s="115" t="str">
        <f>IF(OR(K$27="",$A59=""),"",K$112)</f>
        <v/>
      </c>
      <c r="L59" s="115" t="str">
        <f>IF(OR(L$27="",$A59=""),"",L$112)</f>
        <v/>
      </c>
      <c r="M59" s="115" t="str">
        <f>IF(OR(M$27="",$A59=""),"",M$112)</f>
        <v/>
      </c>
      <c r="N59" t="str">
        <f>IF(A59="","","If non-zero, players need to change amount(s)")</f>
        <v>If non-zero, players need to change amount(s)</v>
      </c>
    </row>
    <row r="60" spans="1:26" x14ac:dyDescent="0.35">
      <c r="A60" s="1" t="str">
        <f>IF(A58="","","   Available Water [maf]")</f>
        <v xml:space="preserve">   Available Water [maf]</v>
      </c>
      <c r="C60" s="14">
        <f>IF(OR(C$27="",$A60=""),"",C30+C48-C40-C57)</f>
        <v>7.3178582945981319</v>
      </c>
      <c r="D60" s="14">
        <f ca="1">IF(OR(D$27="",$A60=""),"",D30+D48-D40-D57)</f>
        <v>8.053941915874697</v>
      </c>
      <c r="E60" s="14">
        <f ca="1">IF(OR(E$27="",$A60=""),"",E30+E48-E40-E57)</f>
        <v>10.253798612052412</v>
      </c>
      <c r="F60" s="14">
        <f ca="1">IF(OR(F$27="",$A60=""),"",F30+F48-F40-F57)</f>
        <v>12.401573356020792</v>
      </c>
      <c r="G60" s="14">
        <f ca="1">IF(OR(G$27="",$A60=""),"",G30+G48-G40-G57)</f>
        <v>14.52674426655549</v>
      </c>
      <c r="H60" s="14" t="str">
        <f>IF(OR(H$27="",$A60=""),"",H30+H48-H40-H57)</f>
        <v/>
      </c>
      <c r="I60" s="14" t="str">
        <f>IF(OR(I$27="",$A60=""),"",I30+I48-I40-I57)</f>
        <v/>
      </c>
      <c r="J60" s="14" t="str">
        <f>IF(OR(J$27="",$A60=""),"",J30+J48-J40-J57)</f>
        <v/>
      </c>
      <c r="K60" s="14" t="str">
        <f>IF(OR(K$27="",$A60=""),"",K30+K48-K40-K57)</f>
        <v/>
      </c>
      <c r="L60" s="14" t="str">
        <f>IF(OR(L$27="",$A60=""),"",L30+L48-L40-L57)</f>
        <v/>
      </c>
      <c r="N60" t="str">
        <f>IF(A60="","","Available water = Account Balance + Available Inflow - Evaporation + Sales - Purchases")</f>
        <v>Available water = Account Balance + Available Inflow - Evaporation + Sales - Purchases</v>
      </c>
    </row>
    <row r="61" spans="1:26" x14ac:dyDescent="0.35">
      <c r="A61" s="1" t="str">
        <f>IF(A60="","","   Account Withdraw [maf]")</f>
        <v xml:space="preserve">   Account Withdraw [maf]</v>
      </c>
      <c r="C61" s="43">
        <v>1.5</v>
      </c>
      <c r="D61" s="43"/>
      <c r="E61" s="43"/>
      <c r="F61" s="43"/>
      <c r="G61" s="43"/>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114">
        <f>IF(OR(C$27="",$A62=""),"",C60-C61)</f>
        <v>5.8178582945981319</v>
      </c>
      <c r="D62" s="114">
        <f t="shared" ref="D62:L62" ca="1" si="21">IF(OR(D$27="",$A62=""),"",D60-D61)</f>
        <v>8.053941915874697</v>
      </c>
      <c r="E62" s="114">
        <f t="shared" ca="1" si="21"/>
        <v>10.253798612052412</v>
      </c>
      <c r="F62" s="114">
        <f t="shared" ca="1" si="21"/>
        <v>12.401573356020792</v>
      </c>
      <c r="G62" s="114">
        <f t="shared" ca="1" si="21"/>
        <v>14.52674426655549</v>
      </c>
      <c r="H62" s="114" t="str">
        <f t="shared" si="21"/>
        <v/>
      </c>
      <c r="I62" s="114" t="str">
        <f t="shared" si="21"/>
        <v/>
      </c>
      <c r="J62" s="114" t="str">
        <f t="shared" si="21"/>
        <v/>
      </c>
      <c r="K62" s="114" t="str">
        <f t="shared" si="21"/>
        <v/>
      </c>
      <c r="L62" s="114" t="str">
        <f t="shared" si="21"/>
        <v/>
      </c>
      <c r="N62" t="str">
        <f>IF(A62="","","Available water - Account Withdraw")</f>
        <v>Available water - Account Withdraw</v>
      </c>
    </row>
    <row r="63" spans="1:26" x14ac:dyDescent="0.35">
      <c r="C63"/>
      <c r="S63" s="1" t="s">
        <v>236</v>
      </c>
    </row>
    <row r="64" spans="1:26" x14ac:dyDescent="0.35">
      <c r="A64" s="116" t="str">
        <f>IF(A$7="","[Unused]",A7)</f>
        <v>Lower Basin</v>
      </c>
      <c r="B64" s="117"/>
      <c r="C64" s="117"/>
      <c r="D64" s="117"/>
      <c r="E64" s="117"/>
      <c r="F64" s="117"/>
      <c r="G64" s="117"/>
      <c r="H64" s="117"/>
      <c r="I64" s="117"/>
      <c r="J64" s="117"/>
      <c r="K64" s="117"/>
      <c r="L64" s="117"/>
      <c r="M64" s="118" t="s">
        <v>108</v>
      </c>
      <c r="N64" s="116" t="s">
        <v>221</v>
      </c>
      <c r="S64" s="37" t="s">
        <v>130</v>
      </c>
      <c r="T64" s="37" t="s">
        <v>131</v>
      </c>
      <c r="U64" s="38" t="s">
        <v>132</v>
      </c>
      <c r="V64" s="38" t="s">
        <v>133</v>
      </c>
      <c r="W64" s="37" t="s">
        <v>134</v>
      </c>
      <c r="X64" s="37" t="s">
        <v>134</v>
      </c>
      <c r="Y64" s="51" t="s">
        <v>157</v>
      </c>
      <c r="Z64" s="51" t="s">
        <v>158</v>
      </c>
    </row>
    <row r="65" spans="1:26" x14ac:dyDescent="0.35">
      <c r="A65" s="32" t="str">
        <f>IF(A64="[Unused]","","   Volume of Sales(+) and Purchases(-) [maf]")</f>
        <v xml:space="preserve">   Volume of Sales(+) and Purchases(-) [maf]</v>
      </c>
      <c r="C65" s="25"/>
      <c r="D65" s="25"/>
      <c r="E65" s="25"/>
      <c r="F65" s="25"/>
      <c r="G65" s="25"/>
      <c r="H65" s="25"/>
      <c r="I65" s="25"/>
      <c r="J65" s="25"/>
      <c r="K65" s="25"/>
      <c r="L65" s="25"/>
      <c r="M65" s="115">
        <f>SUM(C65:L65)</f>
        <v>0</v>
      </c>
      <c r="N65" t="str">
        <f>IF(A65="","",N57)</f>
        <v>Add if multiple transactions, e.g.: 0.5 + 0.25</v>
      </c>
      <c r="S65">
        <v>955</v>
      </c>
      <c r="T65" s="29">
        <v>0</v>
      </c>
      <c r="U65" s="121">
        <f>U66</f>
        <v>1.2000000000000002</v>
      </c>
      <c r="V65" s="121">
        <f t="shared" ref="V65:Z65" si="22">V66</f>
        <v>0.15</v>
      </c>
      <c r="W65" s="121">
        <f t="shared" si="22"/>
        <v>1.325</v>
      </c>
      <c r="X65" s="121">
        <f t="shared" si="22"/>
        <v>1.35</v>
      </c>
      <c r="Y65" s="121">
        <f t="shared" si="22"/>
        <v>0.125</v>
      </c>
      <c r="Z65" s="6">
        <f t="shared" si="22"/>
        <v>1350000</v>
      </c>
    </row>
    <row r="66" spans="1:26" x14ac:dyDescent="0.35">
      <c r="A66" s="32" t="str">
        <f>IF(A65="","","   Cash Intake(+) and Payments(-) [$ Mill]")</f>
        <v xml:space="preserve">   Cash Intake(+) and Payments(-) [$ Mill]</v>
      </c>
      <c r="C66" s="113"/>
      <c r="D66" s="113"/>
      <c r="E66" s="113"/>
      <c r="F66" s="113"/>
      <c r="G66" s="113"/>
      <c r="H66" s="113"/>
      <c r="I66" s="113"/>
      <c r="J66" s="113"/>
      <c r="K66" s="113"/>
      <c r="L66" s="113"/>
      <c r="M66" s="112">
        <f>SUM(C66:L66)</f>
        <v>0</v>
      </c>
      <c r="N66" t="str">
        <f t="shared" ref="N66:N70" si="23">IF(A66="","",N58)</f>
        <v>Add if multiple transactions, e.g.: $350*0.5 + $450*0.25</v>
      </c>
      <c r="S66" s="39">
        <v>1025</v>
      </c>
      <c r="T66" s="40">
        <v>5.981122</v>
      </c>
      <c r="U66" s="41">
        <f>X66-V66</f>
        <v>1.2000000000000002</v>
      </c>
      <c r="V66" s="49">
        <v>0.15</v>
      </c>
      <c r="W66" s="41">
        <v>1.325</v>
      </c>
      <c r="X66" s="41">
        <f t="shared" ref="X66:X73" si="24">Z66/1000000</f>
        <v>1.35</v>
      </c>
      <c r="Y66" s="42">
        <v>0.125</v>
      </c>
      <c r="Z66" s="52">
        <v>1350000</v>
      </c>
    </row>
    <row r="67" spans="1:26" x14ac:dyDescent="0.35">
      <c r="A67" s="32" t="str">
        <f>IF(A66="","","   Volume all players (should be zero)")</f>
        <v xml:space="preserve">   Volume all players (should be zero)</v>
      </c>
      <c r="C67" s="115">
        <f ca="1">IF(OR(C$27="",$A67=""),"",C$112)</f>
        <v>0</v>
      </c>
      <c r="D67" s="115">
        <f ca="1">IF(OR(D$27="",$A67=""),"",D$112)</f>
        <v>0</v>
      </c>
      <c r="E67" s="115">
        <f ca="1">IF(OR(E$27="",$A67=""),"",E$112)</f>
        <v>0</v>
      </c>
      <c r="F67" s="115">
        <f ca="1">IF(OR(F$27="",$A67=""),"",F$112)</f>
        <v>0</v>
      </c>
      <c r="G67" s="115">
        <f ca="1">IF(OR(G$27="",$A67=""),"",G$112)</f>
        <v>0</v>
      </c>
      <c r="H67" s="115" t="str">
        <f>IF(OR(H$27="",$A67=""),"",H$112)</f>
        <v/>
      </c>
      <c r="I67" s="115" t="str">
        <f>IF(OR(I$27="",$A67=""),"",I$112)</f>
        <v/>
      </c>
      <c r="J67" s="115" t="str">
        <f>IF(OR(J$27="",$A67=""),"",J$112)</f>
        <v/>
      </c>
      <c r="K67" s="115" t="str">
        <f>IF(OR(K$27="",$A67=""),"",K$112)</f>
        <v/>
      </c>
      <c r="L67" s="115" t="str">
        <f>IF(OR(L$27="",$A67=""),"",L$112)</f>
        <v/>
      </c>
      <c r="M67" s="115" t="str">
        <f>IF(OR(M$27="",$A67=""),"",M$112)</f>
        <v/>
      </c>
      <c r="N67" t="str">
        <f t="shared" si="23"/>
        <v>If non-zero, players need to change amount(s)</v>
      </c>
      <c r="S67" s="39">
        <v>1030</v>
      </c>
      <c r="T67" s="40">
        <v>6.305377</v>
      </c>
      <c r="U67" s="41">
        <f t="shared" ref="U67:U73" si="25">X67-V67</f>
        <v>1.117</v>
      </c>
      <c r="V67" s="49">
        <v>0.10100000000000001</v>
      </c>
      <c r="W67" s="41">
        <v>1.1870000000000001</v>
      </c>
      <c r="X67" s="41">
        <f t="shared" si="24"/>
        <v>1.218</v>
      </c>
      <c r="Y67" s="42">
        <v>7.0000000000000007E-2</v>
      </c>
      <c r="Z67" s="52">
        <v>1218000</v>
      </c>
    </row>
    <row r="68" spans="1:26" x14ac:dyDescent="0.35">
      <c r="A68" s="1" t="str">
        <f>IF(A66="","","   Available Water [maf]")</f>
        <v xml:space="preserve">   Available Water [maf]</v>
      </c>
      <c r="C68" s="14">
        <f>IF(OR(C$27="",$A68=""),"",C31+C49-C41-C65)</f>
        <v>10.871727120024961</v>
      </c>
      <c r="D68" s="14">
        <f ca="1">IF(OR(D$27="",$A68=""),"",D31+D49-D41-D65)</f>
        <v>13.260645742743099</v>
      </c>
      <c r="E68" s="14">
        <f ca="1">IF(OR(E$27="",$A68=""),"",E31+E49-E41-E65)</f>
        <v>19.451484052928773</v>
      </c>
      <c r="F68" s="14">
        <f ca="1">IF(OR(F$27="",$A68=""),"",F31+F49-F41-F65)</f>
        <v>25.450788606361094</v>
      </c>
      <c r="G68" s="14">
        <f ca="1">IF(OR(G$27="",$A68=""),"",G31+G49-G41-G65)</f>
        <v>31.32371034073411</v>
      </c>
      <c r="H68" s="14" t="str">
        <f>IF(OR(H$27="",$A68=""),"",H31+H49-H41-H65)</f>
        <v/>
      </c>
      <c r="I68" s="14" t="str">
        <f>IF(OR(I$27="",$A68=""),"",I31+I49-I41-I65)</f>
        <v/>
      </c>
      <c r="J68" s="14" t="str">
        <f>IF(OR(J$27="",$A68=""),"",J31+J49-J41-J65)</f>
        <v/>
      </c>
      <c r="K68" s="14" t="str">
        <f>IF(OR(K$27="",$A68=""),"",K31+K49-K41-K65)</f>
        <v/>
      </c>
      <c r="L68" s="14" t="str">
        <f>IF(OR(L$27="",$A68=""),"",L31+L49-L41-L65)</f>
        <v/>
      </c>
      <c r="N68" t="str">
        <f t="shared" si="23"/>
        <v>Available water = Account Balance + Available Inflow - Evaporation + Sales - Purchases</v>
      </c>
      <c r="S68" s="39">
        <v>1035</v>
      </c>
      <c r="T68" s="40">
        <v>6.6375080000000004</v>
      </c>
      <c r="U68" s="41">
        <f t="shared" si="25"/>
        <v>1.0669999999999999</v>
      </c>
      <c r="V68" s="49">
        <v>9.1999999999999998E-2</v>
      </c>
      <c r="W68" s="41">
        <v>1.137</v>
      </c>
      <c r="X68" s="41">
        <f t="shared" si="24"/>
        <v>1.159</v>
      </c>
      <c r="Y68" s="42">
        <v>7.0000000000000007E-2</v>
      </c>
      <c r="Z68" s="52">
        <v>1159000</v>
      </c>
    </row>
    <row r="69" spans="1:26" x14ac:dyDescent="0.35">
      <c r="A69" s="1" t="str">
        <f>IF(A68="","","   Account Withdraw [maf]")</f>
        <v xml:space="preserve">   Account Withdraw [maf]</v>
      </c>
      <c r="C69" s="43">
        <v>4</v>
      </c>
      <c r="D69" s="43"/>
      <c r="E69" s="43"/>
      <c r="F69" s="43"/>
      <c r="G69" s="43"/>
      <c r="H69" s="43"/>
      <c r="I69" s="43"/>
      <c r="J69" s="43"/>
      <c r="K69" s="43"/>
      <c r="L69" s="43"/>
      <c r="N69" t="str">
        <f t="shared" si="23"/>
        <v>Must be less than Available water</v>
      </c>
      <c r="S69" s="39">
        <v>1040</v>
      </c>
      <c r="T69" s="40">
        <v>6.977665</v>
      </c>
      <c r="U69" s="41">
        <f t="shared" si="25"/>
        <v>1.0169999999999999</v>
      </c>
      <c r="V69" s="49">
        <v>8.4000000000000005E-2</v>
      </c>
      <c r="W69" s="41">
        <v>1.087</v>
      </c>
      <c r="X69" s="41">
        <f t="shared" si="24"/>
        <v>1.101</v>
      </c>
      <c r="Y69" s="42">
        <v>7.0000000000000007E-2</v>
      </c>
      <c r="Z69" s="52">
        <v>1101000</v>
      </c>
    </row>
    <row r="70" spans="1:26" x14ac:dyDescent="0.35">
      <c r="A70" s="32" t="str">
        <f>IF(A69="","","   End of Year Balance [maf]")</f>
        <v xml:space="preserve">   End of Year Balance [maf]</v>
      </c>
      <c r="C70" s="114">
        <f>IF(OR(C$27="",$A70=""),"",C68-C69)</f>
        <v>6.8717271200249606</v>
      </c>
      <c r="D70" s="114">
        <f t="shared" ref="D70:L70" ca="1" si="26">IF(OR(D$27="",$A70=""),"",D68-D69)</f>
        <v>13.260645742743099</v>
      </c>
      <c r="E70" s="114">
        <f t="shared" ca="1" si="26"/>
        <v>19.451484052928773</v>
      </c>
      <c r="F70" s="114">
        <f t="shared" ca="1" si="26"/>
        <v>25.450788606361094</v>
      </c>
      <c r="G70" s="114">
        <f t="shared" ca="1" si="26"/>
        <v>31.32371034073411</v>
      </c>
      <c r="H70" s="114" t="str">
        <f t="shared" si="26"/>
        <v/>
      </c>
      <c r="I70" s="114" t="str">
        <f t="shared" si="26"/>
        <v/>
      </c>
      <c r="J70" s="114" t="str">
        <f t="shared" si="26"/>
        <v/>
      </c>
      <c r="K70" s="114" t="str">
        <f t="shared" si="26"/>
        <v/>
      </c>
      <c r="L70" s="114" t="str">
        <f t="shared" si="26"/>
        <v/>
      </c>
      <c r="N70" t="str">
        <f t="shared" si="23"/>
        <v>Available water - Account Withdraw</v>
      </c>
      <c r="S70" s="39">
        <v>1045</v>
      </c>
      <c r="T70" s="40">
        <v>7.3260519999999998</v>
      </c>
      <c r="U70" s="41">
        <f t="shared" si="25"/>
        <v>0.96699999999999997</v>
      </c>
      <c r="V70" s="49">
        <v>7.5999999999999998E-2</v>
      </c>
      <c r="W70" s="41">
        <v>1.0369999999999999</v>
      </c>
      <c r="X70" s="41">
        <f t="shared" si="24"/>
        <v>1.0429999999999999</v>
      </c>
      <c r="Y70" s="42">
        <v>7.0000000000000007E-2</v>
      </c>
      <c r="Z70" s="52">
        <v>1043000</v>
      </c>
    </row>
    <row r="71" spans="1:26" x14ac:dyDescent="0.35">
      <c r="C71"/>
      <c r="S71" s="39">
        <v>1050</v>
      </c>
      <c r="T71" s="40">
        <v>7.6828779999999997</v>
      </c>
      <c r="U71" s="41">
        <f t="shared" si="25"/>
        <v>0.71699999999999997</v>
      </c>
      <c r="V71" s="49">
        <v>3.4000000000000002E-2</v>
      </c>
      <c r="W71" s="41">
        <v>0.78700000000000003</v>
      </c>
      <c r="X71" s="41">
        <f t="shared" si="24"/>
        <v>0.751</v>
      </c>
      <c r="Y71" s="42">
        <v>7.0000000000000007E-2</v>
      </c>
      <c r="Z71" s="52">
        <v>751000</v>
      </c>
    </row>
    <row r="72" spans="1:26" x14ac:dyDescent="0.35">
      <c r="A72" s="116" t="str">
        <f>IF(A$8="","[Unused]",A8)</f>
        <v>Mexico</v>
      </c>
      <c r="B72" s="117"/>
      <c r="C72" s="117"/>
      <c r="D72" s="117"/>
      <c r="E72" s="117"/>
      <c r="F72" s="117"/>
      <c r="G72" s="117"/>
      <c r="H72" s="117"/>
      <c r="I72" s="117"/>
      <c r="J72" s="117"/>
      <c r="K72" s="117"/>
      <c r="L72" s="117"/>
      <c r="M72" s="118" t="s">
        <v>108</v>
      </c>
      <c r="N72" s="116" t="s">
        <v>221</v>
      </c>
      <c r="S72" s="39">
        <v>1075</v>
      </c>
      <c r="T72" s="40">
        <v>9.6009879999900001</v>
      </c>
      <c r="U72" s="41">
        <f t="shared" si="25"/>
        <v>0.63300000000000001</v>
      </c>
      <c r="V72" s="49">
        <v>0.03</v>
      </c>
      <c r="W72" s="41">
        <v>0.68300000000000005</v>
      </c>
      <c r="X72" s="41">
        <f t="shared" si="24"/>
        <v>0.66300000000000003</v>
      </c>
      <c r="Y72" s="42">
        <v>0.05</v>
      </c>
      <c r="Z72" s="52">
        <v>663000</v>
      </c>
    </row>
    <row r="73" spans="1:26" x14ac:dyDescent="0.35">
      <c r="A73" s="32" t="str">
        <f>IF(A72="[Unused]","","   Volume of Sales(+) and Purchases(-) [maf]")</f>
        <v xml:space="preserve">   Volume of Sales(+) and Purchases(-) [maf]</v>
      </c>
      <c r="C73" s="25"/>
      <c r="D73" s="25"/>
      <c r="E73" s="25"/>
      <c r="F73" s="25"/>
      <c r="G73" s="25"/>
      <c r="H73" s="25"/>
      <c r="I73" s="25"/>
      <c r="J73" s="25"/>
      <c r="K73" s="25"/>
      <c r="L73" s="25"/>
      <c r="M73" s="115">
        <f>SUM(C73:L73)</f>
        <v>0</v>
      </c>
      <c r="N73" t="str">
        <f>IF(A73="","",N65)</f>
        <v>Add if multiple transactions, e.g.: 0.5 + 0.25</v>
      </c>
      <c r="S73" s="39">
        <v>1090</v>
      </c>
      <c r="T73" s="40">
        <v>10.857008</v>
      </c>
      <c r="U73" s="41">
        <f t="shared" si="25"/>
        <v>0.30000000000000004</v>
      </c>
      <c r="V73" s="49">
        <v>4.1000000000000002E-2</v>
      </c>
      <c r="W73" s="41">
        <v>0.3</v>
      </c>
      <c r="X73" s="41">
        <f t="shared" si="24"/>
        <v>0.34100000000000003</v>
      </c>
      <c r="Y73" s="38"/>
      <c r="Z73" s="52">
        <v>341000</v>
      </c>
    </row>
    <row r="74" spans="1:26" x14ac:dyDescent="0.35">
      <c r="A74" s="32" t="str">
        <f>IF(A73="","","   Cash Intake(+) and Payments(-) [$ Mill]")</f>
        <v xml:space="preserve">   Cash Intake(+) and Payments(-) [$ Mill]</v>
      </c>
      <c r="C74" s="113"/>
      <c r="D74" s="113"/>
      <c r="E74" s="113"/>
      <c r="F74" s="113"/>
      <c r="G74" s="113"/>
      <c r="H74" s="113"/>
      <c r="I74" s="113"/>
      <c r="J74" s="113"/>
      <c r="K74" s="113"/>
      <c r="L74" s="113"/>
      <c r="M74" s="112">
        <f>SUM(C74:L74)</f>
        <v>0</v>
      </c>
      <c r="N74" t="str">
        <f t="shared" ref="N74:N78" si="27">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115">
        <f ca="1">IF(OR(C$27="",$A75=""),"",C$112)</f>
        <v>0</v>
      </c>
      <c r="D75" s="115">
        <f ca="1">IF(OR(D$27="",$A75=""),"",D$112)</f>
        <v>0</v>
      </c>
      <c r="E75" s="115">
        <f ca="1">IF(OR(E$27="",$A75=""),"",E$112)</f>
        <v>0</v>
      </c>
      <c r="F75" s="115">
        <f ca="1">IF(OR(F$27="",$A75=""),"",F$112)</f>
        <v>0</v>
      </c>
      <c r="G75" s="115">
        <f ca="1">IF(OR(G$27="",$A75=""),"",G$112)</f>
        <v>0</v>
      </c>
      <c r="H75" s="115" t="str">
        <f>IF(OR(H$27="",$A75=""),"",H$112)</f>
        <v/>
      </c>
      <c r="I75" s="115" t="str">
        <f>IF(OR(I$27="",$A75=""),"",I$112)</f>
        <v/>
      </c>
      <c r="J75" s="115" t="str">
        <f>IF(OR(J$27="",$A75=""),"",J$112)</f>
        <v/>
      </c>
      <c r="K75" s="115" t="str">
        <f>IF(OR(K$27="",$A75=""),"",K$112)</f>
        <v/>
      </c>
      <c r="L75" s="115" t="str">
        <f>IF(OR(L$27="",$A75=""),"",L$112)</f>
        <v/>
      </c>
      <c r="M75" s="115" t="str">
        <f>IF(OR(M$27="",$A75=""),"",M$112)</f>
        <v/>
      </c>
      <c r="N75" t="str">
        <f t="shared" si="27"/>
        <v>If non-zero, players need to change amount(s)</v>
      </c>
    </row>
    <row r="76" spans="1:26" x14ac:dyDescent="0.35">
      <c r="A76" s="1" t="str">
        <f>IF(A74="","","   Available Water [maf]")</f>
        <v xml:space="preserve">   Available Water [maf]</v>
      </c>
      <c r="C76" s="14">
        <f>IF(OR(C$27="",$A76=""),"",C32+C50-C42-C73)</f>
        <v>1.4973476553769351</v>
      </c>
      <c r="D76" s="14">
        <f ca="1">IF(OR(D$27="",$A76=""),"",D32+D50-D42-D73)</f>
        <v>1.9634226194683575</v>
      </c>
      <c r="E76" s="14">
        <f ca="1">IF(OR(E$27="",$A76=""),"",E32+E50-E42-E73)</f>
        <v>3.3729361388488051</v>
      </c>
      <c r="F76" s="14">
        <f ca="1">IF(OR(F$27="",$A76=""),"",F32+F50-F42-F73)</f>
        <v>4.7334799639927168</v>
      </c>
      <c r="G76" s="14">
        <f ca="1">IF(OR(G$27="",$A76=""),"",G32+G50-G42-G73)</f>
        <v>6.0577641669358</v>
      </c>
      <c r="H76" s="14" t="str">
        <f>IF(OR(H$27="",$A76=""),"",H32+H50-H42-H73)</f>
        <v/>
      </c>
      <c r="I76" s="14" t="str">
        <f>IF(OR(I$27="",$A76=""),"",I32+I50-I42-I73)</f>
        <v/>
      </c>
      <c r="J76" s="14" t="str">
        <f>IF(OR(J$27="",$A76=""),"",J32+J50-J42-J73)</f>
        <v/>
      </c>
      <c r="K76" s="14" t="str">
        <f>IF(OR(K$27="",$A76=""),"",K32+K50-K42-K73)</f>
        <v/>
      </c>
      <c r="L76" s="14" t="str">
        <f>IF(OR(L$27="",$A76=""),"",L32+L50-L42-L73)</f>
        <v/>
      </c>
      <c r="N76" t="str">
        <f t="shared" si="27"/>
        <v>Available water = Account Balance + Available Inflow - Evaporation + Sales - Purchases</v>
      </c>
    </row>
    <row r="77" spans="1:26" x14ac:dyDescent="0.35">
      <c r="A77" s="1" t="str">
        <f>IF(A76="","","   Account Withdraw [maf]")</f>
        <v xml:space="preserve">   Account Withdraw [maf]</v>
      </c>
      <c r="C77" s="43">
        <v>1</v>
      </c>
      <c r="D77" s="43"/>
      <c r="E77" s="43"/>
      <c r="F77" s="43"/>
      <c r="G77" s="43"/>
      <c r="H77" s="43"/>
      <c r="I77" s="43"/>
      <c r="J77" s="43"/>
      <c r="K77" s="43"/>
      <c r="L77" s="43"/>
      <c r="N77" t="str">
        <f t="shared" si="27"/>
        <v>Must be less than Available water</v>
      </c>
    </row>
    <row r="78" spans="1:26" x14ac:dyDescent="0.35">
      <c r="A78" s="32" t="str">
        <f>IF(A77="","","   End of Year Balance [maf]")</f>
        <v xml:space="preserve">   End of Year Balance [maf]</v>
      </c>
      <c r="C78" s="114">
        <f>IF(OR(C$27="",$A78=""),"",C76-C77)</f>
        <v>0.49734765537693515</v>
      </c>
      <c r="D78" s="114">
        <f t="shared" ref="D78:L78" ca="1" si="28">IF(OR(D$27="",$A78=""),"",D76-D77)</f>
        <v>1.9634226194683575</v>
      </c>
      <c r="E78" s="114">
        <f t="shared" ca="1" si="28"/>
        <v>3.3729361388488051</v>
      </c>
      <c r="F78" s="114">
        <f t="shared" ca="1" si="28"/>
        <v>4.7334799639927168</v>
      </c>
      <c r="G78" s="114">
        <f t="shared" ca="1" si="28"/>
        <v>6.0577641669358</v>
      </c>
      <c r="H78" s="114" t="str">
        <f t="shared" si="28"/>
        <v/>
      </c>
      <c r="I78" s="114" t="str">
        <f t="shared" si="28"/>
        <v/>
      </c>
      <c r="J78" s="114" t="str">
        <f t="shared" si="28"/>
        <v/>
      </c>
      <c r="K78" s="114" t="str">
        <f t="shared" si="28"/>
        <v/>
      </c>
      <c r="L78" s="114" t="str">
        <f t="shared" si="28"/>
        <v/>
      </c>
      <c r="N78" t="str">
        <f t="shared" si="27"/>
        <v>Available water - Account Withdraw</v>
      </c>
    </row>
    <row r="79" spans="1:26" x14ac:dyDescent="0.35">
      <c r="C79"/>
    </row>
    <row r="80" spans="1:26" x14ac:dyDescent="0.35">
      <c r="A80" s="116" t="str">
        <f>IF(A$9="","[Unused]",A9)</f>
        <v>Mohave &amp; Havasu Evap &amp; ET</v>
      </c>
      <c r="B80" s="117"/>
      <c r="C80" s="117"/>
      <c r="D80" s="117"/>
      <c r="E80" s="117"/>
      <c r="F80" s="117"/>
      <c r="G80" s="117"/>
      <c r="H80" s="117"/>
      <c r="I80" s="117"/>
      <c r="J80" s="117"/>
      <c r="K80" s="117"/>
      <c r="L80" s="117"/>
      <c r="M80" s="118" t="s">
        <v>108</v>
      </c>
      <c r="N80" s="116" t="s">
        <v>221</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115">
        <f>SUM(C81:L81)</f>
        <v>0</v>
      </c>
      <c r="N81" t="str">
        <f>IF(A81="","",N73)</f>
        <v>Add if multiple transactions, e.g.: 0.5 + 0.25</v>
      </c>
    </row>
    <row r="82" spans="1:14" x14ac:dyDescent="0.35">
      <c r="A82" s="32" t="str">
        <f>IF(A81="","","   Cash Intake(+) and Payments(-) [$ Mill]")</f>
        <v xml:space="preserve">   Cash Intake(+) and Payments(-) [$ Mill]</v>
      </c>
      <c r="C82" s="113"/>
      <c r="D82" s="113"/>
      <c r="E82" s="113"/>
      <c r="F82" s="113"/>
      <c r="G82" s="113"/>
      <c r="H82" s="113"/>
      <c r="I82" s="113"/>
      <c r="J82" s="113"/>
      <c r="K82" s="113"/>
      <c r="L82" s="113"/>
      <c r="M82" s="112">
        <f>SUM(C82:L82)</f>
        <v>0</v>
      </c>
      <c r="N82" t="str">
        <f t="shared" ref="N82:N86" si="29">IF(A82="","",N74)</f>
        <v>Add if multiple transactions, e.g.: $350*0.5 + $450*0.25</v>
      </c>
    </row>
    <row r="83" spans="1:14" x14ac:dyDescent="0.35">
      <c r="A83" s="32" t="str">
        <f>IF(A82="","","   Volume all players (should be zero)")</f>
        <v xml:space="preserve">   Volume all players (should be zero)</v>
      </c>
      <c r="C83" s="115">
        <f ca="1">IF(OR(C$27="",$A83=""),"",C$112)</f>
        <v>0</v>
      </c>
      <c r="D83" s="115">
        <f ca="1">IF(OR(D$27="",$A83=""),"",D$112)</f>
        <v>0</v>
      </c>
      <c r="E83" s="115">
        <f ca="1">IF(OR(E$27="",$A83=""),"",E$112)</f>
        <v>0</v>
      </c>
      <c r="F83" s="115">
        <f ca="1">IF(OR(F$27="",$A83=""),"",F$112)</f>
        <v>0</v>
      </c>
      <c r="G83" s="115">
        <f ca="1">IF(OR(G$27="",$A83=""),"",G$112)</f>
        <v>0</v>
      </c>
      <c r="H83" s="115" t="str">
        <f>IF(OR(H$27="",$A83=""),"",H$112)</f>
        <v/>
      </c>
      <c r="I83" s="115" t="str">
        <f>IF(OR(I$27="",$A83=""),"",I$112)</f>
        <v/>
      </c>
      <c r="J83" s="115" t="str">
        <f>IF(OR(J$27="",$A83=""),"",J$112)</f>
        <v/>
      </c>
      <c r="K83" s="115" t="str">
        <f>IF(OR(K$27="",$A83=""),"",K$112)</f>
        <v/>
      </c>
      <c r="L83" s="115" t="str">
        <f>IF(OR(L$27="",$A83=""),"",L$112)</f>
        <v/>
      </c>
      <c r="M83" s="115" t="str">
        <f>IF(OR(M$27="",$A83=""),"",M$112)</f>
        <v/>
      </c>
      <c r="N83" t="str">
        <f t="shared" si="29"/>
        <v>If non-zero, players need to change amount(s)</v>
      </c>
    </row>
    <row r="84" spans="1:14" x14ac:dyDescent="0.35">
      <c r="A84" s="1" t="str">
        <f>IF(A82="","","   Available Water [maf]")</f>
        <v xml:space="preserve">   Available Water [maf]</v>
      </c>
      <c r="C84" s="14">
        <f>IF(OR(C$27="",$A84=""),"",C33+C51-C43-C81)</f>
        <v>0.6</v>
      </c>
      <c r="D84" s="14">
        <f ca="1">IF(OR(D$27="",$A84=""),"",D33+D51-D43-D81)</f>
        <v>1.1731475128096764</v>
      </c>
      <c r="E84" s="14">
        <f ca="1">IF(OR(E$27="",$A84=""),"",E33+E51-E43-E81)</f>
        <v>1.7260525737058441</v>
      </c>
      <c r="F84" s="14">
        <f ca="1">IF(OR(F$27="",$A84=""),"",F33+F51-F43-F81)</f>
        <v>2.2606580923332324</v>
      </c>
      <c r="G84" s="14">
        <f ca="1">IF(OR(G$27="",$A84=""),"",G33+G51-G43-G81)</f>
        <v>2.782310027700436</v>
      </c>
      <c r="H84" s="14" t="str">
        <f>IF(OR(H$27="",$A84=""),"",H33+H51-H43-H81)</f>
        <v/>
      </c>
      <c r="I84" s="14" t="str">
        <f>IF(OR(I$27="",$A84=""),"",I33+I51-I43-I81)</f>
        <v/>
      </c>
      <c r="J84" s="14" t="str">
        <f>IF(OR(J$27="",$A84=""),"",J33+J51-J43-J81)</f>
        <v/>
      </c>
      <c r="K84" s="14" t="str">
        <f>IF(OR(K$27="",$A84=""),"",K33+K51-K43-K81)</f>
        <v/>
      </c>
      <c r="L84" s="14" t="str">
        <f>IF(OR(L$27="",$A84=""),"",L33+L51-L43-L81)</f>
        <v/>
      </c>
      <c r="N84" t="str">
        <f t="shared" si="29"/>
        <v>Available water = Account Balance + Available Inflow - Evaporation + Sales - Purchases</v>
      </c>
    </row>
    <row r="85" spans="1:14" x14ac:dyDescent="0.35">
      <c r="A85" s="1" t="str">
        <f>IF(A84="","","   Account Withdraw [maf]")</f>
        <v xml:space="preserve">   Account Withdraw [maf]</v>
      </c>
      <c r="C85" s="43"/>
      <c r="D85" s="43"/>
      <c r="E85" s="43"/>
      <c r="F85" s="43"/>
      <c r="G85" s="43"/>
      <c r="H85" s="43"/>
      <c r="I85" s="43"/>
      <c r="J85" s="43"/>
      <c r="K85" s="43"/>
      <c r="L85" s="43"/>
      <c r="N85" t="str">
        <f t="shared" si="29"/>
        <v>Must be less than Available water</v>
      </c>
    </row>
    <row r="86" spans="1:14" x14ac:dyDescent="0.35">
      <c r="A86" s="32" t="str">
        <f>IF(A85="","","   End of Year Balance [maf]")</f>
        <v xml:space="preserve">   End of Year Balance [maf]</v>
      </c>
      <c r="C86" s="114">
        <f>IF(OR(C$27="",$A86=""),"",C84-C85)</f>
        <v>0.6</v>
      </c>
      <c r="D86" s="114">
        <f t="shared" ref="D86" ca="1" si="30">IF(OR(D$27="",$A86=""),"",D84-D85)</f>
        <v>1.1731475128096764</v>
      </c>
      <c r="E86" s="114">
        <f t="shared" ref="E86" ca="1" si="31">IF(OR(E$27="",$A86=""),"",E84-E85)</f>
        <v>1.7260525737058441</v>
      </c>
      <c r="F86" s="114">
        <f t="shared" ref="F86" ca="1" si="32">IF(OR(F$27="",$A86=""),"",F84-F85)</f>
        <v>2.2606580923332324</v>
      </c>
      <c r="G86" s="114">
        <f t="shared" ref="G86" ca="1" si="33">IF(OR(G$27="",$A86=""),"",G84-G85)</f>
        <v>2.782310027700436</v>
      </c>
      <c r="H86" s="114" t="str">
        <f t="shared" ref="H86" si="34">IF(OR(H$27="",$A86=""),"",H84-H85)</f>
        <v/>
      </c>
      <c r="I86" s="114" t="str">
        <f t="shared" ref="I86" si="35">IF(OR(I$27="",$A86=""),"",I84-I85)</f>
        <v/>
      </c>
      <c r="J86" s="114" t="str">
        <f t="shared" ref="J86" si="36">IF(OR(J$27="",$A86=""),"",J84-J85)</f>
        <v/>
      </c>
      <c r="K86" s="114" t="str">
        <f t="shared" ref="K86" si="37">IF(OR(K$27="",$A86=""),"",K84-K85)</f>
        <v/>
      </c>
      <c r="L86" s="114" t="str">
        <f t="shared" ref="L86" si="38">IF(OR(L$27="",$A86=""),"",L84-L85)</f>
        <v/>
      </c>
      <c r="N86" t="str">
        <f t="shared" si="29"/>
        <v>Available water - Account Withdraw</v>
      </c>
    </row>
    <row r="87" spans="1:14" x14ac:dyDescent="0.35">
      <c r="C87"/>
    </row>
    <row r="88" spans="1:14" x14ac:dyDescent="0.35">
      <c r="A88" s="116" t="str">
        <f>IF(A$10="","[Unused]",A10)</f>
        <v>Shared, Reserve</v>
      </c>
      <c r="B88" s="117"/>
      <c r="C88" s="117"/>
      <c r="D88" s="117"/>
      <c r="E88" s="117"/>
      <c r="F88" s="117"/>
      <c r="G88" s="117"/>
      <c r="H88" s="117"/>
      <c r="I88" s="117"/>
      <c r="J88" s="117"/>
      <c r="K88" s="117"/>
      <c r="L88" s="117"/>
      <c r="M88" s="118" t="s">
        <v>108</v>
      </c>
      <c r="N88" s="116" t="s">
        <v>221</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115">
        <f>SUM(C89:L89)</f>
        <v>0</v>
      </c>
      <c r="N89" t="str">
        <f>IF(A89="","",N81)</f>
        <v>Add if multiple transactions, e.g.: 0.5 + 0.25</v>
      </c>
    </row>
    <row r="90" spans="1:14" x14ac:dyDescent="0.35">
      <c r="A90" s="32" t="str">
        <f>IF(A89="","","   Cash Intake(+) and Payments(-) [$ Mill]")</f>
        <v xml:space="preserve">   Cash Intake(+) and Payments(-) [$ Mill]</v>
      </c>
      <c r="C90" s="113"/>
      <c r="D90" s="113"/>
      <c r="E90" s="113"/>
      <c r="F90" s="113"/>
      <c r="G90" s="113"/>
      <c r="H90" s="113"/>
      <c r="I90" s="113"/>
      <c r="J90" s="113"/>
      <c r="K90" s="113"/>
      <c r="L90" s="113"/>
      <c r="M90" s="112">
        <f>SUM(C90:L90)</f>
        <v>0</v>
      </c>
      <c r="N90" t="str">
        <f t="shared" ref="N90:N94" si="39">IF(A90="","",N82)</f>
        <v>Add if multiple transactions, e.g.: $350*0.5 + $450*0.25</v>
      </c>
    </row>
    <row r="91" spans="1:14" x14ac:dyDescent="0.35">
      <c r="A91" s="32" t="str">
        <f>IF(A90="","","   Volume all players (should be zero)")</f>
        <v xml:space="preserve">   Volume all players (should be zero)</v>
      </c>
      <c r="C91" s="115">
        <f ca="1">IF(OR(C$27="",$A91=""),"",C$112)</f>
        <v>0</v>
      </c>
      <c r="D91" s="115">
        <f ca="1">IF(OR(D$27="",$A91=""),"",D$112)</f>
        <v>0</v>
      </c>
      <c r="E91" s="115">
        <f ca="1">IF(OR(E$27="",$A91=""),"",E$112)</f>
        <v>0</v>
      </c>
      <c r="F91" s="115">
        <f ca="1">IF(OR(F$27="",$A91=""),"",F$112)</f>
        <v>0</v>
      </c>
      <c r="G91" s="115">
        <f ca="1">IF(OR(G$27="",$A91=""),"",G$112)</f>
        <v>0</v>
      </c>
      <c r="H91" s="115" t="str">
        <f>IF(OR(H$27="",$A91=""),"",H$112)</f>
        <v/>
      </c>
      <c r="I91" s="115" t="str">
        <f>IF(OR(I$27="",$A91=""),"",I$112)</f>
        <v/>
      </c>
      <c r="J91" s="115" t="str">
        <f>IF(OR(J$27="",$A91=""),"",J$112)</f>
        <v/>
      </c>
      <c r="K91" s="115" t="str">
        <f>IF(OR(K$27="",$A91=""),"",K$112)</f>
        <v/>
      </c>
      <c r="L91" s="115" t="str">
        <f>IF(OR(L$27="",$A91=""),"",L$112)</f>
        <v/>
      </c>
      <c r="M91" s="115" t="str">
        <f>IF(OR(M$27="",$A91=""),"",M$112)</f>
        <v/>
      </c>
      <c r="N91" t="str">
        <f t="shared" si="39"/>
        <v>If non-zero, players need to change amount(s)</v>
      </c>
    </row>
    <row r="92" spans="1:14" x14ac:dyDescent="0.35">
      <c r="A92" s="1" t="str">
        <f>IF(A90="","","   Available Water [maf]")</f>
        <v xml:space="preserve">   Available Water [maf]</v>
      </c>
      <c r="C92" s="14">
        <f>IF(OR(C$27="",$A92=""),"",C34+C52-C44-C89)</f>
        <v>11.59116925</v>
      </c>
      <c r="D92" s="14">
        <f ca="1">IF(OR(D$27="",$A92=""),"",D34+D52-D44-D89)</f>
        <v>11.59116925</v>
      </c>
      <c r="E92" s="14">
        <f ca="1">IF(OR(E$27="",$A92=""),"",E34+E52-E44-E89)</f>
        <v>11.59116925</v>
      </c>
      <c r="F92" s="14">
        <f ca="1">IF(OR(F$27="",$A92=""),"",F34+F52-F44-F89)</f>
        <v>11.59116925</v>
      </c>
      <c r="G92" s="14">
        <f ca="1">IF(OR(G$27="",$A92=""),"",G34+G52-G44-G89)</f>
        <v>11.59116925</v>
      </c>
      <c r="H92" s="14" t="str">
        <f>IF(OR(H$27="",$A92=""),"",H34+H52-H44-H89)</f>
        <v/>
      </c>
      <c r="I92" s="14" t="str">
        <f>IF(OR(I$27="",$A92=""),"",I34+I52-I44-I89)</f>
        <v/>
      </c>
      <c r="J92" s="14" t="str">
        <f>IF(OR(J$27="",$A92=""),"",J34+J52-J44-J89)</f>
        <v/>
      </c>
      <c r="K92" s="14" t="str">
        <f>IF(OR(K$27="",$A92=""),"",K34+K52-K44-K89)</f>
        <v/>
      </c>
      <c r="L92" s="14" t="str">
        <f>IF(OR(L$27="",$A92=""),"",L34+L52-L44-L89)</f>
        <v/>
      </c>
      <c r="N92" t="str">
        <f t="shared" si="39"/>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39"/>
        <v>Must be less than Available water</v>
      </c>
    </row>
    <row r="94" spans="1:14" x14ac:dyDescent="0.35">
      <c r="A94" s="32" t="str">
        <f>IF(A93="","","   End of Year Balance [maf]")</f>
        <v xml:space="preserve">   End of Year Balance [maf]</v>
      </c>
      <c r="C94" s="114">
        <f>IF(OR(C$27="",$A94=""),"",C92-C93)</f>
        <v>11.59116925</v>
      </c>
      <c r="D94" s="114">
        <f t="shared" ref="D94" ca="1" si="40">IF(OR(D$27="",$A94=""),"",D92-D93)</f>
        <v>11.59116925</v>
      </c>
      <c r="E94" s="114">
        <f t="shared" ref="E94" ca="1" si="41">IF(OR(E$27="",$A94=""),"",E92-E93)</f>
        <v>11.59116925</v>
      </c>
      <c r="F94" s="114">
        <f t="shared" ref="F94" ca="1" si="42">IF(OR(F$27="",$A94=""),"",F92-F93)</f>
        <v>11.59116925</v>
      </c>
      <c r="G94" s="114">
        <f t="shared" ref="G94" ca="1" si="43">IF(OR(G$27="",$A94=""),"",G92-G93)</f>
        <v>11.59116925</v>
      </c>
      <c r="H94" s="114" t="str">
        <f t="shared" ref="H94" si="44">IF(OR(H$27="",$A94=""),"",H92-H93)</f>
        <v/>
      </c>
      <c r="I94" s="114" t="str">
        <f t="shared" ref="I94" si="45">IF(OR(I$27="",$A94=""),"",I92-I93)</f>
        <v/>
      </c>
      <c r="J94" s="114" t="str">
        <f t="shared" ref="J94" si="46">IF(OR(J$27="",$A94=""),"",J92-J93)</f>
        <v/>
      </c>
      <c r="K94" s="114" t="str">
        <f t="shared" ref="K94" si="47">IF(OR(K$27="",$A94=""),"",K92-K93)</f>
        <v/>
      </c>
      <c r="L94" s="114" t="str">
        <f t="shared" ref="L94" si="48">IF(OR(L$27="",$A94=""),"",L92-L93)</f>
        <v/>
      </c>
      <c r="N94" t="str">
        <f t="shared" si="39"/>
        <v>Available water - Account Withdraw</v>
      </c>
    </row>
    <row r="95" spans="1:14" x14ac:dyDescent="0.35">
      <c r="C95"/>
    </row>
    <row r="96" spans="1:14" x14ac:dyDescent="0.35">
      <c r="A96" s="116" t="str">
        <f>IF(A$11="","[Unused]",A11)</f>
        <v>[Unused]</v>
      </c>
      <c r="B96" s="117"/>
      <c r="C96" s="117"/>
      <c r="D96" s="117"/>
      <c r="E96" s="117"/>
      <c r="F96" s="117"/>
      <c r="G96" s="117"/>
      <c r="H96" s="117"/>
      <c r="I96" s="117"/>
      <c r="J96" s="117"/>
      <c r="K96" s="117"/>
      <c r="L96" s="117"/>
      <c r="M96" s="118" t="s">
        <v>108</v>
      </c>
      <c r="N96" s="116" t="s">
        <v>221</v>
      </c>
    </row>
    <row r="97" spans="1:14" x14ac:dyDescent="0.35">
      <c r="A97" s="32" t="str">
        <f>IF(A96="[Unused]","","   Volume of Sales(+) and Purchases(-) [maf]")</f>
        <v/>
      </c>
      <c r="C97" s="25"/>
      <c r="D97" s="25"/>
      <c r="E97" s="25"/>
      <c r="F97" s="25"/>
      <c r="G97" s="25"/>
      <c r="H97" s="25"/>
      <c r="I97" s="25"/>
      <c r="J97" s="25"/>
      <c r="K97" s="25"/>
      <c r="L97" s="25"/>
      <c r="M97" s="115">
        <f>SUM(C97:L97)</f>
        <v>0</v>
      </c>
      <c r="N97" t="str">
        <f>IF(A97="","",N89)</f>
        <v/>
      </c>
    </row>
    <row r="98" spans="1:14" x14ac:dyDescent="0.35">
      <c r="A98" s="32" t="str">
        <f>IF(A97="","","   Cash Intake(+) and Payments(-) [$ Mill]")</f>
        <v/>
      </c>
      <c r="C98" s="113"/>
      <c r="D98" s="113"/>
      <c r="E98" s="113"/>
      <c r="F98" s="113"/>
      <c r="G98" s="113"/>
      <c r="H98" s="113"/>
      <c r="I98" s="113"/>
      <c r="J98" s="113"/>
      <c r="K98" s="113"/>
      <c r="L98" s="113"/>
      <c r="M98" s="112">
        <f>SUM(C98:L98)</f>
        <v>0</v>
      </c>
      <c r="N98" t="str">
        <f t="shared" ref="N98:N102" si="49">IF(A98="","",N90)</f>
        <v/>
      </c>
    </row>
    <row r="99" spans="1:14" x14ac:dyDescent="0.35">
      <c r="A99" s="32" t="str">
        <f>IF(A98="","","   Volume all players (should be zero)")</f>
        <v/>
      </c>
      <c r="C99" s="115" t="str">
        <f>IF(OR(C$27="",$A99=""),"",C$112)</f>
        <v/>
      </c>
      <c r="D99" s="115" t="str">
        <f>IF(OR(D$27="",$A99=""),"",D$112)</f>
        <v/>
      </c>
      <c r="E99" s="115" t="str">
        <f>IF(OR(E$27="",$A99=""),"",E$112)</f>
        <v/>
      </c>
      <c r="F99" s="115" t="str">
        <f>IF(OR(F$27="",$A99=""),"",F$112)</f>
        <v/>
      </c>
      <c r="G99" s="115" t="str">
        <f>IF(OR(G$27="",$A99=""),"",G$112)</f>
        <v/>
      </c>
      <c r="H99" s="115" t="str">
        <f>IF(OR(H$27="",$A99=""),"",H$112)</f>
        <v/>
      </c>
      <c r="I99" s="115" t="str">
        <f>IF(OR(I$27="",$A99=""),"",I$112)</f>
        <v/>
      </c>
      <c r="J99" s="115" t="str">
        <f>IF(OR(J$27="",$A99=""),"",J$112)</f>
        <v/>
      </c>
      <c r="K99" s="115" t="str">
        <f>IF(OR(K$27="",$A99=""),"",K$112)</f>
        <v/>
      </c>
      <c r="L99" s="115" t="str">
        <f>IF(OR(L$27="",$A99=""),"",L$112)</f>
        <v/>
      </c>
      <c r="M99" s="115" t="str">
        <f>IF(OR(M$27="",$A99=""),"",M$112)</f>
        <v/>
      </c>
      <c r="N99" t="str">
        <f t="shared" si="49"/>
        <v/>
      </c>
    </row>
    <row r="100" spans="1:14" x14ac:dyDescent="0.35">
      <c r="A100" s="1" t="str">
        <f>IF(A98="","","   Available Water [maf]")</f>
        <v/>
      </c>
      <c r="C100" s="14" t="str">
        <f>IF(OR(C$27="",$A100=""),"",C35+C53-C45-C97)</f>
        <v/>
      </c>
      <c r="D100" s="14" t="str">
        <f>IF(OR(D$27="",$A100=""),"",D35+D53-D45-D97)</f>
        <v/>
      </c>
      <c r="E100" s="14" t="str">
        <f>IF(OR(E$27="",$A100=""),"",E35+E53-E45-E97)</f>
        <v/>
      </c>
      <c r="F100" s="14" t="str">
        <f>IF(OR(F$27="",$A100=""),"",F35+F53-F45-F97)</f>
        <v/>
      </c>
      <c r="G100" s="14" t="str">
        <f>IF(OR(G$27="",$A100=""),"",G35+G53-G45-G97)</f>
        <v/>
      </c>
      <c r="H100" s="14" t="str">
        <f>IF(OR(H$27="",$A100=""),"",H35+H53-H45-H97)</f>
        <v/>
      </c>
      <c r="I100" s="14" t="str">
        <f>IF(OR(I$27="",$A100=""),"",I35+I53-I45-I97)</f>
        <v/>
      </c>
      <c r="J100" s="14" t="str">
        <f>IF(OR(J$27="",$A100=""),"",J35+J53-J45-J97)</f>
        <v/>
      </c>
      <c r="K100" s="14" t="str">
        <f>IF(OR(K$27="",$A100=""),"",K35+K53-K45-K97)</f>
        <v/>
      </c>
      <c r="L100" s="14" t="str">
        <f>IF(OR(L$27="",$A100=""),"",L35+L53-L45-L97)</f>
        <v/>
      </c>
      <c r="N100" t="str">
        <f t="shared" si="49"/>
        <v/>
      </c>
    </row>
    <row r="101" spans="1:14" x14ac:dyDescent="0.35">
      <c r="A101" s="1" t="str">
        <f>IF(A100="","","   Account Withdraw [maf]")</f>
        <v/>
      </c>
      <c r="C101" s="43"/>
      <c r="D101" s="43"/>
      <c r="E101" s="43"/>
      <c r="F101" s="43"/>
      <c r="G101" s="43"/>
      <c r="H101" s="43"/>
      <c r="I101" s="43"/>
      <c r="J101" s="43"/>
      <c r="K101" s="43"/>
      <c r="L101" s="43"/>
      <c r="N101" t="str">
        <f t="shared" si="49"/>
        <v/>
      </c>
    </row>
    <row r="102" spans="1:14" x14ac:dyDescent="0.35">
      <c r="A102" s="32" t="str">
        <f>IF(A101="","","   End of Year Balance [maf]")</f>
        <v/>
      </c>
      <c r="C102" s="114" t="str">
        <f>IF(OR(C$27="",$A102=""),"",C100-C101)</f>
        <v/>
      </c>
      <c r="D102" s="114" t="str">
        <f t="shared" ref="D102" si="50">IF(OR(D$27="",$A102=""),"",D100-D101)</f>
        <v/>
      </c>
      <c r="E102" s="114" t="str">
        <f t="shared" ref="E102" si="51">IF(OR(E$27="",$A102=""),"",E100-E101)</f>
        <v/>
      </c>
      <c r="F102" s="114" t="str">
        <f t="shared" ref="F102" si="52">IF(OR(F$27="",$A102=""),"",F100-F101)</f>
        <v/>
      </c>
      <c r="G102" s="114" t="str">
        <f t="shared" ref="G102" si="53">IF(OR(G$27="",$A102=""),"",G100-G101)</f>
        <v/>
      </c>
      <c r="H102" s="114" t="str">
        <f t="shared" ref="H102" si="54">IF(OR(H$27="",$A102=""),"",H100-H101)</f>
        <v/>
      </c>
      <c r="I102" s="114" t="str">
        <f t="shared" ref="I102" si="55">IF(OR(I$27="",$A102=""),"",I100-I101)</f>
        <v/>
      </c>
      <c r="J102" s="114" t="str">
        <f t="shared" ref="J102" si="56">IF(OR(J$27="",$A102=""),"",J100-J101)</f>
        <v/>
      </c>
      <c r="K102" s="114" t="str">
        <f t="shared" ref="K102" si="57">IF(OR(K$27="",$A102=""),"",K100-K101)</f>
        <v/>
      </c>
      <c r="L102" s="114" t="str">
        <f t="shared" ref="L102" si="58">IF(OR(L$27="",$A102=""),"",L100-L101)</f>
        <v/>
      </c>
      <c r="N102" t="str">
        <f t="shared" si="49"/>
        <v/>
      </c>
    </row>
    <row r="103" spans="1:14" x14ac:dyDescent="0.35">
      <c r="C103"/>
    </row>
    <row r="104" spans="1:14" x14ac:dyDescent="0.35">
      <c r="A104" s="119" t="s">
        <v>235</v>
      </c>
      <c r="B104" s="120"/>
      <c r="C104" s="120"/>
      <c r="D104" s="120"/>
      <c r="E104" s="120"/>
      <c r="F104" s="120"/>
      <c r="G104" s="120"/>
      <c r="H104" s="120"/>
      <c r="I104" s="120"/>
      <c r="J104" s="120"/>
      <c r="K104" s="120"/>
      <c r="L104" s="120"/>
      <c r="M104" s="120"/>
      <c r="N104" s="120"/>
    </row>
    <row r="105" spans="1:14" x14ac:dyDescent="0.35">
      <c r="A105" s="1" t="s">
        <v>167</v>
      </c>
      <c r="C105"/>
      <c r="M105" t="s">
        <v>234</v>
      </c>
      <c r="N105" t="s">
        <v>168</v>
      </c>
    </row>
    <row r="106" spans="1:14" x14ac:dyDescent="0.35">
      <c r="A106" t="str">
        <f>IF(A6="","","    "&amp;A6)</f>
        <v xml:space="preserve">    Upper Basin</v>
      </c>
      <c r="B106" s="1"/>
      <c r="C106" s="115">
        <f ca="1">IF(OR(C$27="",$A106=""),"",OFFSET(C$57,8*(ROW(B106)-ROW(B$106)),0))</f>
        <v>0</v>
      </c>
      <c r="D106" s="115">
        <f ca="1">IF(OR(D$27="",$A106=""),"",OFFSET(D$57,8*(ROW(C106)-ROW(C$106)),0))</f>
        <v>0</v>
      </c>
      <c r="E106" s="115">
        <f ca="1">IF(OR(E$27="",$A106=""),"",OFFSET(E$57,8*(ROW(D106)-ROW(D$106)),0))</f>
        <v>0</v>
      </c>
      <c r="F106" s="115">
        <f ca="1">IF(OR(F$27="",$A106=""),"",OFFSET(F$57,8*(ROW(E106)-ROW(E$106)),0))</f>
        <v>0</v>
      </c>
      <c r="G106" s="115">
        <f ca="1">IF(OR(G$27="",$A106=""),"",OFFSET(G$57,8*(ROW(F106)-ROW(F$106)),0))</f>
        <v>0</v>
      </c>
      <c r="H106" s="115" t="str">
        <f ca="1">IF(OR(H$27="",$A106=""),"",OFFSET(H$57,8*(ROW(G106)-ROW(G$106)),0))</f>
        <v/>
      </c>
      <c r="I106" s="115" t="str">
        <f ca="1">IF(OR(I$27="",$A106=""),"",OFFSET(I$57,8*(ROW(H106)-ROW(H$106)),0))</f>
        <v/>
      </c>
      <c r="J106" s="115" t="str">
        <f ca="1">IF(OR(J$27="",$A106=""),"",OFFSET(J$57,8*(ROW(I106)-ROW(I$106)),0))</f>
        <v/>
      </c>
      <c r="K106" s="115" t="str">
        <f ca="1">IF(OR(K$27="",$A106=""),"",OFFSET(K$57,8*(ROW(J106)-ROW(J$106)),0))</f>
        <v/>
      </c>
      <c r="L106" s="115" t="str">
        <f ca="1">IF(OR(L$27="",$A106=""),"",OFFSET(L$57,8*(ROW(K106)-ROW(K$106)),0))</f>
        <v/>
      </c>
      <c r="M106" s="115">
        <f ca="1">IF(OR($A106=""),"",SUM(C106:L106))</f>
        <v>0</v>
      </c>
      <c r="N106" s="112">
        <f>IF(OR($A106=""),"",M58)</f>
        <v>0</v>
      </c>
    </row>
    <row r="107" spans="1:14" x14ac:dyDescent="0.35">
      <c r="A107" t="str">
        <f>IF(A7="","","    "&amp;A7)</f>
        <v xml:space="preserve">    Lower Basin</v>
      </c>
      <c r="B107" s="1"/>
      <c r="C107" s="115">
        <f ca="1">IF(OR(C$27="",$A107=""),"",OFFSET(C$57,8*(ROW(B107)-ROW(B$106)),0))</f>
        <v>0</v>
      </c>
      <c r="D107" s="115">
        <f ca="1">IF(OR(D$27="",$A107=""),"",OFFSET(D$57,8*(ROW(C107)-ROW(C$106)),0))</f>
        <v>0</v>
      </c>
      <c r="E107" s="115">
        <f ca="1">IF(OR(E$27="",$A107=""),"",OFFSET(E$57,8*(ROW(D107)-ROW(D$106)),0))</f>
        <v>0</v>
      </c>
      <c r="F107" s="115">
        <f ca="1">IF(OR(F$27="",$A107=""),"",OFFSET(F$57,8*(ROW(E107)-ROW(E$106)),0))</f>
        <v>0</v>
      </c>
      <c r="G107" s="115">
        <f ca="1">IF(OR(G$27="",$A107=""),"",OFFSET(G$57,8*(ROW(F107)-ROW(F$106)),0))</f>
        <v>0</v>
      </c>
      <c r="H107" s="115" t="str">
        <f ca="1">IF(OR(H$27="",$A107=""),"",OFFSET(H$57,8*(ROW(G107)-ROW(G$106)),0))</f>
        <v/>
      </c>
      <c r="I107" s="115" t="str">
        <f ca="1">IF(OR(I$27="",$A107=""),"",OFFSET(I$57,8*(ROW(H107)-ROW(H$106)),0))</f>
        <v/>
      </c>
      <c r="J107" s="115" t="str">
        <f ca="1">IF(OR(J$27="",$A107=""),"",OFFSET(J$57,8*(ROW(I107)-ROW(I$106)),0))</f>
        <v/>
      </c>
      <c r="K107" s="115" t="str">
        <f ca="1">IF(OR(K$27="",$A107=""),"",OFFSET(K$57,8*(ROW(J107)-ROW(J$106)),0))</f>
        <v/>
      </c>
      <c r="L107" s="115" t="str">
        <f ca="1">IF(OR(L$27="",$A107=""),"",OFFSET(L$57,8*(ROW(K107)-ROW(K$106)),0))</f>
        <v/>
      </c>
      <c r="M107" s="115">
        <f t="shared" ref="M107:M111" ca="1" si="59">IF(OR($A107=""),"",SUM(C107:L107))</f>
        <v>0</v>
      </c>
      <c r="N107" s="112">
        <f>IF(OR($A107=""),"",M66)</f>
        <v>0</v>
      </c>
    </row>
    <row r="108" spans="1:14" x14ac:dyDescent="0.35">
      <c r="A108" t="str">
        <f>IF(A8="","","    "&amp;A8)</f>
        <v xml:space="preserve">    Mexico</v>
      </c>
      <c r="B108" s="1"/>
      <c r="C108" s="115">
        <f ca="1">IF(OR(C$27="",$A108=""),"",OFFSET(C$57,8*(ROW(B108)-ROW(B$106)),0))</f>
        <v>0</v>
      </c>
      <c r="D108" s="115">
        <f ca="1">IF(OR(D$27="",$A108=""),"",OFFSET(D$57,8*(ROW(C108)-ROW(C$106)),0))</f>
        <v>0</v>
      </c>
      <c r="E108" s="115">
        <f ca="1">IF(OR(E$27="",$A108=""),"",OFFSET(E$57,8*(ROW(D108)-ROW(D$106)),0))</f>
        <v>0</v>
      </c>
      <c r="F108" s="115">
        <f ca="1">IF(OR(F$27="",$A108=""),"",OFFSET(F$57,8*(ROW(E108)-ROW(E$106)),0))</f>
        <v>0</v>
      </c>
      <c r="G108" s="115">
        <f ca="1">IF(OR(G$27="",$A108=""),"",OFFSET(G$57,8*(ROW(F108)-ROW(F$106)),0))</f>
        <v>0</v>
      </c>
      <c r="H108" s="115" t="str">
        <f ca="1">IF(OR(H$27="",$A108=""),"",OFFSET(H$57,8*(ROW(G108)-ROW(G$106)),0))</f>
        <v/>
      </c>
      <c r="I108" s="115" t="str">
        <f ca="1">IF(OR(I$27="",$A108=""),"",OFFSET(I$57,8*(ROW(H108)-ROW(H$106)),0))</f>
        <v/>
      </c>
      <c r="J108" s="115" t="str">
        <f ca="1">IF(OR(J$27="",$A108=""),"",OFFSET(J$57,8*(ROW(I108)-ROW(I$106)),0))</f>
        <v/>
      </c>
      <c r="K108" s="115" t="str">
        <f ca="1">IF(OR(K$27="",$A108=""),"",OFFSET(K$57,8*(ROW(J108)-ROW(J$106)),0))</f>
        <v/>
      </c>
      <c r="L108" s="115" t="str">
        <f ca="1">IF(OR(L$27="",$A108=""),"",OFFSET(L$57,8*(ROW(K108)-ROW(K$106)),0))</f>
        <v/>
      </c>
      <c r="M108" s="115">
        <f t="shared" ca="1" si="59"/>
        <v>0</v>
      </c>
      <c r="N108" s="112">
        <f>IF(OR($A108=""),"",M74)</f>
        <v>0</v>
      </c>
    </row>
    <row r="109" spans="1:14" x14ac:dyDescent="0.35">
      <c r="A109" t="str">
        <f>IF(A9="","","    "&amp;A9)</f>
        <v xml:space="preserve">    Mohave &amp; Havasu Evap &amp; ET</v>
      </c>
      <c r="B109" s="1"/>
      <c r="C109" s="115">
        <f ca="1">IF(OR(C$27="",$A109=""),"",OFFSET(C$57,8*(ROW(B109)-ROW(B$106)),0))</f>
        <v>0</v>
      </c>
      <c r="D109" s="115">
        <f ca="1">IF(OR(D$27="",$A109=""),"",OFFSET(D$57,8*(ROW(C109)-ROW(C$106)),0))</f>
        <v>0</v>
      </c>
      <c r="E109" s="115">
        <f ca="1">IF(OR(E$27="",$A109=""),"",OFFSET(E$57,8*(ROW(D109)-ROW(D$106)),0))</f>
        <v>0</v>
      </c>
      <c r="F109" s="115">
        <f ca="1">IF(OR(F$27="",$A109=""),"",OFFSET(F$57,8*(ROW(E109)-ROW(E$106)),0))</f>
        <v>0</v>
      </c>
      <c r="G109" s="115">
        <f ca="1">IF(OR(G$27="",$A109=""),"",OFFSET(G$57,8*(ROW(F109)-ROW(F$106)),0))</f>
        <v>0</v>
      </c>
      <c r="H109" s="115" t="str">
        <f ca="1">IF(OR(H$27="",$A109=""),"",OFFSET(H$57,8*(ROW(G109)-ROW(G$106)),0))</f>
        <v/>
      </c>
      <c r="I109" s="115" t="str">
        <f ca="1">IF(OR(I$27="",$A109=""),"",OFFSET(I$57,8*(ROW(H109)-ROW(H$106)),0))</f>
        <v/>
      </c>
      <c r="J109" s="115" t="str">
        <f ca="1">IF(OR(J$27="",$A109=""),"",OFFSET(J$57,8*(ROW(I109)-ROW(I$106)),0))</f>
        <v/>
      </c>
      <c r="K109" s="115" t="str">
        <f ca="1">IF(OR(K$27="",$A109=""),"",OFFSET(K$57,8*(ROW(J109)-ROW(J$106)),0))</f>
        <v/>
      </c>
      <c r="L109" s="115" t="str">
        <f ca="1">IF(OR(L$27="",$A109=""),"",OFFSET(L$57,8*(ROW(K109)-ROW(K$106)),0))</f>
        <v/>
      </c>
      <c r="M109" s="115">
        <f t="shared" ca="1" si="59"/>
        <v>0</v>
      </c>
      <c r="N109" s="112">
        <f>IF(OR($A109=""),"",M82)</f>
        <v>0</v>
      </c>
    </row>
    <row r="110" spans="1:14" x14ac:dyDescent="0.35">
      <c r="A110" t="str">
        <f>IF(A10="","","    "&amp;A10)</f>
        <v xml:space="preserve">    Shared, Reserve</v>
      </c>
      <c r="B110" s="1"/>
      <c r="C110" s="115">
        <f ca="1">IF(OR(C$27="",$A110=""),"",OFFSET(C$57,8*(ROW(B110)-ROW(B$106)),0))</f>
        <v>0</v>
      </c>
      <c r="D110" s="115">
        <f ca="1">IF(OR(D$27="",$A110=""),"",OFFSET(D$57,8*(ROW(C110)-ROW(C$106)),0))</f>
        <v>0</v>
      </c>
      <c r="E110" s="115">
        <f ca="1">IF(OR(E$27="",$A110=""),"",OFFSET(E$57,8*(ROW(D110)-ROW(D$106)),0))</f>
        <v>0</v>
      </c>
      <c r="F110" s="115">
        <f ca="1">IF(OR(F$27="",$A110=""),"",OFFSET(F$57,8*(ROW(E110)-ROW(E$106)),0))</f>
        <v>0</v>
      </c>
      <c r="G110" s="115">
        <f ca="1">IF(OR(G$27="",$A110=""),"",OFFSET(G$57,8*(ROW(F110)-ROW(F$106)),0))</f>
        <v>0</v>
      </c>
      <c r="H110" s="115" t="str">
        <f ca="1">IF(OR(H$27="",$A110=""),"",OFFSET(H$57,8*(ROW(G110)-ROW(G$106)),0))</f>
        <v/>
      </c>
      <c r="I110" s="115" t="str">
        <f ca="1">IF(OR(I$27="",$A110=""),"",OFFSET(I$57,8*(ROW(H110)-ROW(H$106)),0))</f>
        <v/>
      </c>
      <c r="J110" s="115" t="str">
        <f ca="1">IF(OR(J$27="",$A110=""),"",OFFSET(J$57,8*(ROW(I110)-ROW(I$106)),0))</f>
        <v/>
      </c>
      <c r="K110" s="115" t="str">
        <f ca="1">IF(OR(K$27="",$A110=""),"",OFFSET(K$57,8*(ROW(J110)-ROW(J$106)),0))</f>
        <v/>
      </c>
      <c r="L110" s="115" t="str">
        <f ca="1">IF(OR(L$27="",$A110=""),"",OFFSET(L$57,8*(ROW(K110)-ROW(K$106)),0))</f>
        <v/>
      </c>
      <c r="M110" s="115">
        <f t="shared" ca="1" si="59"/>
        <v>0</v>
      </c>
      <c r="N110" s="112">
        <f>IF(OR($A110=""),"",M90)</f>
        <v>0</v>
      </c>
    </row>
    <row r="111" spans="1:14" x14ac:dyDescent="0.35">
      <c r="A111" t="str">
        <f>IF(A11="","","    "&amp;A11)</f>
        <v/>
      </c>
      <c r="B111" s="1"/>
      <c r="C111" s="115" t="str">
        <f ca="1">IF(OR(C$27="",$A111=""),"",OFFSET(C$57,8*(ROW(B111)-ROW(B$106)),0))</f>
        <v/>
      </c>
      <c r="D111" s="115" t="str">
        <f ca="1">IF(OR(D$27="",$A111=""),"",OFFSET(D$57,8*(ROW(C111)-ROW(C$106)),0))</f>
        <v/>
      </c>
      <c r="E111" s="115" t="str">
        <f ca="1">IF(OR(E$27="",$A111=""),"",OFFSET(E$57,8*(ROW(D111)-ROW(D$106)),0))</f>
        <v/>
      </c>
      <c r="F111" s="115" t="str">
        <f ca="1">IF(OR(F$27="",$A111=""),"",OFFSET(F$57,8*(ROW(E111)-ROW(E$106)),0))</f>
        <v/>
      </c>
      <c r="G111" s="115" t="str">
        <f ca="1">IF(OR(G$27="",$A111=""),"",OFFSET(G$57,8*(ROW(F111)-ROW(F$106)),0))</f>
        <v/>
      </c>
      <c r="H111" s="115" t="str">
        <f ca="1">IF(OR(H$27="",$A111=""),"",OFFSET(H$57,8*(ROW(G111)-ROW(G$106)),0))</f>
        <v/>
      </c>
      <c r="I111" s="115" t="str">
        <f ca="1">IF(OR(I$27="",$A111=""),"",OFFSET(I$57,8*(ROW(H111)-ROW(H$106)),0))</f>
        <v/>
      </c>
      <c r="J111" s="115" t="str">
        <f ca="1">IF(OR(J$27="",$A111=""),"",OFFSET(J$57,8*(ROW(I111)-ROW(I$106)),0))</f>
        <v/>
      </c>
      <c r="K111" s="115" t="str">
        <f ca="1">IF(OR(K$27="",$A111=""),"",OFFSET(K$57,8*(ROW(J111)-ROW(J$106)),0))</f>
        <v/>
      </c>
      <c r="L111" s="115" t="str">
        <f ca="1">IF(OR(L$27="",$A111=""),"",OFFSET(L$57,8*(ROW(K111)-ROW(K$106)),0))</f>
        <v/>
      </c>
      <c r="M111" s="115" t="str">
        <f t="shared" si="59"/>
        <v/>
      </c>
      <c r="N111" s="112" t="str">
        <f>IF(OR($A111=""),"",M98)</f>
        <v/>
      </c>
    </row>
    <row r="112" spans="1:14" x14ac:dyDescent="0.35">
      <c r="A112" t="s">
        <v>159</v>
      </c>
      <c r="B112" s="1"/>
      <c r="C112" s="53">
        <f ca="1">IF(C$27&lt;&gt;"",SUM(C106:C111),"")</f>
        <v>0</v>
      </c>
      <c r="D112" s="53">
        <f t="shared" ref="D112:L112" ca="1" si="60">IF(D$27&lt;&gt;"",SUM(D106:D111),"")</f>
        <v>0</v>
      </c>
      <c r="E112" s="53">
        <f t="shared" ca="1" si="60"/>
        <v>0</v>
      </c>
      <c r="F112" s="53">
        <f t="shared" ca="1" si="60"/>
        <v>0</v>
      </c>
      <c r="G112" s="53">
        <f t="shared" ca="1" si="60"/>
        <v>0</v>
      </c>
      <c r="H112" s="53" t="str">
        <f t="shared" si="60"/>
        <v/>
      </c>
      <c r="I112" s="53" t="str">
        <f t="shared" si="60"/>
        <v/>
      </c>
      <c r="J112" s="53" t="str">
        <f t="shared" si="60"/>
        <v/>
      </c>
      <c r="K112" s="53" t="str">
        <f t="shared" si="60"/>
        <v/>
      </c>
      <c r="L112" s="53" t="str">
        <f t="shared" si="60"/>
        <v/>
      </c>
      <c r="M112" s="34"/>
    </row>
    <row r="113" spans="1:12" x14ac:dyDescent="0.35">
      <c r="A113" s="1" t="s">
        <v>136</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115">
        <f ca="1">IF(OR(C$27="",$A114=""),"",OFFSET(C$61,8*(ROW(B114)-ROW(B$114)),0))</f>
        <v>1.5</v>
      </c>
      <c r="D114" s="115">
        <f ca="1">IF(OR(D$27="",$A114=""),"",OFFSET(D$61,8*(ROW(C114)-ROW(C$114)),0))</f>
        <v>0</v>
      </c>
      <c r="E114" s="115">
        <f ca="1">IF(OR(E$27="",$A114=""),"",OFFSET(E$61,8*(ROW(D114)-ROW(D$114)),0))</f>
        <v>0</v>
      </c>
      <c r="F114" s="115">
        <f ca="1">IF(OR(F$27="",$A114=""),"",OFFSET(F$61,8*(ROW(E114)-ROW(E$114)),0))</f>
        <v>0</v>
      </c>
      <c r="G114" s="115">
        <f ca="1">IF(OR(G$27="",$A114=""),"",OFFSET(G$61,8*(ROW(F114)-ROW(F$114)),0))</f>
        <v>0</v>
      </c>
      <c r="H114" s="115" t="str">
        <f ca="1">IF(OR(H$27="",$A114=""),"",OFFSET(H$61,8*(ROW(G114)-ROW(G$114)),0))</f>
        <v/>
      </c>
      <c r="I114" s="115" t="str">
        <f ca="1">IF(OR(I$27="",$A114=""),"",OFFSET(I$61,8*(ROW(H114)-ROW(H$114)),0))</f>
        <v/>
      </c>
      <c r="J114" s="115" t="str">
        <f ca="1">IF(OR(J$27="",$A114=""),"",OFFSET(J$61,8*(ROW(I114)-ROW(I$114)),0))</f>
        <v/>
      </c>
      <c r="K114" s="115" t="str">
        <f ca="1">IF(OR(K$27="",$A114=""),"",OFFSET(K$61,8*(ROW(J114)-ROW(J$114)),0))</f>
        <v/>
      </c>
      <c r="L114" s="115" t="str">
        <f ca="1">IF(OR(L$27="",$A114=""),"",OFFSET(L$61,8*(ROW(K114)-ROW(K$114)),0))</f>
        <v/>
      </c>
    </row>
    <row r="115" spans="1:12" x14ac:dyDescent="0.35">
      <c r="A115" t="str">
        <f>IF(A7="","","    "&amp;A7&amp;" - Release from Mead")</f>
        <v xml:space="preserve">    Lower Basin - Release from Mead</v>
      </c>
      <c r="C115" s="115">
        <f ca="1">IF(OR(C$27="",$A115=""),"",OFFSET(C$61,8*(ROW(B115)-ROW(B$114)),0))</f>
        <v>4</v>
      </c>
      <c r="D115" s="115">
        <f ca="1">IF(OR(D$27="",$A115=""),"",OFFSET(D$61,8*(ROW(C115)-ROW(C$114)),0))</f>
        <v>0</v>
      </c>
      <c r="E115" s="115">
        <f ca="1">IF(OR(E$27="",$A115=""),"",OFFSET(E$61,8*(ROW(D115)-ROW(D$114)),0))</f>
        <v>0</v>
      </c>
      <c r="F115" s="115">
        <f ca="1">IF(OR(F$27="",$A115=""),"",OFFSET(F$61,8*(ROW(E115)-ROW(E$114)),0))</f>
        <v>0</v>
      </c>
      <c r="G115" s="115">
        <f ca="1">IF(OR(G$27="",$A115=""),"",OFFSET(G$61,8*(ROW(F115)-ROW(F$114)),0))</f>
        <v>0</v>
      </c>
      <c r="H115" s="115" t="str">
        <f ca="1">IF(OR(H$27="",$A115=""),"",OFFSET(H$61,8*(ROW(G115)-ROW(G$114)),0))</f>
        <v/>
      </c>
      <c r="I115" s="115" t="str">
        <f ca="1">IF(OR(I$27="",$A115=""),"",OFFSET(I$61,8*(ROW(H115)-ROW(H$114)),0))</f>
        <v/>
      </c>
      <c r="J115" s="115" t="str">
        <f ca="1">IF(OR(J$27="",$A115=""),"",OFFSET(J$61,8*(ROW(I115)-ROW(I$114)),0))</f>
        <v/>
      </c>
      <c r="K115" s="115" t="str">
        <f ca="1">IF(OR(K$27="",$A115=""),"",OFFSET(K$61,8*(ROW(J115)-ROW(J$114)),0))</f>
        <v/>
      </c>
      <c r="L115" s="115" t="str">
        <f ca="1">IF(OR(L$27="",$A115=""),"",OFFSET(L$61,8*(ROW(K115)-ROW(K$114)),0))</f>
        <v/>
      </c>
    </row>
    <row r="116" spans="1:12" x14ac:dyDescent="0.35">
      <c r="A116" t="str">
        <f>IF(A8="","","    "&amp;A8&amp;" - Release from Mead")</f>
        <v xml:space="preserve">    Mexico - Release from Mead</v>
      </c>
      <c r="C116" s="115">
        <f ca="1">IF(OR(C$27="",$A116=""),"",OFFSET(C$61,8*(ROW(B116)-ROW(B$114)),0))</f>
        <v>1</v>
      </c>
      <c r="D116" s="115">
        <f ca="1">IF(OR(D$27="",$A116=""),"",OFFSET(D$61,8*(ROW(C116)-ROW(C$114)),0))</f>
        <v>0</v>
      </c>
      <c r="E116" s="115">
        <f ca="1">IF(OR(E$27="",$A116=""),"",OFFSET(E$61,8*(ROW(D116)-ROW(D$114)),0))</f>
        <v>0</v>
      </c>
      <c r="F116" s="115">
        <f ca="1">IF(OR(F$27="",$A116=""),"",OFFSET(F$61,8*(ROW(E116)-ROW(E$114)),0))</f>
        <v>0</v>
      </c>
      <c r="G116" s="115">
        <f ca="1">IF(OR(G$27="",$A116=""),"",OFFSET(G$61,8*(ROW(F116)-ROW(F$114)),0))</f>
        <v>0</v>
      </c>
      <c r="H116" s="115" t="str">
        <f ca="1">IF(OR(H$27="",$A116=""),"",OFFSET(H$61,8*(ROW(G116)-ROW(G$114)),0))</f>
        <v/>
      </c>
      <c r="I116" s="115" t="str">
        <f ca="1">IF(OR(I$27="",$A116=""),"",OFFSET(I$61,8*(ROW(H116)-ROW(H$114)),0))</f>
        <v/>
      </c>
      <c r="J116" s="115" t="str">
        <f ca="1">IF(OR(J$27="",$A116=""),"",OFFSET(J$61,8*(ROW(I116)-ROW(I$114)),0))</f>
        <v/>
      </c>
      <c r="K116" s="115" t="str">
        <f ca="1">IF(OR(K$27="",$A116=""),"",OFFSET(K$61,8*(ROW(J116)-ROW(J$114)),0))</f>
        <v/>
      </c>
      <c r="L116" s="115" t="str">
        <f ca="1">IF(OR(L$27="",$A116=""),"",OFFSET(L$61,8*(ROW(K116)-ROW(K$114)),0))</f>
        <v/>
      </c>
    </row>
    <row r="117" spans="1:12" x14ac:dyDescent="0.35">
      <c r="A117" t="str">
        <f>IF(A9="","","    "&amp;A9&amp;" - Release from Mead")</f>
        <v xml:space="preserve">    Mohave &amp; Havasu Evap &amp; ET - Release from Mead</v>
      </c>
      <c r="C117" s="115">
        <f ca="1">IF(OR(C$27="",$A117=""),"",OFFSET(C$61,8*(ROW(B117)-ROW(B$114)),0))</f>
        <v>0</v>
      </c>
      <c r="D117" s="115">
        <f ca="1">IF(OR(D$27="",$A117=""),"",OFFSET(D$61,8*(ROW(C117)-ROW(C$114)),0))</f>
        <v>0</v>
      </c>
      <c r="E117" s="115">
        <f ca="1">IF(OR(E$27="",$A117=""),"",OFFSET(E$61,8*(ROW(D117)-ROW(D$114)),0))</f>
        <v>0</v>
      </c>
      <c r="F117" s="115">
        <f ca="1">IF(OR(F$27="",$A117=""),"",OFFSET(F$61,8*(ROW(E117)-ROW(E$114)),0))</f>
        <v>0</v>
      </c>
      <c r="G117" s="115">
        <f ca="1">IF(OR(G$27="",$A117=""),"",OFFSET(G$61,8*(ROW(F117)-ROW(F$114)),0))</f>
        <v>0</v>
      </c>
      <c r="H117" s="115" t="str">
        <f ca="1">IF(OR(H$27="",$A117=""),"",OFFSET(H$61,8*(ROW(G117)-ROW(G$114)),0))</f>
        <v/>
      </c>
      <c r="I117" s="115" t="str">
        <f ca="1">IF(OR(I$27="",$A117=""),"",OFFSET(I$61,8*(ROW(H117)-ROW(H$114)),0))</f>
        <v/>
      </c>
      <c r="J117" s="115" t="str">
        <f ca="1">IF(OR(J$27="",$A117=""),"",OFFSET(J$61,8*(ROW(I117)-ROW(I$114)),0))</f>
        <v/>
      </c>
      <c r="K117" s="115" t="str">
        <f ca="1">IF(OR(K$27="",$A117=""),"",OFFSET(K$61,8*(ROW(J117)-ROW(J$114)),0))</f>
        <v/>
      </c>
      <c r="L117" s="115" t="str">
        <f ca="1">IF(OR(L$27="",$A117=""),"",OFFSET(L$61,8*(ROW(K117)-ROW(K$114)),0))</f>
        <v/>
      </c>
    </row>
    <row r="118" spans="1:12" x14ac:dyDescent="0.35">
      <c r="A118" t="str">
        <f>IF(A10="","","    "&amp;A10&amp;" - Release from Mead")</f>
        <v xml:space="preserve">    Shared, Reserve - Release from Mead</v>
      </c>
      <c r="C118" s="115">
        <f ca="1">IF(OR(C$27="",$A118=""),"",OFFSET(C$61,8*(ROW(B118)-ROW(B$114)),0))</f>
        <v>0</v>
      </c>
      <c r="D118" s="115">
        <f ca="1">IF(OR(D$27="",$A118=""),"",OFFSET(D$61,8*(ROW(C118)-ROW(C$114)),0))</f>
        <v>0</v>
      </c>
      <c r="E118" s="115">
        <f ca="1">IF(OR(E$27="",$A118=""),"",OFFSET(E$61,8*(ROW(D118)-ROW(D$114)),0))</f>
        <v>0</v>
      </c>
      <c r="F118" s="115">
        <f ca="1">IF(OR(F$27="",$A118=""),"",OFFSET(F$61,8*(ROW(E118)-ROW(E$114)),0))</f>
        <v>0</v>
      </c>
      <c r="G118" s="115">
        <f ca="1">IF(OR(G$27="",$A118=""),"",OFFSET(G$61,8*(ROW(F118)-ROW(F$114)),0))</f>
        <v>0</v>
      </c>
      <c r="H118" s="115" t="str">
        <f ca="1">IF(OR(H$27="",$A118=""),"",OFFSET(H$61,8*(ROW(G118)-ROW(G$114)),0))</f>
        <v/>
      </c>
      <c r="I118" s="115" t="str">
        <f ca="1">IF(OR(I$27="",$A118=""),"",OFFSET(I$61,8*(ROW(H118)-ROW(H$114)),0))</f>
        <v/>
      </c>
      <c r="J118" s="115" t="str">
        <f ca="1">IF(OR(J$27="",$A118=""),"",OFFSET(J$61,8*(ROW(I118)-ROW(I$114)),0))</f>
        <v/>
      </c>
      <c r="K118" s="115" t="str">
        <f ca="1">IF(OR(K$27="",$A118=""),"",OFFSET(K$61,8*(ROW(J118)-ROW(J$114)),0))</f>
        <v/>
      </c>
      <c r="L118" s="115" t="str">
        <f ca="1">IF(OR(L$27="",$A118=""),"",OFFSET(L$61,8*(ROW(K118)-ROW(K$114)),0))</f>
        <v/>
      </c>
    </row>
    <row r="119" spans="1:12" x14ac:dyDescent="0.35">
      <c r="A119" t="str">
        <f>IF(A11="","","    "&amp;A11&amp;" - Release from Mead")</f>
        <v/>
      </c>
      <c r="C119" s="115" t="str">
        <f ca="1">IF(OR(C$27="",$A119=""),"",OFFSET(C$61,8*(ROW(B119)-ROW(B$114)),0))</f>
        <v/>
      </c>
      <c r="D119" s="115" t="str">
        <f ca="1">IF(OR(D$27="",$A119=""),"",OFFSET(D$61,8*(ROW(C119)-ROW(C$114)),0))</f>
        <v/>
      </c>
      <c r="E119" s="115" t="str">
        <f ca="1">IF(OR(E$27="",$A119=""),"",OFFSET(E$61,8*(ROW(D119)-ROW(D$114)),0))</f>
        <v/>
      </c>
      <c r="F119" s="115" t="str">
        <f ca="1">IF(OR(F$27="",$A119=""),"",OFFSET(F$61,8*(ROW(E119)-ROW(E$114)),0))</f>
        <v/>
      </c>
      <c r="G119" s="115" t="str">
        <f ca="1">IF(OR(G$27="",$A119=""),"",OFFSET(G$61,8*(ROW(F119)-ROW(F$114)),0))</f>
        <v/>
      </c>
      <c r="H119" s="115" t="str">
        <f ca="1">IF(OR(H$27="",$A119=""),"",OFFSET(H$61,8*(ROW(G119)-ROW(G$114)),0))</f>
        <v/>
      </c>
      <c r="I119" s="115" t="str">
        <f ca="1">IF(OR(I$27="",$A119=""),"",OFFSET(I$61,8*(ROW(H119)-ROW(H$114)),0))</f>
        <v/>
      </c>
      <c r="J119" s="115" t="str">
        <f ca="1">IF(OR(J$27="",$A119=""),"",OFFSET(J$61,8*(ROW(I119)-ROW(I$114)),0))</f>
        <v/>
      </c>
      <c r="K119" s="115" t="str">
        <f ca="1">IF(OR(K$27="",$A119=""),"",OFFSET(K$61,8*(ROW(J119)-ROW(J$114)),0))</f>
        <v/>
      </c>
      <c r="L119" s="115" t="str">
        <f ca="1">IF(OR(L$27="",$A119=""),"",OFFSET(L$61,8*(ROW(K119)-ROW(K$114)),0))</f>
        <v/>
      </c>
    </row>
    <row r="120" spans="1:12" x14ac:dyDescent="0.35">
      <c r="A120" s="1" t="s">
        <v>141</v>
      </c>
      <c r="B120" s="1"/>
      <c r="D120" s="2"/>
      <c r="E120" s="2"/>
      <c r="F120" s="2"/>
      <c r="G120" s="2"/>
      <c r="H120" s="2"/>
      <c r="I120" s="2"/>
      <c r="J120" s="2"/>
      <c r="K120" s="2"/>
      <c r="L120" s="2"/>
    </row>
    <row r="121" spans="1:12" x14ac:dyDescent="0.35">
      <c r="A121" t="str">
        <f>IF(A6="","","    "&amp;A6)</f>
        <v xml:space="preserve">    Upper Basin</v>
      </c>
      <c r="C121" s="115">
        <f ca="1">IF(OR(C$27="",$A121=""),"",OFFSET(C$62,8*(ROW(B121)-ROW(B$121)),0))</f>
        <v>5.8178582945981319</v>
      </c>
      <c r="D121" s="115">
        <f ca="1">IF(OR(D$27="",$A121=""),"",OFFSET(D$62,8*(ROW(C121)-ROW(C$121)),0))</f>
        <v>8.053941915874697</v>
      </c>
      <c r="E121" s="115">
        <f ca="1">IF(OR(E$27="",$A121=""),"",OFFSET(E$62,8*(ROW(D121)-ROW(D$121)),0))</f>
        <v>10.253798612052412</v>
      </c>
      <c r="F121" s="115">
        <f ca="1">IF(OR(F$27="",$A121=""),"",OFFSET(F$62,8*(ROW(E121)-ROW(E$121)),0))</f>
        <v>12.401573356020792</v>
      </c>
      <c r="G121" s="115">
        <f ca="1">IF(OR(G$27="",$A121=""),"",OFFSET(G$62,8*(ROW(F121)-ROW(F$121)),0))</f>
        <v>14.52674426655549</v>
      </c>
      <c r="H121" s="115" t="str">
        <f ca="1">IF(OR(H$27="",$A121=""),"",OFFSET(H$62,8*(ROW(G121)-ROW(G$121)),0))</f>
        <v/>
      </c>
      <c r="I121" s="115" t="str">
        <f ca="1">IF(OR(I$27="",$A121=""),"",OFFSET(I$62,8*(ROW(H121)-ROW(H$121)),0))</f>
        <v/>
      </c>
      <c r="J121" s="115" t="str">
        <f ca="1">IF(OR(J$27="",$A121=""),"",OFFSET(J$62,8*(ROW(I121)-ROW(I$121)),0))</f>
        <v/>
      </c>
      <c r="K121" s="115" t="str">
        <f ca="1">IF(OR(K$27="",$A121=""),"",OFFSET(K$62,8*(ROW(J121)-ROW(J$121)),0))</f>
        <v/>
      </c>
      <c r="L121" s="115" t="str">
        <f ca="1">IF(OR(L$27="",$A121=""),"",OFFSET(L$62,8*(ROW(K121)-ROW(K$121)),0))</f>
        <v/>
      </c>
    </row>
    <row r="122" spans="1:12" x14ac:dyDescent="0.35">
      <c r="A122" t="str">
        <f>IF(A7="","","    "&amp;A7)</f>
        <v xml:space="preserve">    Lower Basin</v>
      </c>
      <c r="C122" s="115">
        <f ca="1">IF(OR(C$27="",$A122=""),"",OFFSET(C$62,8*(ROW(B122)-ROW(B$121)),0))</f>
        <v>6.8717271200249606</v>
      </c>
      <c r="D122" s="115">
        <f ca="1">IF(OR(D$27="",$A122=""),"",OFFSET(D$62,8*(ROW(C122)-ROW(C$121)),0))</f>
        <v>13.260645742743099</v>
      </c>
      <c r="E122" s="115">
        <f ca="1">IF(OR(E$27="",$A122=""),"",OFFSET(E$62,8*(ROW(D122)-ROW(D$121)),0))</f>
        <v>19.451484052928773</v>
      </c>
      <c r="F122" s="115">
        <f ca="1">IF(OR(F$27="",$A122=""),"",OFFSET(F$62,8*(ROW(E122)-ROW(E$121)),0))</f>
        <v>25.450788606361094</v>
      </c>
      <c r="G122" s="115">
        <f ca="1">IF(OR(G$27="",$A122=""),"",OFFSET(G$62,8*(ROW(F122)-ROW(F$121)),0))</f>
        <v>31.32371034073411</v>
      </c>
      <c r="H122" s="115" t="str">
        <f ca="1">IF(OR(H$27="",$A122=""),"",OFFSET(H$62,8*(ROW(G122)-ROW(G$121)),0))</f>
        <v/>
      </c>
      <c r="I122" s="115" t="str">
        <f ca="1">IF(OR(I$27="",$A122=""),"",OFFSET(I$62,8*(ROW(H122)-ROW(H$121)),0))</f>
        <v/>
      </c>
      <c r="J122" s="115" t="str">
        <f ca="1">IF(OR(J$27="",$A122=""),"",OFFSET(J$62,8*(ROW(I122)-ROW(I$121)),0))</f>
        <v/>
      </c>
      <c r="K122" s="115" t="str">
        <f ca="1">IF(OR(K$27="",$A122=""),"",OFFSET(K$62,8*(ROW(J122)-ROW(J$121)),0))</f>
        <v/>
      </c>
      <c r="L122" s="115" t="str">
        <f ca="1">IF(OR(L$27="",$A122=""),"",OFFSET(L$62,8*(ROW(K122)-ROW(K$121)),0))</f>
        <v/>
      </c>
    </row>
    <row r="123" spans="1:12" x14ac:dyDescent="0.35">
      <c r="A123" t="str">
        <f>IF(A8="","","    "&amp;A8)</f>
        <v xml:space="preserve">    Mexico</v>
      </c>
      <c r="C123" s="115">
        <f ca="1">IF(OR(C$27="",$A123=""),"",OFFSET(C$62,8*(ROW(B123)-ROW(B$121)),0))</f>
        <v>0.49734765537693515</v>
      </c>
      <c r="D123" s="115">
        <f ca="1">IF(OR(D$27="",$A123=""),"",OFFSET(D$62,8*(ROW(C123)-ROW(C$121)),0))</f>
        <v>1.9634226194683575</v>
      </c>
      <c r="E123" s="115">
        <f ca="1">IF(OR(E$27="",$A123=""),"",OFFSET(E$62,8*(ROW(D123)-ROW(D$121)),0))</f>
        <v>3.3729361388488051</v>
      </c>
      <c r="F123" s="115">
        <f ca="1">IF(OR(F$27="",$A123=""),"",OFFSET(F$62,8*(ROW(E123)-ROW(E$121)),0))</f>
        <v>4.7334799639927168</v>
      </c>
      <c r="G123" s="115">
        <f ca="1">IF(OR(G$27="",$A123=""),"",OFFSET(G$62,8*(ROW(F123)-ROW(F$121)),0))</f>
        <v>6.0577641669358</v>
      </c>
      <c r="H123" s="115" t="str">
        <f ca="1">IF(OR(H$27="",$A123=""),"",OFFSET(H$62,8*(ROW(G123)-ROW(G$121)),0))</f>
        <v/>
      </c>
      <c r="I123" s="115" t="str">
        <f ca="1">IF(OR(I$27="",$A123=""),"",OFFSET(I$62,8*(ROW(H123)-ROW(H$121)),0))</f>
        <v/>
      </c>
      <c r="J123" s="115" t="str">
        <f ca="1">IF(OR(J$27="",$A123=""),"",OFFSET(J$62,8*(ROW(I123)-ROW(I$121)),0))</f>
        <v/>
      </c>
      <c r="K123" s="115" t="str">
        <f ca="1">IF(OR(K$27="",$A123=""),"",OFFSET(K$62,8*(ROW(J123)-ROW(J$121)),0))</f>
        <v/>
      </c>
      <c r="L123" s="115" t="str">
        <f ca="1">IF(OR(L$27="",$A123=""),"",OFFSET(L$62,8*(ROW(K123)-ROW(K$121)),0))</f>
        <v/>
      </c>
    </row>
    <row r="124" spans="1:12" x14ac:dyDescent="0.35">
      <c r="A124" t="str">
        <f>IF(A9="","","    "&amp;A9)</f>
        <v xml:space="preserve">    Mohave &amp; Havasu Evap &amp; ET</v>
      </c>
      <c r="C124" s="115">
        <f ca="1">IF(OR(C$27="",$A124=""),"",OFFSET(C$62,8*(ROW(B124)-ROW(B$121)),0))</f>
        <v>0.6</v>
      </c>
      <c r="D124" s="115">
        <f ca="1">IF(OR(D$27="",$A124=""),"",OFFSET(D$62,8*(ROW(C124)-ROW(C$121)),0))</f>
        <v>1.1731475128096764</v>
      </c>
      <c r="E124" s="115">
        <f ca="1">IF(OR(E$27="",$A124=""),"",OFFSET(E$62,8*(ROW(D124)-ROW(D$121)),0))</f>
        <v>1.7260525737058441</v>
      </c>
      <c r="F124" s="115">
        <f ca="1">IF(OR(F$27="",$A124=""),"",OFFSET(F$62,8*(ROW(E124)-ROW(E$121)),0))</f>
        <v>2.2606580923332324</v>
      </c>
      <c r="G124" s="115">
        <f ca="1">IF(OR(G$27="",$A124=""),"",OFFSET(G$62,8*(ROW(F124)-ROW(F$121)),0))</f>
        <v>2.782310027700436</v>
      </c>
      <c r="H124" s="115" t="str">
        <f ca="1">IF(OR(H$27="",$A124=""),"",OFFSET(H$62,8*(ROW(G124)-ROW(G$121)),0))</f>
        <v/>
      </c>
      <c r="I124" s="115" t="str">
        <f ca="1">IF(OR(I$27="",$A124=""),"",OFFSET(I$62,8*(ROW(H124)-ROW(H$121)),0))</f>
        <v/>
      </c>
      <c r="J124" s="115" t="str">
        <f ca="1">IF(OR(J$27="",$A124=""),"",OFFSET(J$62,8*(ROW(I124)-ROW(I$121)),0))</f>
        <v/>
      </c>
      <c r="K124" s="115" t="str">
        <f ca="1">IF(OR(K$27="",$A124=""),"",OFFSET(K$62,8*(ROW(J124)-ROW(J$121)),0))</f>
        <v/>
      </c>
      <c r="L124" s="115" t="str">
        <f ca="1">IF(OR(L$27="",$A124=""),"",OFFSET(L$62,8*(ROW(K124)-ROW(K$121)),0))</f>
        <v/>
      </c>
    </row>
    <row r="125" spans="1:12" x14ac:dyDescent="0.35">
      <c r="A125" t="str">
        <f>IF(A10="","","    "&amp;A10)</f>
        <v xml:space="preserve">    Shared, Reserve</v>
      </c>
      <c r="C125" s="115">
        <f ca="1">IF(OR(C$27="",$A125=""),"",OFFSET(C$62,8*(ROW(B125)-ROW(B$121)),0))</f>
        <v>11.59116925</v>
      </c>
      <c r="D125" s="115">
        <f ca="1">IF(OR(D$27="",$A125=""),"",OFFSET(D$62,8*(ROW(C125)-ROW(C$121)),0))</f>
        <v>11.59116925</v>
      </c>
      <c r="E125" s="115">
        <f ca="1">IF(OR(E$27="",$A125=""),"",OFFSET(E$62,8*(ROW(D125)-ROW(D$121)),0))</f>
        <v>11.59116925</v>
      </c>
      <c r="F125" s="115">
        <f ca="1">IF(OR(F$27="",$A125=""),"",OFFSET(F$62,8*(ROW(E125)-ROW(E$121)),0))</f>
        <v>11.59116925</v>
      </c>
      <c r="G125" s="115">
        <f ca="1">IF(OR(G$27="",$A125=""),"",OFFSET(G$62,8*(ROW(F125)-ROW(F$121)),0))</f>
        <v>11.59116925</v>
      </c>
      <c r="H125" s="115" t="str">
        <f ca="1">IF(OR(H$27="",$A125=""),"",OFFSET(H$62,8*(ROW(G125)-ROW(G$121)),0))</f>
        <v/>
      </c>
      <c r="I125" s="115" t="str">
        <f ca="1">IF(OR(I$27="",$A125=""),"",OFFSET(I$62,8*(ROW(H125)-ROW(H$121)),0))</f>
        <v/>
      </c>
      <c r="J125" s="115" t="str">
        <f ca="1">IF(OR(J$27="",$A125=""),"",OFFSET(J$62,8*(ROW(I125)-ROW(I$121)),0))</f>
        <v/>
      </c>
      <c r="K125" s="115" t="str">
        <f ca="1">IF(OR(K$27="",$A125=""),"",OFFSET(K$62,8*(ROW(J125)-ROW(J$121)),0))</f>
        <v/>
      </c>
      <c r="L125" s="115" t="str">
        <f ca="1">IF(OR(L$27="",$A125=""),"",OFFSET(L$62,8*(ROW(K125)-ROW(K$121)),0))</f>
        <v/>
      </c>
    </row>
    <row r="126" spans="1:12" x14ac:dyDescent="0.35">
      <c r="A126" t="str">
        <f>IF(A11="","","    "&amp;A11)</f>
        <v/>
      </c>
      <c r="C126" s="115" t="str">
        <f ca="1">IF(OR(C$27="",$A126=""),"",OFFSET(C$62,8*(ROW(B126)-ROW(B$121)),0))</f>
        <v/>
      </c>
      <c r="D126" s="115" t="str">
        <f ca="1">IF(OR(D$27="",$A126=""),"",OFFSET(D$62,8*(ROW(C126)-ROW(C$121)),0))</f>
        <v/>
      </c>
      <c r="E126" s="115" t="str">
        <f ca="1">IF(OR(E$27="",$A126=""),"",OFFSET(E$62,8*(ROW(D126)-ROW(D$121)),0))</f>
        <v/>
      </c>
      <c r="F126" s="115" t="str">
        <f ca="1">IF(OR(F$27="",$A126=""),"",OFFSET(F$62,8*(ROW(E126)-ROW(E$121)),0))</f>
        <v/>
      </c>
      <c r="G126" s="115" t="str">
        <f ca="1">IF(OR(G$27="",$A126=""),"",OFFSET(G$62,8*(ROW(F126)-ROW(F$121)),0))</f>
        <v/>
      </c>
      <c r="H126" s="115" t="str">
        <f ca="1">IF(OR(H$27="",$A126=""),"",OFFSET(H$62,8*(ROW(G126)-ROW(G$121)),0))</f>
        <v/>
      </c>
      <c r="I126" s="115" t="str">
        <f ca="1">IF(OR(I$27="",$A126=""),"",OFFSET(I$62,8*(ROW(H126)-ROW(H$121)),0))</f>
        <v/>
      </c>
      <c r="J126" s="115" t="str">
        <f ca="1">IF(OR(J$27="",$A126=""),"",OFFSET(J$62,8*(ROW(I126)-ROW(I$121)),0))</f>
        <v/>
      </c>
      <c r="K126" s="115" t="str">
        <f ca="1">IF(OR(K$27="",$A126=""),"",OFFSET(K$62,8*(ROW(J126)-ROW(J$121)),0))</f>
        <v/>
      </c>
      <c r="L126" s="115" t="str">
        <f ca="1">IF(OR(L$27="",$A126=""),"",OFFSET(L$62,8*(ROW(K126)-ROW(K$121)),0))</f>
        <v/>
      </c>
    </row>
    <row r="127" spans="1:12" x14ac:dyDescent="0.35">
      <c r="A127" s="1" t="s">
        <v>125</v>
      </c>
      <c r="B127" s="1"/>
      <c r="C127" s="14">
        <f ca="1">IF(C$27&lt;&gt;"",SUM(C121:C126),"")</f>
        <v>25.378102320000025</v>
      </c>
      <c r="D127" s="14">
        <f t="shared" ref="D127:L127" ca="1" si="61">IF(D$27&lt;&gt;"",SUM(D121:D126),"")</f>
        <v>36.042327040895827</v>
      </c>
      <c r="E127" s="14">
        <f t="shared" ca="1" si="61"/>
        <v>46.395440627535834</v>
      </c>
      <c r="F127" s="14">
        <f t="shared" ca="1" si="61"/>
        <v>56.437669268707829</v>
      </c>
      <c r="G127" s="14">
        <f t="shared" ca="1" si="61"/>
        <v>66.281698051925829</v>
      </c>
      <c r="H127" s="14" t="str">
        <f t="shared" si="61"/>
        <v/>
      </c>
      <c r="I127" s="14" t="str">
        <f t="shared" si="61"/>
        <v/>
      </c>
      <c r="J127" s="14" t="str">
        <f t="shared" si="61"/>
        <v/>
      </c>
      <c r="K127" s="14" t="str">
        <f t="shared" si="61"/>
        <v/>
      </c>
      <c r="L127" s="14" t="str">
        <f t="shared" si="61"/>
        <v/>
      </c>
    </row>
    <row r="128" spans="1:12" x14ac:dyDescent="0.35">
      <c r="A128" s="1" t="s">
        <v>147</v>
      </c>
      <c r="B128" s="1"/>
      <c r="C128" s="14">
        <f ca="1">IF(C27&lt;&gt;"",C37+C27-C40-C114-C127*$B$37,"")</f>
        <v>7.5652369935648345</v>
      </c>
      <c r="D128" s="14">
        <f ca="1">IF(D27&lt;&gt;"",D37+D27-D40-D114-D127*$B$37,"")</f>
        <v>5.4075143640007433</v>
      </c>
      <c r="E128" s="14">
        <f ca="1">IF(E27&lt;&gt;"",E37+E27-E40-E114-E127*$B$37,"")</f>
        <v>5.5001250391585899</v>
      </c>
      <c r="F128" s="14">
        <f ca="1">IF(F27&lt;&gt;"",F37+F27-F40-F114-F127*$B$37,"")</f>
        <v>5.5904028182606389</v>
      </c>
      <c r="G128" s="14">
        <f ca="1">IF(G27&lt;&gt;"",G37+G27-G40-G114-G127*$B$37,"")</f>
        <v>5.6481818825904924</v>
      </c>
      <c r="H128" s="14" t="str">
        <f>IF(H27&lt;&gt;"",H37+H27-H40-H114-H127*$B$37,"")</f>
        <v/>
      </c>
      <c r="I128" s="14" t="str">
        <f>IF(I27&lt;&gt;"",I37+I27-I40-I114-I127*$B$37,"")</f>
        <v/>
      </c>
      <c r="J128" s="14" t="str">
        <f>IF(J27&lt;&gt;"",J37+J27-J40-J114-J127*$B$37,"")</f>
        <v/>
      </c>
      <c r="K128" s="14" t="str">
        <f>IF(K27&lt;&gt;"",K37+K27-K40-K114-K127*$B$37,"")</f>
        <v/>
      </c>
      <c r="L128" s="14" t="str">
        <f>IF(L27&lt;&gt;"",L37+L27-L40-L114-L127*$B$37,"")</f>
        <v/>
      </c>
    </row>
    <row r="130" spans="1:12" x14ac:dyDescent="0.35">
      <c r="A130" s="1" t="s">
        <v>127</v>
      </c>
      <c r="C130" s="12">
        <f>IF(C$27&lt;&gt;"",0.2,"")</f>
        <v>0.2</v>
      </c>
      <c r="D130" s="12">
        <f t="shared" ref="D130:L130" si="62">IF(D$27&lt;&gt;"",0.2,"")</f>
        <v>0.2</v>
      </c>
      <c r="E130" s="12">
        <f t="shared" si="62"/>
        <v>0.2</v>
      </c>
      <c r="F130" s="12">
        <f t="shared" si="62"/>
        <v>0.2</v>
      </c>
      <c r="G130" s="12">
        <f t="shared" si="62"/>
        <v>0.2</v>
      </c>
      <c r="H130" s="12" t="str">
        <f t="shared" si="62"/>
        <v/>
      </c>
      <c r="I130" s="12" t="str">
        <f t="shared" si="62"/>
        <v/>
      </c>
      <c r="J130" s="12" t="str">
        <f t="shared" si="62"/>
        <v/>
      </c>
      <c r="K130" s="12" t="str">
        <f t="shared" si="62"/>
        <v/>
      </c>
      <c r="L130" s="12" t="str">
        <f t="shared" si="62"/>
        <v/>
      </c>
    </row>
    <row r="131" spans="1:12" x14ac:dyDescent="0.35">
      <c r="A131" t="s">
        <v>128</v>
      </c>
      <c r="C131" s="14">
        <f t="shared" ref="C131:L131" ca="1" si="63">IF(C$27&lt;&gt;"",C115+C130,"")</f>
        <v>4.2</v>
      </c>
      <c r="D131" s="14">
        <f t="shared" ca="1" si="63"/>
        <v>0.2</v>
      </c>
      <c r="E131" s="14">
        <f t="shared" ca="1" si="63"/>
        <v>0.2</v>
      </c>
      <c r="F131" s="14">
        <f t="shared" ca="1" si="63"/>
        <v>0.2</v>
      </c>
      <c r="G131" s="14">
        <f t="shared" ca="1" si="63"/>
        <v>0.2</v>
      </c>
      <c r="H131" s="14" t="str">
        <f t="shared" si="63"/>
        <v/>
      </c>
      <c r="I131" s="14" t="str">
        <f t="shared" si="63"/>
        <v/>
      </c>
      <c r="J131" s="14" t="str">
        <f t="shared" si="63"/>
        <v/>
      </c>
      <c r="K131" s="14" t="str">
        <f t="shared" si="63"/>
        <v/>
      </c>
      <c r="L131" s="14" t="str">
        <f t="shared" si="63"/>
        <v/>
      </c>
    </row>
    <row r="133" spans="1:12" x14ac:dyDescent="0.35">
      <c r="D133" s="18"/>
    </row>
  </sheetData>
  <mergeCells count="9">
    <mergeCell ref="C9:G9"/>
    <mergeCell ref="C10:G10"/>
    <mergeCell ref="C11:G11"/>
    <mergeCell ref="A3:G3"/>
    <mergeCell ref="C4:G4"/>
    <mergeCell ref="C5:G5"/>
    <mergeCell ref="C6:G6"/>
    <mergeCell ref="C7:G7"/>
    <mergeCell ref="C8:G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topLeftCell="A50" zoomScale="150" zoomScaleNormal="150" workbookViewId="0">
      <selection activeCell="N77" sqref="N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04" t="s">
        <v>169</v>
      </c>
      <c r="B3" s="104"/>
      <c r="C3" s="104"/>
      <c r="D3" s="104"/>
      <c r="E3" s="104"/>
      <c r="F3" s="104"/>
      <c r="G3" s="104"/>
      <c r="H3" s="63"/>
      <c r="I3" s="63"/>
      <c r="J3" s="63"/>
      <c r="K3" s="63"/>
    </row>
    <row r="4" spans="1:11" x14ac:dyDescent="0.35">
      <c r="A4" s="64" t="s">
        <v>39</v>
      </c>
      <c r="B4" s="64" t="s">
        <v>43</v>
      </c>
      <c r="C4" s="105" t="s">
        <v>44</v>
      </c>
      <c r="D4" s="106"/>
      <c r="E4" s="106"/>
      <c r="F4" s="106"/>
      <c r="G4" s="107"/>
    </row>
    <row r="5" spans="1:11" x14ac:dyDescent="0.35">
      <c r="A5" s="65" t="s">
        <v>52</v>
      </c>
      <c r="B5" s="65"/>
      <c r="C5" s="108"/>
      <c r="D5" s="108"/>
      <c r="E5" s="108"/>
      <c r="F5" s="108"/>
      <c r="G5" s="108"/>
    </row>
    <row r="6" spans="1:11" x14ac:dyDescent="0.35">
      <c r="A6" s="66" t="s">
        <v>40</v>
      </c>
      <c r="B6" s="66"/>
      <c r="C6" s="109"/>
      <c r="D6" s="109"/>
      <c r="E6" s="109"/>
      <c r="F6" s="109"/>
      <c r="G6" s="109"/>
    </row>
    <row r="7" spans="1:11" x14ac:dyDescent="0.35">
      <c r="A7" s="66" t="s">
        <v>41</v>
      </c>
      <c r="B7" s="66"/>
      <c r="C7" s="103"/>
      <c r="D7" s="103"/>
      <c r="E7" s="103"/>
      <c r="F7" s="103"/>
      <c r="G7" s="103"/>
    </row>
    <row r="8" spans="1:11" x14ac:dyDescent="0.35">
      <c r="A8" s="66" t="s">
        <v>42</v>
      </c>
      <c r="B8" s="66"/>
      <c r="C8" s="109"/>
      <c r="D8" s="109"/>
      <c r="E8" s="109"/>
      <c r="F8" s="109"/>
      <c r="G8" s="109"/>
    </row>
    <row r="9" spans="1:11" x14ac:dyDescent="0.35">
      <c r="A9" s="66" t="s">
        <v>165</v>
      </c>
      <c r="B9" s="66"/>
      <c r="C9" s="103" t="s">
        <v>187</v>
      </c>
      <c r="D9" s="103"/>
      <c r="E9" s="103"/>
      <c r="F9" s="103"/>
      <c r="G9" s="103"/>
    </row>
    <row r="10" spans="1:11" x14ac:dyDescent="0.35">
      <c r="A10" s="66"/>
      <c r="B10" s="66"/>
      <c r="C10" s="103"/>
      <c r="D10" s="103"/>
      <c r="E10" s="103"/>
      <c r="F10" s="103"/>
      <c r="G10" s="103"/>
    </row>
    <row r="11" spans="1:11" x14ac:dyDescent="0.35">
      <c r="A11" s="66"/>
      <c r="B11" s="66"/>
      <c r="C11" s="103"/>
      <c r="D11" s="103"/>
      <c r="E11" s="103"/>
      <c r="F11" s="103"/>
      <c r="G11" s="10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c r="D25" s="45"/>
      <c r="E25" s="45"/>
      <c r="F25" s="45"/>
      <c r="G25" s="45"/>
      <c r="H25" s="45"/>
      <c r="I25" s="45"/>
      <c r="J25" s="45"/>
      <c r="K25" s="45"/>
      <c r="L25" s="45"/>
    </row>
    <row r="26" spans="1:14"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4"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4"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c r="N28" t="s">
        <v>222</v>
      </c>
    </row>
    <row r="29" spans="1:14" x14ac:dyDescent="0.35">
      <c r="A29" t="str">
        <f t="shared" ref="A29:A33" si="3">IF(A7="","","    "&amp;A7&amp;" Balance")</f>
        <v xml:space="preserve">    Lower Basin Balance</v>
      </c>
      <c r="B29" s="55">
        <f>C22-B30</f>
        <v>10.058999999999999</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c r="N29" t="s">
        <v>223</v>
      </c>
    </row>
    <row r="30" spans="1:14" x14ac:dyDescent="0.35">
      <c r="A30" t="str">
        <f t="shared" si="3"/>
        <v xml:space="preserve">    Mexico Balance</v>
      </c>
      <c r="B30" s="86">
        <f>0.041</f>
        <v>4.1000000000000002E-2</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c r="N30" t="s">
        <v>224</v>
      </c>
    </row>
    <row r="31" spans="1:14"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4"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9">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432" priority="60" operator="greaterThan">
      <formula>$C$69</formula>
    </cfRule>
  </conditionalFormatting>
  <conditionalFormatting sqref="C77">
    <cfRule type="cellIs" dxfId="431" priority="59" operator="greaterThan">
      <formula>$C$70</formula>
    </cfRule>
  </conditionalFormatting>
  <conditionalFormatting sqref="C78">
    <cfRule type="cellIs" dxfId="430" priority="58" operator="greaterThan">
      <formula>$C$71</formula>
    </cfRule>
  </conditionalFormatting>
  <conditionalFormatting sqref="C79">
    <cfRule type="cellIs" dxfId="429" priority="57" operator="greaterThan">
      <formula>$C$72</formula>
    </cfRule>
  </conditionalFormatting>
  <conditionalFormatting sqref="C80">
    <cfRule type="cellIs" dxfId="428" priority="56" operator="greaterThan">
      <formula>$C$73</formula>
    </cfRule>
  </conditionalFormatting>
  <conditionalFormatting sqref="C81">
    <cfRule type="cellIs" dxfId="427" priority="55" operator="greaterThan">
      <formula>$C$74</formula>
    </cfRule>
  </conditionalFormatting>
  <conditionalFormatting sqref="D76">
    <cfRule type="cellIs" dxfId="426" priority="54" operator="greaterThan">
      <formula>$D$69</formula>
    </cfRule>
  </conditionalFormatting>
  <conditionalFormatting sqref="D77">
    <cfRule type="cellIs" dxfId="425" priority="53" operator="greaterThan">
      <formula>$D$70</formula>
    </cfRule>
  </conditionalFormatting>
  <conditionalFormatting sqref="D78">
    <cfRule type="cellIs" dxfId="424" priority="52" operator="greaterThan">
      <formula>$D$71</formula>
    </cfRule>
  </conditionalFormatting>
  <conditionalFormatting sqref="D79">
    <cfRule type="cellIs" dxfId="423" priority="51" operator="greaterThan">
      <formula>$D$72</formula>
    </cfRule>
  </conditionalFormatting>
  <conditionalFormatting sqref="D80">
    <cfRule type="cellIs" dxfId="422" priority="50" operator="greaterThan">
      <formula>$D$73</formula>
    </cfRule>
  </conditionalFormatting>
  <conditionalFormatting sqref="D81">
    <cfRule type="cellIs" dxfId="421" priority="49" operator="greaterThan">
      <formula>$D$74</formula>
    </cfRule>
  </conditionalFormatting>
  <conditionalFormatting sqref="E76">
    <cfRule type="cellIs" dxfId="420" priority="48" operator="greaterThan">
      <formula>$E$69</formula>
    </cfRule>
  </conditionalFormatting>
  <conditionalFormatting sqref="E77">
    <cfRule type="cellIs" dxfId="419" priority="47" operator="greaterThan">
      <formula>$E$70</formula>
    </cfRule>
  </conditionalFormatting>
  <conditionalFormatting sqref="E78">
    <cfRule type="cellIs" dxfId="418" priority="46" operator="greaterThan">
      <formula>$E$71</formula>
    </cfRule>
  </conditionalFormatting>
  <conditionalFormatting sqref="E79">
    <cfRule type="cellIs" dxfId="417" priority="45" operator="greaterThan">
      <formula>$E$72</formula>
    </cfRule>
  </conditionalFormatting>
  <conditionalFormatting sqref="E80">
    <cfRule type="cellIs" dxfId="416" priority="44" operator="greaterThan">
      <formula>$E$73</formula>
    </cfRule>
  </conditionalFormatting>
  <conditionalFormatting sqref="E81">
    <cfRule type="cellIs" dxfId="415" priority="43" operator="greaterThan">
      <formula>$E$74</formula>
    </cfRule>
  </conditionalFormatting>
  <conditionalFormatting sqref="F76">
    <cfRule type="cellIs" dxfId="414" priority="42" operator="greaterThan">
      <formula>$F$69</formula>
    </cfRule>
  </conditionalFormatting>
  <conditionalFormatting sqref="F77">
    <cfRule type="cellIs" dxfId="413" priority="41" operator="greaterThan">
      <formula>$F$70</formula>
    </cfRule>
  </conditionalFormatting>
  <conditionalFormatting sqref="F78">
    <cfRule type="cellIs" dxfId="412" priority="40" operator="greaterThan">
      <formula>$F$71</formula>
    </cfRule>
  </conditionalFormatting>
  <conditionalFormatting sqref="F79">
    <cfRule type="cellIs" dxfId="411" priority="39" operator="greaterThan">
      <formula>$F$72</formula>
    </cfRule>
  </conditionalFormatting>
  <conditionalFormatting sqref="F80">
    <cfRule type="cellIs" dxfId="410" priority="38" operator="greaterThan">
      <formula>$F$73</formula>
    </cfRule>
  </conditionalFormatting>
  <conditionalFormatting sqref="F81">
    <cfRule type="cellIs" dxfId="409" priority="37" operator="greaterThan">
      <formula>$F$74</formula>
    </cfRule>
  </conditionalFormatting>
  <conditionalFormatting sqref="G76">
    <cfRule type="cellIs" dxfId="408" priority="36" operator="greaterThan">
      <formula>$G$69</formula>
    </cfRule>
  </conditionalFormatting>
  <conditionalFormatting sqref="G77">
    <cfRule type="cellIs" dxfId="407" priority="35" operator="greaterThan">
      <formula>$G$70</formula>
    </cfRule>
  </conditionalFormatting>
  <conditionalFormatting sqref="G78">
    <cfRule type="cellIs" dxfId="406" priority="34" operator="greaterThan">
      <formula>$G$71</formula>
    </cfRule>
  </conditionalFormatting>
  <conditionalFormatting sqref="G79">
    <cfRule type="cellIs" dxfId="405" priority="33" operator="greaterThan">
      <formula>$G$72</formula>
    </cfRule>
  </conditionalFormatting>
  <conditionalFormatting sqref="G80">
    <cfRule type="cellIs" dxfId="404" priority="32" operator="greaterThan">
      <formula>$G$73</formula>
    </cfRule>
  </conditionalFormatting>
  <conditionalFormatting sqref="G81">
    <cfRule type="cellIs" dxfId="403" priority="31" operator="greaterThan">
      <formula>$G$74</formula>
    </cfRule>
  </conditionalFormatting>
  <conditionalFormatting sqref="H76">
    <cfRule type="cellIs" dxfId="402" priority="30" operator="greaterThan">
      <formula>$H$69</formula>
    </cfRule>
  </conditionalFormatting>
  <conditionalFormatting sqref="H77">
    <cfRule type="cellIs" dxfId="401" priority="29" operator="greaterThan">
      <formula>$H$70</formula>
    </cfRule>
  </conditionalFormatting>
  <conditionalFormatting sqref="H78">
    <cfRule type="cellIs" dxfId="400" priority="28" operator="greaterThan">
      <formula>$H$71</formula>
    </cfRule>
  </conditionalFormatting>
  <conditionalFormatting sqref="H79">
    <cfRule type="cellIs" dxfId="399" priority="27" operator="greaterThan">
      <formula>$H$72</formula>
    </cfRule>
  </conditionalFormatting>
  <conditionalFormatting sqref="H80">
    <cfRule type="cellIs" dxfId="398" priority="26" operator="greaterThan">
      <formula>$H$73</formula>
    </cfRule>
  </conditionalFormatting>
  <conditionalFormatting sqref="H81">
    <cfRule type="cellIs" dxfId="397" priority="25" operator="greaterThan">
      <formula>$H$74</formula>
    </cfRule>
  </conditionalFormatting>
  <conditionalFormatting sqref="I76">
    <cfRule type="cellIs" dxfId="396" priority="24" operator="greaterThan">
      <formula>$I$69</formula>
    </cfRule>
  </conditionalFormatting>
  <conditionalFormatting sqref="I77">
    <cfRule type="cellIs" dxfId="395" priority="23" operator="greaterThan">
      <formula>$I$70</formula>
    </cfRule>
  </conditionalFormatting>
  <conditionalFormatting sqref="I78">
    <cfRule type="cellIs" dxfId="394" priority="22" operator="greaterThan">
      <formula>$I$71</formula>
    </cfRule>
  </conditionalFormatting>
  <conditionalFormatting sqref="I79">
    <cfRule type="cellIs" dxfId="393" priority="21" operator="greaterThan">
      <formula>$I$72</formula>
    </cfRule>
  </conditionalFormatting>
  <conditionalFormatting sqref="I80">
    <cfRule type="cellIs" dxfId="392" priority="20" operator="greaterThan">
      <formula>$I$73</formula>
    </cfRule>
  </conditionalFormatting>
  <conditionalFormatting sqref="I81">
    <cfRule type="cellIs" dxfId="391" priority="19" operator="greaterThan">
      <formula>$I$74</formula>
    </cfRule>
  </conditionalFormatting>
  <conditionalFormatting sqref="J76">
    <cfRule type="cellIs" dxfId="390" priority="18" operator="greaterThan">
      <formula>$J$69</formula>
    </cfRule>
  </conditionalFormatting>
  <conditionalFormatting sqref="J77">
    <cfRule type="cellIs" dxfId="389" priority="17" operator="greaterThan">
      <formula>$J$70</formula>
    </cfRule>
  </conditionalFormatting>
  <conditionalFormatting sqref="J78">
    <cfRule type="cellIs" dxfId="388" priority="16" operator="greaterThan">
      <formula>$J$71</formula>
    </cfRule>
  </conditionalFormatting>
  <conditionalFormatting sqref="J79">
    <cfRule type="cellIs" dxfId="387" priority="15" operator="greaterThan">
      <formula>$J$72</formula>
    </cfRule>
  </conditionalFormatting>
  <conditionalFormatting sqref="J80">
    <cfRule type="cellIs" dxfId="386" priority="14" operator="greaterThan">
      <formula>$J$73</formula>
    </cfRule>
  </conditionalFormatting>
  <conditionalFormatting sqref="J81">
    <cfRule type="cellIs" dxfId="385" priority="13" operator="greaterThan">
      <formula>$J$74</formula>
    </cfRule>
  </conditionalFormatting>
  <conditionalFormatting sqref="K76">
    <cfRule type="cellIs" dxfId="384" priority="12" operator="greaterThan">
      <formula>$K$69</formula>
    </cfRule>
  </conditionalFormatting>
  <conditionalFormatting sqref="K77">
    <cfRule type="cellIs" dxfId="383" priority="11" operator="greaterThan">
      <formula>$K$70</formula>
    </cfRule>
  </conditionalFormatting>
  <conditionalFormatting sqref="K78">
    <cfRule type="cellIs" dxfId="382" priority="10" operator="greaterThan">
      <formula>$K$71</formula>
    </cfRule>
  </conditionalFormatting>
  <conditionalFormatting sqref="K79">
    <cfRule type="cellIs" dxfId="381" priority="9" operator="greaterThan">
      <formula>$K$72</formula>
    </cfRule>
  </conditionalFormatting>
  <conditionalFormatting sqref="K80">
    <cfRule type="cellIs" dxfId="380" priority="8" operator="greaterThan">
      <formula>$K$73</formula>
    </cfRule>
  </conditionalFormatting>
  <conditionalFormatting sqref="K81">
    <cfRule type="cellIs" dxfId="379" priority="7" operator="greaterThan">
      <formula>$K$74</formula>
    </cfRule>
  </conditionalFormatting>
  <conditionalFormatting sqref="L76">
    <cfRule type="cellIs" dxfId="378" priority="6" operator="greaterThan">
      <formula>$L$69</formula>
    </cfRule>
  </conditionalFormatting>
  <conditionalFormatting sqref="L77">
    <cfRule type="cellIs" dxfId="377" priority="5" operator="greaterThan">
      <formula>$L$70</formula>
    </cfRule>
  </conditionalFormatting>
  <conditionalFormatting sqref="L78">
    <cfRule type="cellIs" dxfId="376" priority="4" operator="greaterThan">
      <formula>$L$71</formula>
    </cfRule>
  </conditionalFormatting>
  <conditionalFormatting sqref="L79">
    <cfRule type="cellIs" dxfId="375" priority="3" operator="greaterThan">
      <formula>$L$72</formula>
    </cfRule>
  </conditionalFormatting>
  <conditionalFormatting sqref="L80">
    <cfRule type="cellIs" dxfId="374" priority="2" operator="greaterThan">
      <formula>$L$73</formula>
    </cfRule>
  </conditionalFormatting>
  <conditionalFormatting sqref="L81">
    <cfRule type="cellIs" dxfId="373" priority="1" operator="greaterThan">
      <formula>$L$74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14"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04" t="s">
        <v>169</v>
      </c>
      <c r="B3" s="104"/>
      <c r="C3" s="104"/>
      <c r="D3" s="104"/>
      <c r="E3" s="104"/>
      <c r="F3" s="104"/>
      <c r="G3" s="104"/>
      <c r="H3" s="63"/>
      <c r="I3" s="63"/>
      <c r="J3" s="63"/>
      <c r="K3" s="63"/>
    </row>
    <row r="4" spans="1:11" x14ac:dyDescent="0.35">
      <c r="A4" s="64" t="s">
        <v>39</v>
      </c>
      <c r="B4" s="64" t="s">
        <v>43</v>
      </c>
      <c r="C4" s="105" t="s">
        <v>44</v>
      </c>
      <c r="D4" s="106"/>
      <c r="E4" s="106"/>
      <c r="F4" s="106"/>
      <c r="G4" s="107"/>
    </row>
    <row r="5" spans="1:11" x14ac:dyDescent="0.35">
      <c r="A5" s="65" t="s">
        <v>52</v>
      </c>
      <c r="B5" s="65"/>
      <c r="C5" s="108"/>
      <c r="D5" s="108"/>
      <c r="E5" s="108"/>
      <c r="F5" s="108"/>
      <c r="G5" s="108"/>
    </row>
    <row r="6" spans="1:11" x14ac:dyDescent="0.35">
      <c r="A6" s="66" t="s">
        <v>40</v>
      </c>
      <c r="B6" s="66" t="s">
        <v>184</v>
      </c>
      <c r="C6" s="109" t="s">
        <v>189</v>
      </c>
      <c r="D6" s="109"/>
      <c r="E6" s="109"/>
      <c r="F6" s="109"/>
      <c r="G6" s="109"/>
    </row>
    <row r="7" spans="1:11" x14ac:dyDescent="0.35">
      <c r="A7" s="66" t="s">
        <v>41</v>
      </c>
      <c r="B7" s="66" t="s">
        <v>184</v>
      </c>
      <c r="C7" s="109" t="s">
        <v>190</v>
      </c>
      <c r="D7" s="109"/>
      <c r="E7" s="109"/>
      <c r="F7" s="109"/>
      <c r="G7" s="109"/>
    </row>
    <row r="8" spans="1:11" x14ac:dyDescent="0.35">
      <c r="A8" s="66" t="s">
        <v>42</v>
      </c>
      <c r="B8" s="66" t="s">
        <v>184</v>
      </c>
      <c r="C8" s="109" t="s">
        <v>181</v>
      </c>
      <c r="D8" s="109"/>
      <c r="E8" s="109"/>
      <c r="F8" s="109"/>
      <c r="G8" s="109"/>
    </row>
    <row r="9" spans="1:11" x14ac:dyDescent="0.35">
      <c r="A9" s="66" t="s">
        <v>165</v>
      </c>
      <c r="B9" s="66" t="s">
        <v>184</v>
      </c>
      <c r="C9" s="109" t="s">
        <v>182</v>
      </c>
      <c r="D9" s="109"/>
      <c r="E9" s="109"/>
      <c r="F9" s="109"/>
      <c r="G9" s="109"/>
    </row>
    <row r="10" spans="1:11" x14ac:dyDescent="0.35">
      <c r="A10" s="66"/>
      <c r="B10" s="66"/>
      <c r="C10" s="103"/>
      <c r="D10" s="103"/>
      <c r="E10" s="103"/>
      <c r="F10" s="103"/>
      <c r="G10" s="103"/>
    </row>
    <row r="11" spans="1:11" x14ac:dyDescent="0.35">
      <c r="A11" s="66"/>
      <c r="B11" s="66"/>
      <c r="C11" s="103"/>
      <c r="D11" s="103"/>
      <c r="E11" s="103"/>
      <c r="F11" s="103"/>
      <c r="G11" s="10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11</v>
      </c>
      <c r="D25" s="45">
        <f>C25</f>
        <v>11</v>
      </c>
      <c r="E25" s="45">
        <f t="shared" ref="E25:G25" si="0">D25</f>
        <v>11</v>
      </c>
      <c r="F25" s="45">
        <f t="shared" si="0"/>
        <v>11</v>
      </c>
      <c r="G25" s="45">
        <f t="shared" si="0"/>
        <v>11</v>
      </c>
      <c r="H25" s="45"/>
      <c r="I25" s="45"/>
      <c r="J25" s="45"/>
      <c r="K25" s="45"/>
      <c r="L25" s="45"/>
    </row>
    <row r="26" spans="1:14"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4" x14ac:dyDescent="0.35">
      <c r="A27" s="1" t="s">
        <v>126</v>
      </c>
      <c r="B27" s="14">
        <f>SUM(B28:B33)-SUM(B22:C22)</f>
        <v>0</v>
      </c>
      <c r="C27" s="14">
        <f>IF(C$25&lt;&gt;"",SUM(B22:C22),"")</f>
        <v>21.1</v>
      </c>
      <c r="D27" s="14">
        <f>IF(D$25&lt;&gt;"",C89,"")</f>
        <v>19.202087997956422</v>
      </c>
      <c r="E27" s="14">
        <f t="shared" ref="E27:L27" si="2">IF(E$25&lt;&gt;"",D89,"")</f>
        <v>17.798428243956995</v>
      </c>
      <c r="F27" s="14">
        <f t="shared" si="2"/>
        <v>16.738607840956995</v>
      </c>
      <c r="G27" s="14">
        <f t="shared" si="2"/>
        <v>15.912029191456391</v>
      </c>
      <c r="H27" s="14" t="str">
        <f t="shared" si="2"/>
        <v/>
      </c>
      <c r="I27" s="14" t="str">
        <f t="shared" si="2"/>
        <v/>
      </c>
      <c r="J27" s="14" t="str">
        <f t="shared" si="2"/>
        <v/>
      </c>
      <c r="K27" s="14" t="str">
        <f t="shared" si="2"/>
        <v/>
      </c>
      <c r="L27" s="14" t="str">
        <f t="shared" si="2"/>
        <v/>
      </c>
    </row>
    <row r="28" spans="1:14" x14ac:dyDescent="0.35">
      <c r="A28" t="str">
        <f>IF(A6="","","    "&amp;A6&amp;" Balance")</f>
        <v xml:space="preserve">    Upper Basin Balance</v>
      </c>
      <c r="B28" s="55">
        <f>B22</f>
        <v>11</v>
      </c>
      <c r="C28" s="14">
        <f>IF(OR(C$25="",$A28=""),"",B28)</f>
        <v>11</v>
      </c>
      <c r="D28" s="14">
        <f>IF(OR(D$25="",$A28=""),"",C83)</f>
        <v>9.0322571336493027</v>
      </c>
      <c r="E28" s="14">
        <f t="shared" ref="E28:L28" si="3">IF(OR(E$25="",$A28=""),"",D83)</f>
        <v>7.6425607766800914</v>
      </c>
      <c r="F28" s="14">
        <f t="shared" si="3"/>
        <v>6.6113060670383863</v>
      </c>
      <c r="G28" s="14">
        <f t="shared" si="3"/>
        <v>6.2249460986089646</v>
      </c>
      <c r="H28" s="14" t="str">
        <f t="shared" si="3"/>
        <v/>
      </c>
      <c r="I28" s="14" t="str">
        <f t="shared" si="3"/>
        <v/>
      </c>
      <c r="J28" s="14" t="str">
        <f t="shared" si="3"/>
        <v/>
      </c>
      <c r="K28" s="14" t="str">
        <f t="shared" si="3"/>
        <v/>
      </c>
      <c r="L28" s="14" t="str">
        <f t="shared" si="3"/>
        <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10.169830864307119</v>
      </c>
      <c r="E29" s="14">
        <f t="shared" si="6"/>
        <v>10.155867467276902</v>
      </c>
      <c r="F29" s="14">
        <f t="shared" si="6"/>
        <v>10.127301773918607</v>
      </c>
      <c r="G29" s="14">
        <f t="shared" si="6"/>
        <v>9.687083092847427</v>
      </c>
      <c r="H29" s="14" t="str">
        <f t="shared" si="6"/>
        <v/>
      </c>
      <c r="I29" s="14" t="str">
        <f t="shared" si="6"/>
        <v/>
      </c>
      <c r="J29" s="14" t="str">
        <f t="shared" si="6"/>
        <v/>
      </c>
      <c r="K29" s="14" t="str">
        <f t="shared" si="6"/>
        <v/>
      </c>
      <c r="L29" s="14" t="str">
        <f t="shared" si="6"/>
        <v/>
      </c>
      <c r="N29" t="s">
        <v>223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9.601043998978211</v>
      </c>
      <c r="E35" s="14">
        <f t="shared" si="7"/>
        <v>8.8992141219784973</v>
      </c>
      <c r="F35" s="14">
        <f t="shared" si="7"/>
        <v>8.3693039204784974</v>
      </c>
      <c r="G35" s="14">
        <f t="shared" si="7"/>
        <v>7.9560145957281954</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9.601043998978211</v>
      </c>
      <c r="E36" s="14">
        <f t="shared" si="7"/>
        <v>8.8992141219784973</v>
      </c>
      <c r="F36" s="14">
        <f t="shared" si="7"/>
        <v>8.3693039204784974</v>
      </c>
      <c r="G36" s="14">
        <f t="shared" si="7"/>
        <v>7.9560145957281954</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0.92282040300000001</v>
      </c>
      <c r="F37" s="14">
        <f>IF(F$25&lt;&gt;"",VLOOKUP(F35*1000000,'Powell-Elevation-Area'!$B$5:$D$689,3)*$B$21/1000000 + VLOOKUP(F36*1000000,'Mead-Elevation-Area'!$B$5:$D$676,3)*$C$21/1000000,"")</f>
        <v>0.88957864950059995</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0.45469635696921151</v>
      </c>
      <c r="E38" s="14">
        <f t="shared" si="8"/>
        <v>0.39625470964170584</v>
      </c>
      <c r="F38" s="14">
        <f t="shared" si="8"/>
        <v>0.3513599684294223</v>
      </c>
      <c r="G38" s="14">
        <f t="shared" si="8"/>
        <v>0.33787833714355547</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0.48716913569287823</v>
      </c>
      <c r="D39" s="14">
        <f t="shared" si="10"/>
        <v>0.51196339703021554</v>
      </c>
      <c r="E39" s="14">
        <f t="shared" si="10"/>
        <v>0.52656569335829417</v>
      </c>
      <c r="F39" s="14">
        <f t="shared" si="10"/>
        <v>0.53821868107117754</v>
      </c>
      <c r="G39" s="14">
        <f t="shared" si="10"/>
        <v>0.52579660535761763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s="46"/>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10.942560776680091</v>
      </c>
      <c r="E69" s="14">
        <f t="shared" si="27"/>
        <v>9.6113060670383863</v>
      </c>
      <c r="F69" s="14">
        <f t="shared" si="27"/>
        <v>9.0249460986089645</v>
      </c>
      <c r="G69" s="14">
        <f t="shared" si="27"/>
        <v>8.6520677614654087</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17.03683086430712</v>
      </c>
      <c r="D70" s="14">
        <f t="shared" si="29"/>
        <v>17.022867467276903</v>
      </c>
      <c r="E70" s="14">
        <f t="shared" si="29"/>
        <v>16.994301773918608</v>
      </c>
      <c r="F70" s="14">
        <f t="shared" si="29"/>
        <v>16.554083092847428</v>
      </c>
      <c r="G70" s="14">
        <f t="shared" si="29"/>
        <v>16.126286487489811</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1.5090143220436021</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1.5090143220436021</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7.6425607766800914</v>
      </c>
      <c r="E83" s="14">
        <f t="shared" si="34"/>
        <v>6.6113060670383863</v>
      </c>
      <c r="F83" s="14">
        <f t="shared" si="34"/>
        <v>6.2249460986089646</v>
      </c>
      <c r="G83" s="14">
        <f t="shared" si="34"/>
        <v>5.8520677614654089</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10.169830864307119</v>
      </c>
      <c r="D84" s="14">
        <f t="shared" si="36"/>
        <v>10.155867467276902</v>
      </c>
      <c r="E84" s="14">
        <f t="shared" si="36"/>
        <v>10.127301773918607</v>
      </c>
      <c r="F84" s="14">
        <f t="shared" si="36"/>
        <v>9.687083092847427</v>
      </c>
      <c r="G84" s="14">
        <f t="shared" si="36"/>
        <v>9.2592864874898098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19.202087997956422</v>
      </c>
      <c r="D89" s="14">
        <f t="shared" ref="D89:L89" si="37">IF(D$25&lt;&gt;"",SUM(D83:D88),"")</f>
        <v>17.798428243956995</v>
      </c>
      <c r="E89" s="14">
        <f t="shared" si="37"/>
        <v>16.738607840956995</v>
      </c>
      <c r="F89" s="14">
        <f t="shared" si="37"/>
        <v>15.912029191456391</v>
      </c>
      <c r="G89" s="14">
        <f t="shared" si="37"/>
        <v>15.11135424895522</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8.1662131346710911</v>
      </c>
      <c r="D90" s="14">
        <f t="shared" ref="D90:L90" si="38">IF(D25&lt;&gt;"",D35+D25-D38-D76-D89*$B$35,"")</f>
        <v>7.9471335200305031</v>
      </c>
      <c r="E90" s="14">
        <f t="shared" si="38"/>
        <v>8.133655491858292</v>
      </c>
      <c r="F90" s="14">
        <f t="shared" si="38"/>
        <v>8.2619293563208807</v>
      </c>
      <c r="G90" s="14">
        <f t="shared" si="38"/>
        <v>8.262459134107031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72" priority="65" operator="greaterThan">
      <formula>$C$70</formula>
    </cfRule>
  </conditionalFormatting>
  <conditionalFormatting sqref="C78">
    <cfRule type="cellIs" dxfId="371" priority="64" operator="greaterThan">
      <formula>$C$71</formula>
    </cfRule>
  </conditionalFormatting>
  <conditionalFormatting sqref="C79">
    <cfRule type="cellIs" dxfId="370" priority="63" operator="greaterThan">
      <formula>$C$72</formula>
    </cfRule>
  </conditionalFormatting>
  <conditionalFormatting sqref="C80">
    <cfRule type="cellIs" dxfId="369" priority="62" operator="greaterThan">
      <formula>$C$73</formula>
    </cfRule>
  </conditionalFormatting>
  <conditionalFormatting sqref="C81">
    <cfRule type="cellIs" dxfId="368" priority="61" operator="greaterThan">
      <formula>$C$74</formula>
    </cfRule>
  </conditionalFormatting>
  <conditionalFormatting sqref="D77">
    <cfRule type="cellIs" dxfId="367" priority="59" operator="greaterThan">
      <formula>$D$70</formula>
    </cfRule>
  </conditionalFormatting>
  <conditionalFormatting sqref="D78">
    <cfRule type="cellIs" dxfId="366" priority="58" operator="greaterThan">
      <formula>$D$71</formula>
    </cfRule>
  </conditionalFormatting>
  <conditionalFormatting sqref="D79">
    <cfRule type="cellIs" dxfId="365" priority="57" operator="greaterThan">
      <formula>$D$72</formula>
    </cfRule>
  </conditionalFormatting>
  <conditionalFormatting sqref="D80">
    <cfRule type="cellIs" dxfId="364" priority="56" operator="greaterThan">
      <formula>$D$73</formula>
    </cfRule>
  </conditionalFormatting>
  <conditionalFormatting sqref="D81">
    <cfRule type="cellIs" dxfId="363" priority="55" operator="greaterThan">
      <formula>$D$74</formula>
    </cfRule>
  </conditionalFormatting>
  <conditionalFormatting sqref="E77">
    <cfRule type="cellIs" dxfId="362" priority="53" operator="greaterThan">
      <formula>$E$70</formula>
    </cfRule>
  </conditionalFormatting>
  <conditionalFormatting sqref="E78">
    <cfRule type="cellIs" dxfId="361" priority="52" operator="greaterThan">
      <formula>$E$71</formula>
    </cfRule>
  </conditionalFormatting>
  <conditionalFormatting sqref="E79">
    <cfRule type="cellIs" dxfId="360" priority="51" operator="greaterThan">
      <formula>$E$72</formula>
    </cfRule>
  </conditionalFormatting>
  <conditionalFormatting sqref="E80">
    <cfRule type="cellIs" dxfId="359" priority="50" operator="greaterThan">
      <formula>$E$73</formula>
    </cfRule>
  </conditionalFormatting>
  <conditionalFormatting sqref="E81">
    <cfRule type="cellIs" dxfId="358" priority="49" operator="greaterThan">
      <formula>$E$74</formula>
    </cfRule>
  </conditionalFormatting>
  <conditionalFormatting sqref="F77">
    <cfRule type="cellIs" dxfId="357" priority="47" operator="greaterThan">
      <formula>$F$70</formula>
    </cfRule>
  </conditionalFormatting>
  <conditionalFormatting sqref="F78">
    <cfRule type="cellIs" dxfId="356" priority="46" operator="greaterThan">
      <formula>$F$71</formula>
    </cfRule>
  </conditionalFormatting>
  <conditionalFormatting sqref="F79">
    <cfRule type="cellIs" dxfId="355" priority="45" operator="greaterThan">
      <formula>$F$72</formula>
    </cfRule>
  </conditionalFormatting>
  <conditionalFormatting sqref="F80">
    <cfRule type="cellIs" dxfId="354" priority="44" operator="greaterThan">
      <formula>$F$73</formula>
    </cfRule>
  </conditionalFormatting>
  <conditionalFormatting sqref="F81">
    <cfRule type="cellIs" dxfId="353" priority="43" operator="greaterThan">
      <formula>$F$74</formula>
    </cfRule>
  </conditionalFormatting>
  <conditionalFormatting sqref="G77">
    <cfRule type="cellIs" dxfId="352" priority="41" operator="greaterThan">
      <formula>$G$70</formula>
    </cfRule>
  </conditionalFormatting>
  <conditionalFormatting sqref="G78">
    <cfRule type="cellIs" dxfId="351" priority="40" operator="greaterThan">
      <formula>$G$71</formula>
    </cfRule>
  </conditionalFormatting>
  <conditionalFormatting sqref="G79">
    <cfRule type="cellIs" dxfId="350" priority="39" operator="greaterThan">
      <formula>$G$72</formula>
    </cfRule>
  </conditionalFormatting>
  <conditionalFormatting sqref="G80">
    <cfRule type="cellIs" dxfId="349" priority="38" operator="greaterThan">
      <formula>$G$73</formula>
    </cfRule>
  </conditionalFormatting>
  <conditionalFormatting sqref="G81">
    <cfRule type="cellIs" dxfId="348" priority="37" operator="greaterThan">
      <formula>$G$74</formula>
    </cfRule>
  </conditionalFormatting>
  <conditionalFormatting sqref="H76">
    <cfRule type="cellIs" dxfId="347" priority="36" operator="greaterThan">
      <formula>$H$69</formula>
    </cfRule>
  </conditionalFormatting>
  <conditionalFormatting sqref="H77">
    <cfRule type="cellIs" dxfId="346" priority="35" operator="greaterThan">
      <formula>$H$70</formula>
    </cfRule>
  </conditionalFormatting>
  <conditionalFormatting sqref="H78">
    <cfRule type="cellIs" dxfId="345" priority="34" operator="greaterThan">
      <formula>$H$71</formula>
    </cfRule>
  </conditionalFormatting>
  <conditionalFormatting sqref="H79">
    <cfRule type="cellIs" dxfId="344" priority="33" operator="greaterThan">
      <formula>$H$72</formula>
    </cfRule>
  </conditionalFormatting>
  <conditionalFormatting sqref="H80">
    <cfRule type="cellIs" dxfId="343" priority="32" operator="greaterThan">
      <formula>$H$73</formula>
    </cfRule>
  </conditionalFormatting>
  <conditionalFormatting sqref="H81">
    <cfRule type="cellIs" dxfId="342" priority="31" operator="greaterThan">
      <formula>$H$74</formula>
    </cfRule>
  </conditionalFormatting>
  <conditionalFormatting sqref="I76">
    <cfRule type="cellIs" dxfId="341" priority="30" operator="greaterThan">
      <formula>$I$69</formula>
    </cfRule>
  </conditionalFormatting>
  <conditionalFormatting sqref="I77">
    <cfRule type="cellIs" dxfId="340" priority="29" operator="greaterThan">
      <formula>$I$70</formula>
    </cfRule>
  </conditionalFormatting>
  <conditionalFormatting sqref="I78">
    <cfRule type="cellIs" dxfId="339" priority="28" operator="greaterThan">
      <formula>$I$71</formula>
    </cfRule>
  </conditionalFormatting>
  <conditionalFormatting sqref="I79">
    <cfRule type="cellIs" dxfId="338" priority="27" operator="greaterThan">
      <formula>$I$72</formula>
    </cfRule>
  </conditionalFormatting>
  <conditionalFormatting sqref="I80">
    <cfRule type="cellIs" dxfId="337" priority="26" operator="greaterThan">
      <formula>$I$73</formula>
    </cfRule>
  </conditionalFormatting>
  <conditionalFormatting sqref="I81">
    <cfRule type="cellIs" dxfId="336" priority="25" operator="greaterThan">
      <formula>$I$74</formula>
    </cfRule>
  </conditionalFormatting>
  <conditionalFormatting sqref="J76">
    <cfRule type="cellIs" dxfId="335" priority="24" operator="greaterThan">
      <formula>$J$69</formula>
    </cfRule>
  </conditionalFormatting>
  <conditionalFormatting sqref="J77">
    <cfRule type="cellIs" dxfId="334" priority="23" operator="greaterThan">
      <formula>$J$70</formula>
    </cfRule>
  </conditionalFormatting>
  <conditionalFormatting sqref="J78">
    <cfRule type="cellIs" dxfId="333" priority="22" operator="greaterThan">
      <formula>$J$71</formula>
    </cfRule>
  </conditionalFormatting>
  <conditionalFormatting sqref="J79">
    <cfRule type="cellIs" dxfId="332" priority="21" operator="greaterThan">
      <formula>$J$72</formula>
    </cfRule>
  </conditionalFormatting>
  <conditionalFormatting sqref="J80">
    <cfRule type="cellIs" dxfId="331" priority="20" operator="greaterThan">
      <formula>$J$73</formula>
    </cfRule>
  </conditionalFormatting>
  <conditionalFormatting sqref="J81">
    <cfRule type="cellIs" dxfId="330" priority="19" operator="greaterThan">
      <formula>$J$74</formula>
    </cfRule>
  </conditionalFormatting>
  <conditionalFormatting sqref="K76">
    <cfRule type="cellIs" dxfId="329" priority="18" operator="greaterThan">
      <formula>$K$69</formula>
    </cfRule>
  </conditionalFormatting>
  <conditionalFormatting sqref="K77">
    <cfRule type="cellIs" dxfId="328" priority="17" operator="greaterThan">
      <formula>$K$70</formula>
    </cfRule>
  </conditionalFormatting>
  <conditionalFormatting sqref="K78">
    <cfRule type="cellIs" dxfId="327" priority="16" operator="greaterThan">
      <formula>$K$71</formula>
    </cfRule>
  </conditionalFormatting>
  <conditionalFormatting sqref="K79">
    <cfRule type="cellIs" dxfId="326" priority="15" operator="greaterThan">
      <formula>$K$72</formula>
    </cfRule>
  </conditionalFormatting>
  <conditionalFormatting sqref="K80">
    <cfRule type="cellIs" dxfId="325" priority="14" operator="greaterThan">
      <formula>$K$73</formula>
    </cfRule>
  </conditionalFormatting>
  <conditionalFormatting sqref="K81">
    <cfRule type="cellIs" dxfId="324" priority="13" operator="greaterThan">
      <formula>$K$74</formula>
    </cfRule>
  </conditionalFormatting>
  <conditionalFormatting sqref="L76">
    <cfRule type="cellIs" dxfId="323" priority="12" operator="greaterThan">
      <formula>$L$69</formula>
    </cfRule>
  </conditionalFormatting>
  <conditionalFormatting sqref="L77">
    <cfRule type="cellIs" dxfId="322" priority="11" operator="greaterThan">
      <formula>$L$70</formula>
    </cfRule>
  </conditionalFormatting>
  <conditionalFormatting sqref="L78">
    <cfRule type="cellIs" dxfId="321" priority="10" operator="greaterThan">
      <formula>$L$71</formula>
    </cfRule>
  </conditionalFormatting>
  <conditionalFormatting sqref="L79">
    <cfRule type="cellIs" dxfId="320" priority="9" operator="greaterThan">
      <formula>$L$72</formula>
    </cfRule>
  </conditionalFormatting>
  <conditionalFormatting sqref="L80">
    <cfRule type="cellIs" dxfId="319" priority="8" operator="greaterThan">
      <formula>$L$73</formula>
    </cfRule>
  </conditionalFormatting>
  <conditionalFormatting sqref="L81">
    <cfRule type="cellIs" dxfId="318" priority="7" operator="greaterThan">
      <formula>$L$74</formula>
    </cfRule>
  </conditionalFormatting>
  <conditionalFormatting sqref="D76:F76">
    <cfRule type="cellIs" dxfId="317" priority="3" operator="greaterThan">
      <formula>$D$69</formula>
    </cfRule>
  </conditionalFormatting>
  <conditionalFormatting sqref="G76">
    <cfRule type="cellIs" dxfId="316" priority="1" operator="greaterThan">
      <formula>$G$69</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19E82-F81D-4149-A4BD-C0AE45078004}">
  <dimension ref="A1:U97"/>
  <sheetViews>
    <sheetView topLeftCell="A21" zoomScale="150" zoomScaleNormal="150" workbookViewId="0">
      <selection activeCell="G73" sqref="G7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04" t="s">
        <v>169</v>
      </c>
      <c r="B3" s="104"/>
      <c r="C3" s="104"/>
      <c r="D3" s="104"/>
      <c r="E3" s="104"/>
      <c r="F3" s="104"/>
      <c r="G3" s="104"/>
      <c r="H3" s="75"/>
      <c r="I3" s="75"/>
      <c r="J3" s="75"/>
      <c r="K3" s="75"/>
    </row>
    <row r="4" spans="1:11" x14ac:dyDescent="0.35">
      <c r="A4" s="64" t="s">
        <v>39</v>
      </c>
      <c r="B4" s="64" t="s">
        <v>43</v>
      </c>
      <c r="C4" s="105" t="s">
        <v>44</v>
      </c>
      <c r="D4" s="106"/>
      <c r="E4" s="106"/>
      <c r="F4" s="106"/>
      <c r="G4" s="107"/>
    </row>
    <row r="5" spans="1:11" x14ac:dyDescent="0.35">
      <c r="A5" s="76" t="s">
        <v>52</v>
      </c>
      <c r="B5" s="76"/>
      <c r="C5" s="108"/>
      <c r="D5" s="108"/>
      <c r="E5" s="108"/>
      <c r="F5" s="108"/>
      <c r="G5" s="108"/>
    </row>
    <row r="6" spans="1:11" x14ac:dyDescent="0.35">
      <c r="A6" s="74" t="s">
        <v>40</v>
      </c>
      <c r="B6" s="74" t="s">
        <v>184</v>
      </c>
      <c r="C6" s="109" t="s">
        <v>189</v>
      </c>
      <c r="D6" s="109"/>
      <c r="E6" s="109"/>
      <c r="F6" s="109"/>
      <c r="G6" s="109"/>
    </row>
    <row r="7" spans="1:11" x14ac:dyDescent="0.35">
      <c r="A7" s="74" t="s">
        <v>41</v>
      </c>
      <c r="B7" s="74" t="s">
        <v>184</v>
      </c>
      <c r="C7" s="109" t="s">
        <v>190</v>
      </c>
      <c r="D7" s="109"/>
      <c r="E7" s="109"/>
      <c r="F7" s="109"/>
      <c r="G7" s="109"/>
    </row>
    <row r="8" spans="1:11" x14ac:dyDescent="0.35">
      <c r="A8" s="74" t="s">
        <v>42</v>
      </c>
      <c r="B8" s="74" t="s">
        <v>184</v>
      </c>
      <c r="C8" s="109" t="s">
        <v>181</v>
      </c>
      <c r="D8" s="109"/>
      <c r="E8" s="109"/>
      <c r="F8" s="109"/>
      <c r="G8" s="109"/>
    </row>
    <row r="9" spans="1:11" x14ac:dyDescent="0.35">
      <c r="A9" s="74" t="s">
        <v>165</v>
      </c>
      <c r="B9" s="74" t="s">
        <v>184</v>
      </c>
      <c r="C9" s="109" t="s">
        <v>182</v>
      </c>
      <c r="D9" s="109"/>
      <c r="E9" s="109"/>
      <c r="F9" s="109"/>
      <c r="G9" s="109"/>
    </row>
    <row r="10" spans="1:11" x14ac:dyDescent="0.35">
      <c r="A10" s="74" t="s">
        <v>200</v>
      </c>
      <c r="B10" s="74" t="s">
        <v>184</v>
      </c>
      <c r="C10" s="103" t="s">
        <v>201</v>
      </c>
      <c r="D10" s="103"/>
      <c r="E10" s="103"/>
      <c r="F10" s="103"/>
      <c r="G10" s="103"/>
    </row>
    <row r="11" spans="1:11" x14ac:dyDescent="0.35">
      <c r="A11" s="74"/>
      <c r="B11" s="74"/>
      <c r="C11" s="103"/>
      <c r="D11" s="103"/>
      <c r="E11" s="103"/>
      <c r="F11" s="103"/>
      <c r="G11" s="10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226</v>
      </c>
      <c r="B23" s="87">
        <v>3525</v>
      </c>
      <c r="C23" s="87">
        <v>1020</v>
      </c>
      <c r="D23" s="11"/>
    </row>
    <row r="24" spans="1:14" x14ac:dyDescent="0.35">
      <c r="A24" t="s">
        <v>227</v>
      </c>
      <c r="B24" s="12">
        <f>VLOOKUP(B23,'Powell-Elevation-Area'!$A$5:$B$689,2)/1000000</f>
        <v>5.9265762500000001</v>
      </c>
      <c r="C24" s="12">
        <f>VLOOKUP(C23,'Mead-Elevation-Area'!$A$5:$B$689,2)/1000000</f>
        <v>5.664593</v>
      </c>
      <c r="D24" s="11"/>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221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IF(D$27&lt;&gt;"",C91,"")</f>
        <v>19.419925837338837</v>
      </c>
      <c r="E29" s="14">
        <f t="shared" ref="E29:L29" si="2">IF(E$27&lt;&gt;"",D91,"")</f>
        <v>18.811792655184497</v>
      </c>
      <c r="F29" s="14">
        <f t="shared" si="2"/>
        <v>18.530078575694919</v>
      </c>
      <c r="G29" s="14">
        <f t="shared" si="2"/>
        <v>18.461333377576072</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IF(OR(D$27="",$A30=""),"",C85)</f>
        <v>3.2624438809560035</v>
      </c>
      <c r="E30" s="14">
        <f t="shared" ref="E30:L30" si="4">IF(OR(E$27="",$A30=""),"",D85)</f>
        <v>2.6059121066952144</v>
      </c>
      <c r="F30" s="14">
        <f t="shared" si="4"/>
        <v>2.2851245093047288</v>
      </c>
      <c r="G30" s="14">
        <f t="shared" si="4"/>
        <v>2.5817095100952416</v>
      </c>
      <c r="H30" s="14" t="str">
        <f t="shared" si="4"/>
        <v/>
      </c>
      <c r="I30" s="14" t="str">
        <f t="shared" si="4"/>
        <v/>
      </c>
      <c r="J30" s="14" t="str">
        <f t="shared" si="4"/>
        <v/>
      </c>
      <c r="K30" s="14" t="str">
        <f t="shared" si="4"/>
        <v/>
      </c>
      <c r="L30" s="14" t="str">
        <f t="shared" si="4"/>
        <v/>
      </c>
      <c r="N30" t="s">
        <v>229</v>
      </c>
    </row>
    <row r="31" spans="1:14" x14ac:dyDescent="0.35">
      <c r="A31" t="str">
        <f t="shared" si="3"/>
        <v xml:space="preserve">    Lower Basin Balance</v>
      </c>
      <c r="B31" s="55">
        <f>C22-C24-B32</f>
        <v>4.3944069999999993</v>
      </c>
      <c r="C31" s="14">
        <f t="shared" ref="C31:C35" si="5">IF(OR(C$27="",$A31=""),"",B31)</f>
        <v>4.3944069999999993</v>
      </c>
      <c r="D31" s="14">
        <f t="shared" ref="D31:L35" si="6">IF(OR(D$27="",$A31=""),"",C86)</f>
        <v>4.566312706382833</v>
      </c>
      <c r="E31" s="14">
        <f t="shared" si="6"/>
        <v>4.6147112984892829</v>
      </c>
      <c r="F31" s="14">
        <f t="shared" si="6"/>
        <v>4.6537848163901909</v>
      </c>
      <c r="G31" s="14">
        <f t="shared" si="6"/>
        <v>4.2884546174808307</v>
      </c>
      <c r="H31" s="14" t="str">
        <f t="shared" si="6"/>
        <v/>
      </c>
      <c r="I31" s="14" t="str">
        <f t="shared" si="6"/>
        <v/>
      </c>
      <c r="J31" s="14" t="str">
        <f t="shared" si="6"/>
        <v/>
      </c>
      <c r="K31" s="14" t="str">
        <f t="shared" si="6"/>
        <v/>
      </c>
      <c r="L31" s="14" t="str">
        <f t="shared" si="6"/>
        <v/>
      </c>
      <c r="N31" t="s">
        <v>225</v>
      </c>
    </row>
    <row r="32" spans="1:14" x14ac:dyDescent="0.35">
      <c r="A32" t="str">
        <f t="shared" si="3"/>
        <v xml:space="preserve">    Mexico Balance</v>
      </c>
      <c r="B32" s="86">
        <v>4.1000000000000002E-2</v>
      </c>
      <c r="C32" s="59">
        <f t="shared" si="5"/>
        <v>4.1000000000000002E-2</v>
      </c>
      <c r="D32" s="59">
        <f t="shared" si="6"/>
        <v>0</v>
      </c>
      <c r="E32" s="59">
        <f t="shared" si="6"/>
        <v>0</v>
      </c>
      <c r="F32" s="59">
        <f t="shared" si="6"/>
        <v>0</v>
      </c>
      <c r="G32" s="59">
        <f t="shared" si="6"/>
        <v>0</v>
      </c>
      <c r="H32" s="14" t="str">
        <f t="shared" si="6"/>
        <v/>
      </c>
      <c r="I32" s="14" t="str">
        <f t="shared" si="6"/>
        <v/>
      </c>
      <c r="J32" s="14" t="str">
        <f t="shared" si="6"/>
        <v/>
      </c>
      <c r="K32" s="14" t="str">
        <f t="shared" si="6"/>
        <v/>
      </c>
      <c r="L32" s="14" t="str">
        <f t="shared" si="6"/>
        <v/>
      </c>
      <c r="N32" t="s">
        <v>224</v>
      </c>
    </row>
    <row r="33" spans="1:15" x14ac:dyDescent="0.35">
      <c r="A33" t="str">
        <f t="shared" si="3"/>
        <v xml:space="preserve">    Mohave &amp; Havasu Evap &amp; ET Balance</v>
      </c>
      <c r="B33" s="56">
        <v>0</v>
      </c>
      <c r="C33" s="14">
        <f t="shared" si="5"/>
        <v>0</v>
      </c>
      <c r="D33" s="14">
        <f t="shared" si="6"/>
        <v>0</v>
      </c>
      <c r="E33" s="14">
        <f t="shared" si="6"/>
        <v>0</v>
      </c>
      <c r="F33" s="14">
        <f t="shared" si="6"/>
        <v>0</v>
      </c>
      <c r="G33" s="14">
        <f t="shared" si="6"/>
        <v>0</v>
      </c>
      <c r="H33" s="14" t="str">
        <f t="shared" si="6"/>
        <v/>
      </c>
      <c r="I33" s="14" t="str">
        <f t="shared" si="6"/>
        <v/>
      </c>
      <c r="J33" s="14" t="str">
        <f t="shared" si="6"/>
        <v/>
      </c>
      <c r="K33" s="14" t="str">
        <f t="shared" si="6"/>
        <v/>
      </c>
      <c r="L33" s="14" t="str">
        <f t="shared" si="6"/>
        <v/>
      </c>
    </row>
    <row r="34" spans="1:15" x14ac:dyDescent="0.35">
      <c r="A34" t="str">
        <f t="shared" si="3"/>
        <v xml:space="preserve">    Shared, Reserve Balance</v>
      </c>
      <c r="B34" s="55">
        <f>SUM(B24:C24)</f>
        <v>11.59116925</v>
      </c>
      <c r="C34" s="14">
        <f t="shared" si="5"/>
        <v>11.59116925</v>
      </c>
      <c r="D34" s="14">
        <f t="shared" si="6"/>
        <v>11.59116925</v>
      </c>
      <c r="E34" s="14">
        <f t="shared" si="6"/>
        <v>11.59116925</v>
      </c>
      <c r="F34" s="14">
        <f t="shared" si="6"/>
        <v>11.59116925</v>
      </c>
      <c r="G34" s="14">
        <f t="shared" si="6"/>
        <v>11.59116925</v>
      </c>
      <c r="H34" s="14" t="str">
        <f t="shared" si="6"/>
        <v/>
      </c>
      <c r="I34" s="14" t="str">
        <f t="shared" si="6"/>
        <v/>
      </c>
      <c r="J34" s="14" t="str">
        <f t="shared" si="6"/>
        <v/>
      </c>
      <c r="K34" s="14" t="str">
        <f t="shared" si="6"/>
        <v/>
      </c>
      <c r="L34" s="14" t="str">
        <f t="shared" si="6"/>
        <v/>
      </c>
      <c r="N34" t="s">
        <v>228</v>
      </c>
    </row>
    <row r="35" spans="1:15" x14ac:dyDescent="0.35">
      <c r="A35" t="str">
        <f t="shared" si="3"/>
        <v/>
      </c>
      <c r="B35" s="56"/>
      <c r="C35" s="14" t="str">
        <f t="shared" si="5"/>
        <v/>
      </c>
      <c r="D35" s="14" t="str">
        <f t="shared" si="6"/>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5" x14ac:dyDescent="0.35">
      <c r="A36" s="1" t="s">
        <v>117</v>
      </c>
      <c r="C36"/>
    </row>
    <row r="37" spans="1:15" x14ac:dyDescent="0.35">
      <c r="A37" t="s">
        <v>115</v>
      </c>
      <c r="B37" s="35">
        <v>0.5</v>
      </c>
      <c r="C37" s="14">
        <f>IF(C$27&lt;&gt;"",B22,"")</f>
        <v>11</v>
      </c>
      <c r="D37" s="14">
        <f t="shared" ref="D37:L38" si="7">IF(D27&lt;&gt;"",$B37*D$29,"")</f>
        <v>9.7099629186694187</v>
      </c>
      <c r="E37" s="14">
        <f t="shared" si="7"/>
        <v>9.4058963275922487</v>
      </c>
      <c r="F37" s="14">
        <f t="shared" si="7"/>
        <v>9.2650392878474594</v>
      </c>
      <c r="G37" s="14">
        <f t="shared" si="7"/>
        <v>9.2306666887880358</v>
      </c>
      <c r="H37" s="14" t="str">
        <f t="shared" si="7"/>
        <v/>
      </c>
      <c r="I37" s="14" t="str">
        <f t="shared" si="7"/>
        <v/>
      </c>
      <c r="J37" s="14" t="str">
        <f t="shared" si="7"/>
        <v/>
      </c>
      <c r="K37" s="14" t="str">
        <f t="shared" si="7"/>
        <v/>
      </c>
      <c r="L37" s="14" t="str">
        <f t="shared" si="7"/>
        <v/>
      </c>
    </row>
    <row r="38" spans="1:15" x14ac:dyDescent="0.35">
      <c r="A38" t="s">
        <v>116</v>
      </c>
      <c r="B38" s="35">
        <f>1-B37</f>
        <v>0.5</v>
      </c>
      <c r="C38" s="14">
        <f>IF(C$27&lt;&gt;"",C22,"")</f>
        <v>10.1</v>
      </c>
      <c r="D38" s="14">
        <f t="shared" si="7"/>
        <v>9.7099629186694187</v>
      </c>
      <c r="E38" s="14">
        <f t="shared" si="7"/>
        <v>9.4058963275922487</v>
      </c>
      <c r="F38" s="14">
        <f t="shared" si="7"/>
        <v>9.2650392878474594</v>
      </c>
      <c r="G38" s="14">
        <f t="shared" si="7"/>
        <v>9.2306666887880358</v>
      </c>
      <c r="H38" s="14" t="str">
        <f t="shared" si="7"/>
        <v/>
      </c>
      <c r="I38" s="14" t="str">
        <f t="shared" si="7"/>
        <v/>
      </c>
      <c r="J38" s="14" t="str">
        <f t="shared" si="7"/>
        <v/>
      </c>
      <c r="K38" s="14" t="str">
        <f t="shared" si="7"/>
        <v/>
      </c>
      <c r="L38" s="14" t="str">
        <f t="shared" si="7"/>
        <v/>
      </c>
    </row>
    <row r="39" spans="1:15" x14ac:dyDescent="0.35">
      <c r="A39" s="1" t="s">
        <v>121</v>
      </c>
      <c r="B39" s="1"/>
      <c r="C39" s="14">
        <f>IF(C$27&lt;&gt;"",VLOOKUP(C37*1000000,'Powell-Elevation-Area'!$B$5:$D$689,3)*$B$21/1000000 + VLOOKUP(C38*1000000,'Mead-Elevation-Area'!$B$5:$D$676,3)*$C$21/1000000,"")</f>
        <v>1.0218976799999733</v>
      </c>
      <c r="D39" s="14">
        <f>IF(D$27&lt;&gt;"",VLOOKUP(D37*1000000,'Powell-Elevation-Area'!$B$5:$D$689,3)*$B$21/1000000 + VLOOKUP(D38*1000000,'Mead-Elevation-Area'!$B$5:$D$676,3)*$C$21/1000000,"")</f>
        <v>0.97147479300117312</v>
      </c>
      <c r="E39" s="14">
        <f>IF(E$27&lt;&gt;"",VLOOKUP(E37*1000000,'Powell-Elevation-Area'!$B$5:$D$689,3)*$B$21/1000000 + VLOOKUP(E38*1000000,'Mead-Elevation-Area'!$B$5:$D$676,3)*$C$21/1000000,"")</f>
        <v>0.95461615649940001</v>
      </c>
      <c r="F39" s="14">
        <f>IF(F$27&lt;&gt;"",VLOOKUP(F37*1000000,'Powell-Elevation-Area'!$B$5:$D$689,3)*$B$21/1000000 + VLOOKUP(F38*1000000,'Mead-Elevation-Area'!$B$5:$D$676,3)*$C$21/1000000,"")</f>
        <v>0.94498607849939997</v>
      </c>
      <c r="G39" s="14">
        <f>IF(G$27&lt;&gt;"",VLOOKUP(G37*1000000,'Powell-Elevation-Area'!$B$5:$D$689,3)*$B$21/1000000 + VLOOKUP(G38*1000000,'Mead-Elevation-Area'!$B$5:$D$676,3)*$C$21/1000000,"")</f>
        <v>0.94399007849999994</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5" x14ac:dyDescent="0.35">
      <c r="A40" t="str">
        <f t="shared" ref="A40:A45" si="8">IF(A6="","","    "&amp;A6&amp;" Share")</f>
        <v xml:space="preserve">    Upper Basin Share</v>
      </c>
      <c r="B40" s="1"/>
      <c r="C40" s="14">
        <f>IF(OR(C$27="",$A40=""),"",C$39*C30/C$29)</f>
        <v>0.24571184643515467</v>
      </c>
      <c r="D40" s="14">
        <f t="shared" ref="D40:L40" si="9">IF(OR(D$27="",$A40=""),"",D$39*D30/D$29)</f>
        <v>0.16320257968420676</v>
      </c>
      <c r="E40" s="14">
        <f t="shared" si="9"/>
        <v>0.13223863589539667</v>
      </c>
      <c r="F40" s="14">
        <f t="shared" si="9"/>
        <v>0.11653543939976295</v>
      </c>
      <c r="G40" s="14">
        <f t="shared" si="9"/>
        <v>0.13201149197918824</v>
      </c>
      <c r="H40" s="14" t="str">
        <f t="shared" si="9"/>
        <v/>
      </c>
      <c r="I40" s="14" t="str">
        <f t="shared" si="9"/>
        <v/>
      </c>
      <c r="J40" s="14" t="str">
        <f t="shared" si="9"/>
        <v/>
      </c>
      <c r="K40" s="14" t="str">
        <f t="shared" si="9"/>
        <v/>
      </c>
      <c r="L40" s="14" t="str">
        <f t="shared" si="9"/>
        <v/>
      </c>
    </row>
    <row r="41" spans="1:15" x14ac:dyDescent="0.35">
      <c r="A41" t="str">
        <f t="shared" si="8"/>
        <v xml:space="preserve">    Lower Basin Share</v>
      </c>
      <c r="B41" s="1"/>
      <c r="C41" s="14">
        <f t="shared" ref="C41:L45" si="10">IF(OR(C$27="",$A41=""),"",C$39*C31/C$29)</f>
        <v>0.21282627100832421</v>
      </c>
      <c r="D41" s="14">
        <f t="shared" si="10"/>
        <v>0.22842814789141203</v>
      </c>
      <c r="E41" s="14">
        <f t="shared" si="10"/>
        <v>0.23417640433667591</v>
      </c>
      <c r="F41" s="14">
        <f t="shared" si="10"/>
        <v>0.23733098841733816</v>
      </c>
      <c r="G41" s="14">
        <f t="shared" si="10"/>
        <v>0.21928311071596843</v>
      </c>
      <c r="H41" s="14" t="str">
        <f t="shared" si="10"/>
        <v/>
      </c>
      <c r="I41" s="14" t="str">
        <f t="shared" si="10"/>
        <v/>
      </c>
      <c r="J41" s="14" t="str">
        <f t="shared" si="10"/>
        <v/>
      </c>
      <c r="K41" s="14" t="str">
        <f t="shared" si="10"/>
        <v/>
      </c>
      <c r="L41" s="14" t="str">
        <f t="shared" si="10"/>
        <v/>
      </c>
    </row>
    <row r="42" spans="1:15" x14ac:dyDescent="0.35">
      <c r="A42" t="str">
        <f t="shared" si="8"/>
        <v xml:space="preserve">    Mexico Share</v>
      </c>
      <c r="B42" s="1"/>
      <c r="C42" s="14">
        <f t="shared" si="10"/>
        <v>1.9856779563980523E-3</v>
      </c>
      <c r="D42" s="14">
        <f t="shared" si="10"/>
        <v>0</v>
      </c>
      <c r="E42" s="14">
        <f t="shared" si="10"/>
        <v>0</v>
      </c>
      <c r="F42" s="14">
        <f t="shared" si="10"/>
        <v>0</v>
      </c>
      <c r="G42" s="14">
        <f t="shared" si="10"/>
        <v>0</v>
      </c>
      <c r="H42" s="14" t="str">
        <f t="shared" si="10"/>
        <v/>
      </c>
      <c r="I42" s="14" t="str">
        <f t="shared" si="10"/>
        <v/>
      </c>
      <c r="J42" s="14" t="str">
        <f t="shared" si="10"/>
        <v/>
      </c>
      <c r="K42" s="14" t="str">
        <f t="shared" si="10"/>
        <v/>
      </c>
      <c r="L42" s="14" t="str">
        <f t="shared" si="10"/>
        <v/>
      </c>
    </row>
    <row r="43" spans="1:15" x14ac:dyDescent="0.35">
      <c r="A43" t="str">
        <f t="shared" si="8"/>
        <v xml:space="preserve">    Mohave &amp; Havasu Evap &amp; ET Share</v>
      </c>
      <c r="B43" s="1"/>
      <c r="C43" s="14">
        <f t="shared" si="10"/>
        <v>0</v>
      </c>
      <c r="D43" s="14">
        <f t="shared" si="10"/>
        <v>0</v>
      </c>
      <c r="E43" s="14">
        <f t="shared" si="10"/>
        <v>0</v>
      </c>
      <c r="F43" s="14">
        <f t="shared" si="10"/>
        <v>0</v>
      </c>
      <c r="G43" s="14">
        <f t="shared" si="10"/>
        <v>0</v>
      </c>
      <c r="H43" s="14" t="str">
        <f t="shared" si="10"/>
        <v/>
      </c>
      <c r="I43" s="14" t="str">
        <f t="shared" si="10"/>
        <v/>
      </c>
      <c r="J43" s="14" t="str">
        <f t="shared" si="10"/>
        <v/>
      </c>
      <c r="K43" s="14" t="str">
        <f t="shared" si="10"/>
        <v/>
      </c>
      <c r="L43" s="14" t="str">
        <f t="shared" si="10"/>
        <v/>
      </c>
    </row>
    <row r="44" spans="1:15" x14ac:dyDescent="0.35">
      <c r="A44" t="str">
        <f t="shared" si="8"/>
        <v xml:space="preserve">    Shared, Reserve Share</v>
      </c>
      <c r="B44" s="1"/>
      <c r="C44" s="14">
        <f t="shared" si="10"/>
        <v>0.56137388460009618</v>
      </c>
      <c r="D44" s="14">
        <f t="shared" si="10"/>
        <v>0.57984406542555433</v>
      </c>
      <c r="E44" s="14">
        <f t="shared" si="10"/>
        <v>0.58820111626732741</v>
      </c>
      <c r="F44" s="14">
        <f t="shared" si="10"/>
        <v>0.59111965068229888</v>
      </c>
      <c r="G44" s="14">
        <f t="shared" si="10"/>
        <v>0.59269547580484339</v>
      </c>
      <c r="H44" s="14" t="str">
        <f t="shared" si="10"/>
        <v/>
      </c>
      <c r="I44" s="14" t="str">
        <f t="shared" si="10"/>
        <v/>
      </c>
      <c r="J44" s="14" t="str">
        <f t="shared" si="10"/>
        <v/>
      </c>
      <c r="K44" s="14" t="str">
        <f t="shared" si="10"/>
        <v/>
      </c>
      <c r="L44" s="14" t="str">
        <f t="shared" si="10"/>
        <v/>
      </c>
    </row>
    <row r="45" spans="1:15" x14ac:dyDescent="0.35">
      <c r="A45" t="str">
        <f t="shared" si="8"/>
        <v/>
      </c>
      <c r="B45" s="1"/>
      <c r="C45" s="14" t="str">
        <f t="shared" si="10"/>
        <v/>
      </c>
      <c r="D45" s="14" t="str">
        <f t="shared" si="10"/>
        <v/>
      </c>
      <c r="E45" s="14" t="str">
        <f t="shared" si="10"/>
        <v/>
      </c>
      <c r="F45" s="14" t="str">
        <f t="shared" si="10"/>
        <v/>
      </c>
      <c r="G45" s="14" t="str">
        <f t="shared" si="10"/>
        <v/>
      </c>
      <c r="H45" s="14" t="str">
        <f t="shared" si="10"/>
        <v/>
      </c>
      <c r="I45" s="14" t="str">
        <f t="shared" si="10"/>
        <v/>
      </c>
      <c r="J45" s="14" t="str">
        <f t="shared" si="10"/>
        <v/>
      </c>
      <c r="K45" s="14" t="str">
        <f t="shared" si="10"/>
        <v/>
      </c>
      <c r="L45" s="14" t="str">
        <f t="shared" si="10"/>
        <v/>
      </c>
    </row>
    <row r="46" spans="1:15" x14ac:dyDescent="0.35">
      <c r="A46" s="1" t="s">
        <v>161</v>
      </c>
      <c r="B46" s="1"/>
      <c r="C46" s="50">
        <f>IF(C$27&lt;&gt;"",1.5-$B$52/9/2-IF(C$31&lt;$O$80,$Q$80,IF(C$31&lt;=$O$87,VLOOKUP(C$31,$O$80:$Q$87,3),0)),"")</f>
        <v>1.35</v>
      </c>
      <c r="D46" s="50">
        <f t="shared" ref="D46:L46" si="11">IF(D$27&lt;&gt;"",1.5-$B$52/9-IF(D$31&lt;$O$80,$Q$80,IF(D$31&lt;=$O$87,VLOOKUP(D$31,$O$80:$Q$87,3),0)),"")</f>
        <v>1.35</v>
      </c>
      <c r="E46" s="50">
        <f t="shared" si="11"/>
        <v>1.35</v>
      </c>
      <c r="F46" s="50">
        <f t="shared" si="11"/>
        <v>1.35</v>
      </c>
      <c r="G46" s="50">
        <f t="shared" si="11"/>
        <v>1.35</v>
      </c>
      <c r="H46" s="50" t="str">
        <f t="shared" si="11"/>
        <v/>
      </c>
      <c r="I46" s="50" t="str">
        <f t="shared" si="11"/>
        <v/>
      </c>
      <c r="J46" s="50" t="str">
        <f t="shared" si="11"/>
        <v/>
      </c>
      <c r="K46" s="50" t="str">
        <f t="shared" si="11"/>
        <v/>
      </c>
      <c r="L46" s="50" t="str">
        <f t="shared" si="11"/>
        <v/>
      </c>
    </row>
    <row r="47" spans="1:15" x14ac:dyDescent="0.35">
      <c r="A47" s="1" t="s">
        <v>162</v>
      </c>
      <c r="B47" s="1"/>
      <c r="C47" s="46"/>
    </row>
    <row r="48" spans="1:15" x14ac:dyDescent="0.35">
      <c r="A48" t="str">
        <f t="shared" ref="A48:A53" si="12">IF(A6="","","    To "&amp;A6)</f>
        <v xml:space="preserve">    To Upper Basin</v>
      </c>
      <c r="B48" s="24" t="s">
        <v>164</v>
      </c>
      <c r="C48" s="14">
        <f>IF(OR(C$27="",$A4=""),"",MAX(0,C$27-SUM(C49:C52)))</f>
        <v>2.6347319773911586</v>
      </c>
      <c r="D48" s="14">
        <f t="shared" ref="D48:L48" si="13">IF(OR(D$27="",$A4=""),"",MAX(0,D$27-SUM(D49:D50)))</f>
        <v>3.2066708054234176</v>
      </c>
      <c r="E48" s="14">
        <f t="shared" si="13"/>
        <v>3.2114510385049115</v>
      </c>
      <c r="F48" s="14">
        <f t="shared" si="13"/>
        <v>3.2131204401902753</v>
      </c>
      <c r="G48" s="14">
        <f t="shared" si="13"/>
        <v>3.2140218121603699</v>
      </c>
      <c r="H48" s="14" t="str">
        <f t="shared" si="13"/>
        <v/>
      </c>
      <c r="I48" s="14" t="str">
        <f t="shared" si="13"/>
        <v/>
      </c>
      <c r="J48" s="14" t="str">
        <f t="shared" si="13"/>
        <v/>
      </c>
      <c r="K48" s="14" t="str">
        <f t="shared" si="13"/>
        <v/>
      </c>
      <c r="L48" s="14" t="str">
        <f t="shared" si="13"/>
        <v/>
      </c>
      <c r="N48" s="78"/>
      <c r="O48" s="78"/>
    </row>
    <row r="49" spans="1:15" x14ac:dyDescent="0.35">
      <c r="A49" t="str">
        <f t="shared" si="12"/>
        <v xml:space="preserve">    To Lower Basin</v>
      </c>
      <c r="B49" s="44">
        <f>7.5-$B$52</f>
        <v>7.5</v>
      </c>
      <c r="C49" s="14">
        <f>IF(OR(C$27="",$A49=""),"",IF(C$27&lt;SUM(C50:C52),0,IF(C$27&lt;SUM(C50:C52)+$B49-C52*(1-0.144)/2,C$27-SUM(C50:C52),$B49-C52*(1-0.144)/2)))</f>
        <v>7.2597319773911586</v>
      </c>
      <c r="D49" s="14">
        <f t="shared" ref="D49:G49" si="14">IF(OR(D$27="",$A49=""),"",IF(D$27&lt;SUM(D50:D52),0,IF(D$27&lt;SUM(D50:D52)+$B49-D52*(1-0.144)/2,D$27-SUM(D50:D52),$B49-D52*(1-0.144)/2)))</f>
        <v>7.2518267399978624</v>
      </c>
      <c r="E49" s="14">
        <f t="shared" si="14"/>
        <v>7.2482499222375836</v>
      </c>
      <c r="F49" s="14">
        <f t="shared" si="14"/>
        <v>7.2470007895079762</v>
      </c>
      <c r="G49" s="14">
        <f t="shared" si="14"/>
        <v>7.2463263363555273</v>
      </c>
      <c r="H49" s="14" t="str">
        <f t="shared" ref="H49:L49" si="15">IF(OR(H$27="",$A49=""),"",IF(H$27&lt;$B50,0,IF(H$27&gt;$B49,$B49,H$27)))</f>
        <v/>
      </c>
      <c r="I49" s="14" t="str">
        <f t="shared" si="15"/>
        <v/>
      </c>
      <c r="J49" s="14" t="str">
        <f t="shared" si="15"/>
        <v/>
      </c>
      <c r="K49" s="14" t="str">
        <f t="shared" si="15"/>
        <v/>
      </c>
      <c r="L49" s="14" t="str">
        <f t="shared" si="15"/>
        <v/>
      </c>
      <c r="N49" s="78"/>
      <c r="O49" s="78"/>
    </row>
    <row r="50" spans="1:15" x14ac:dyDescent="0.35">
      <c r="A50" t="str">
        <f t="shared" si="12"/>
        <v xml:space="preserve">    To Mexico</v>
      </c>
      <c r="B50" s="44">
        <f>C46/2-0.05</f>
        <v>0.625</v>
      </c>
      <c r="C50" s="14">
        <f>IF(OR(C$27="",$A50=""),"",IF(C$27&gt;C52,$B50-C$44*0.144,C$27-C52))</f>
        <v>0.54416216061758615</v>
      </c>
      <c r="D50" s="14">
        <f t="shared" ref="D50:G50" si="16">IF(OR(D$27="",$A50=""),"",IF(D$27&gt;D52,$B50-D$44*0.144,D$27-D52))</f>
        <v>0.54150245457872015</v>
      </c>
      <c r="E50" s="14">
        <f t="shared" si="16"/>
        <v>0.54029903925750489</v>
      </c>
      <c r="F50" s="14">
        <f t="shared" si="16"/>
        <v>0.53987877030174891</v>
      </c>
      <c r="G50" s="14">
        <f t="shared" si="16"/>
        <v>0.53965185148410255</v>
      </c>
      <c r="H50" s="14" t="str">
        <f t="shared" ref="H50:L50" si="17">IF(OR(H$27="",$A50=""),"",IF(H$27&gt;$B50,$B50,H$27))</f>
        <v/>
      </c>
      <c r="I50" s="14" t="str">
        <f t="shared" si="17"/>
        <v/>
      </c>
      <c r="J50" s="14" t="str">
        <f t="shared" si="17"/>
        <v/>
      </c>
      <c r="K50" s="14" t="str">
        <f t="shared" si="17"/>
        <v/>
      </c>
      <c r="L50" s="14" t="str">
        <f t="shared" si="17"/>
        <v/>
      </c>
      <c r="N50" s="78"/>
      <c r="O50" s="78"/>
    </row>
    <row r="51" spans="1:15" x14ac:dyDescent="0.35">
      <c r="A51" t="str">
        <f t="shared" si="12"/>
        <v xml:space="preserve">    To Mohave &amp; Havasu Evap &amp; ET</v>
      </c>
      <c r="B51" s="44">
        <v>0</v>
      </c>
      <c r="C51" s="14">
        <f t="shared" ref="C51:L53" si="18">IF(OR(C$27="",$A51=""),"",IF(C$27&gt;$B51,$B51,C$27))</f>
        <v>0</v>
      </c>
      <c r="D51" s="14">
        <f t="shared" si="18"/>
        <v>0</v>
      </c>
      <c r="E51" s="14">
        <f t="shared" si="18"/>
        <v>0</v>
      </c>
      <c r="F51" s="14">
        <f t="shared" si="18"/>
        <v>0</v>
      </c>
      <c r="G51" s="14">
        <f t="shared" si="18"/>
        <v>0</v>
      </c>
      <c r="H51" s="14" t="str">
        <f t="shared" si="18"/>
        <v/>
      </c>
      <c r="I51" s="14" t="str">
        <f t="shared" si="18"/>
        <v/>
      </c>
      <c r="J51" s="14" t="str">
        <f t="shared" si="18"/>
        <v/>
      </c>
      <c r="K51" s="14" t="str">
        <f t="shared" si="18"/>
        <v/>
      </c>
      <c r="L51" s="14" t="str">
        <f t="shared" si="18"/>
        <v/>
      </c>
    </row>
    <row r="52" spans="1:15" x14ac:dyDescent="0.35">
      <c r="A52" t="str">
        <f t="shared" si="12"/>
        <v xml:space="preserve">    To Shared, Reserve</v>
      </c>
      <c r="B52" s="44"/>
      <c r="C52" s="14">
        <f>IF(OR(C$27="",$A52=""),"",IF(C$27&gt;C44,C44,C$27))</f>
        <v>0.56137388460009618</v>
      </c>
      <c r="D52" s="14">
        <f t="shared" ref="D52:G52" si="19">IF(OR(D$27="",$A52=""),"",IF(D$27&gt;D44,D44,D$27))</f>
        <v>0.57984406542555433</v>
      </c>
      <c r="E52" s="14">
        <f t="shared" si="19"/>
        <v>0.58820111626732741</v>
      </c>
      <c r="F52" s="14">
        <f t="shared" si="19"/>
        <v>0.59111965068229888</v>
      </c>
      <c r="G52" s="14">
        <f t="shared" si="19"/>
        <v>0.59269547580484339</v>
      </c>
      <c r="H52" s="59" t="str">
        <f t="shared" si="18"/>
        <v/>
      </c>
      <c r="I52" s="59" t="str">
        <f t="shared" si="18"/>
        <v/>
      </c>
      <c r="J52" s="59" t="str">
        <f t="shared" si="18"/>
        <v/>
      </c>
      <c r="K52" s="59" t="str">
        <f t="shared" si="18"/>
        <v/>
      </c>
      <c r="L52" s="59" t="str">
        <f t="shared" si="18"/>
        <v/>
      </c>
    </row>
    <row r="53" spans="1:15" x14ac:dyDescent="0.35">
      <c r="A53" t="str">
        <f t="shared" si="12"/>
        <v/>
      </c>
      <c r="B53" s="44"/>
      <c r="C53" s="14" t="str">
        <f t="shared" si="18"/>
        <v/>
      </c>
      <c r="D53" s="14" t="str">
        <f t="shared" si="18"/>
        <v/>
      </c>
      <c r="E53" s="14" t="str">
        <f t="shared" si="18"/>
        <v/>
      </c>
      <c r="F53" s="14" t="str">
        <f t="shared" si="18"/>
        <v/>
      </c>
      <c r="G53" s="14" t="str">
        <f t="shared" si="18"/>
        <v/>
      </c>
      <c r="H53" s="14" t="str">
        <f t="shared" si="18"/>
        <v/>
      </c>
      <c r="I53" s="14" t="str">
        <f t="shared" si="18"/>
        <v/>
      </c>
      <c r="J53" s="14" t="str">
        <f t="shared" si="18"/>
        <v/>
      </c>
      <c r="K53" s="14" t="str">
        <f t="shared" si="18"/>
        <v/>
      </c>
      <c r="L53" s="14" t="str">
        <f t="shared" si="18"/>
        <v/>
      </c>
    </row>
    <row r="54" spans="1:15" x14ac:dyDescent="0.35">
      <c r="A54" s="1" t="s">
        <v>163</v>
      </c>
      <c r="B54" s="1"/>
      <c r="C54"/>
    </row>
    <row r="55" spans="1:15" x14ac:dyDescent="0.35">
      <c r="A55" t="str">
        <f t="shared" ref="A55:A60" si="20">IF(A6="","","    To "&amp;A6)</f>
        <v xml:space="preserve">    To Upper Basin</v>
      </c>
      <c r="B55" s="24">
        <v>0</v>
      </c>
      <c r="C55" s="14">
        <f>IF(OR($A55="",C$27=""),"",IF(C$28&gt;$B55,$B55,C$28))</f>
        <v>0</v>
      </c>
      <c r="D55" s="14">
        <f t="shared" ref="D55:L55" si="21">IF(OR($A55="",D$27=""),"",IF(D$28&gt;$B55,$B55,D$28))</f>
        <v>0</v>
      </c>
      <c r="E55" s="14">
        <f t="shared" si="21"/>
        <v>0</v>
      </c>
      <c r="F55" s="14">
        <f t="shared" si="21"/>
        <v>0</v>
      </c>
      <c r="G55" s="14">
        <f t="shared" si="21"/>
        <v>0</v>
      </c>
      <c r="H55" s="14" t="str">
        <f t="shared" si="21"/>
        <v/>
      </c>
      <c r="I55" s="14" t="str">
        <f t="shared" si="21"/>
        <v/>
      </c>
      <c r="J55" s="14" t="str">
        <f t="shared" si="21"/>
        <v/>
      </c>
      <c r="K55" s="14" t="str">
        <f t="shared" si="21"/>
        <v/>
      </c>
      <c r="L55" s="14" t="str">
        <f t="shared" si="21"/>
        <v/>
      </c>
    </row>
    <row r="56" spans="1:15" x14ac:dyDescent="0.35">
      <c r="A56" t="str">
        <f t="shared" si="20"/>
        <v xml:space="preserve">    To Lower Basin</v>
      </c>
      <c r="B56" s="44" t="s">
        <v>164</v>
      </c>
      <c r="C56" s="14">
        <f>IF(OR(C$27="",$A56=""),"",C$28-SUM(C57:C58))</f>
        <v>-0.47499999999999987</v>
      </c>
      <c r="D56" s="14">
        <f t="shared" ref="D56:L56" si="22">IF(OR(D$27="",$A56=""),"",D$28-SUM(D57:D58))</f>
        <v>-0.47499999999999987</v>
      </c>
      <c r="E56" s="14">
        <f t="shared" si="22"/>
        <v>-0.47499999999999987</v>
      </c>
      <c r="F56" s="14">
        <f t="shared" si="22"/>
        <v>-0.47499999999999987</v>
      </c>
      <c r="G56" s="14">
        <f t="shared" si="22"/>
        <v>-0.47499999999999987</v>
      </c>
      <c r="H56" s="14" t="str">
        <f t="shared" si="22"/>
        <v/>
      </c>
      <c r="I56" s="14" t="str">
        <f t="shared" si="22"/>
        <v/>
      </c>
      <c r="J56" s="14" t="str">
        <f t="shared" si="22"/>
        <v/>
      </c>
      <c r="K56" s="14" t="str">
        <f t="shared" si="22"/>
        <v/>
      </c>
      <c r="L56" s="14" t="str">
        <f t="shared" si="22"/>
        <v/>
      </c>
    </row>
    <row r="57" spans="1:15" x14ac:dyDescent="0.35">
      <c r="A57" t="str">
        <f t="shared" si="20"/>
        <v xml:space="preserve">    To Mexico</v>
      </c>
      <c r="B57" s="44">
        <f>C46/2</f>
        <v>0.67500000000000004</v>
      </c>
      <c r="C57" s="14">
        <f>IF(OR(C$27="",$A57=""),"",C46/2)</f>
        <v>0.67500000000000004</v>
      </c>
      <c r="D57" s="14">
        <f t="shared" ref="D57:L57" si="23">IF(OR(D$27="",$A57=""),"",D46/2)</f>
        <v>0.67500000000000004</v>
      </c>
      <c r="E57" s="14">
        <f t="shared" si="23"/>
        <v>0.67500000000000004</v>
      </c>
      <c r="F57" s="14">
        <f t="shared" si="23"/>
        <v>0.67500000000000004</v>
      </c>
      <c r="G57" s="14">
        <f t="shared" si="23"/>
        <v>0.67500000000000004</v>
      </c>
      <c r="H57" s="14" t="str">
        <f t="shared" si="23"/>
        <v/>
      </c>
      <c r="I57" s="14" t="str">
        <f t="shared" si="23"/>
        <v/>
      </c>
      <c r="J57" s="14" t="str">
        <f t="shared" si="23"/>
        <v/>
      </c>
      <c r="K57" s="14" t="str">
        <f t="shared" si="23"/>
        <v/>
      </c>
      <c r="L57" s="14" t="str">
        <f t="shared" si="23"/>
        <v/>
      </c>
    </row>
    <row r="58" spans="1:15" x14ac:dyDescent="0.35">
      <c r="A58" t="str">
        <f t="shared" si="20"/>
        <v xml:space="preserve">    To Mohave &amp; Havasu Evap &amp; ET</v>
      </c>
      <c r="B58" s="44">
        <v>0.6</v>
      </c>
      <c r="C58" s="14">
        <f>IF(OR($A58="",C$27=""),"",IF(C$28&gt;$B58,$B58,C$28))</f>
        <v>0.6</v>
      </c>
      <c r="D58" s="14">
        <f t="shared" ref="D58:L58" si="24">IF(OR($A58="",D$27=""),"",IF(D$28&gt;$B58,$B58,D$28))</f>
        <v>0.6</v>
      </c>
      <c r="E58" s="14">
        <f t="shared" si="24"/>
        <v>0.6</v>
      </c>
      <c r="F58" s="14">
        <f t="shared" si="24"/>
        <v>0.6</v>
      </c>
      <c r="G58" s="14">
        <f t="shared" si="24"/>
        <v>0.6</v>
      </c>
      <c r="H58" s="14" t="str">
        <f t="shared" si="24"/>
        <v/>
      </c>
      <c r="I58" s="14" t="str">
        <f t="shared" si="24"/>
        <v/>
      </c>
      <c r="J58" s="14" t="str">
        <f t="shared" si="24"/>
        <v/>
      </c>
      <c r="K58" s="14" t="str">
        <f t="shared" si="24"/>
        <v/>
      </c>
      <c r="L58" s="14" t="str">
        <f t="shared" si="24"/>
        <v/>
      </c>
    </row>
    <row r="59" spans="1:15" x14ac:dyDescent="0.35">
      <c r="A59" t="str">
        <f t="shared" si="20"/>
        <v xml:space="preserve">    To Shared, Reserve</v>
      </c>
      <c r="B59" s="61"/>
      <c r="C59" s="14">
        <f t="shared" ref="C59:L60" si="25">IF(OR($A59="",C$27=""),"",IF(C$28&gt;$B59,$B59,C$28))</f>
        <v>0</v>
      </c>
      <c r="D59" s="14">
        <f t="shared" si="25"/>
        <v>0</v>
      </c>
      <c r="E59" s="14">
        <f t="shared" si="25"/>
        <v>0</v>
      </c>
      <c r="F59" s="14">
        <f t="shared" si="25"/>
        <v>0</v>
      </c>
      <c r="G59" s="14">
        <f t="shared" si="25"/>
        <v>0</v>
      </c>
      <c r="H59" s="14" t="str">
        <f t="shared" si="25"/>
        <v/>
      </c>
      <c r="I59" s="14" t="str">
        <f t="shared" si="25"/>
        <v/>
      </c>
      <c r="J59" s="14" t="str">
        <f t="shared" si="25"/>
        <v/>
      </c>
      <c r="K59" s="14" t="str">
        <f t="shared" si="25"/>
        <v/>
      </c>
      <c r="L59" s="14" t="str">
        <f t="shared" si="25"/>
        <v/>
      </c>
    </row>
    <row r="60" spans="1:15" x14ac:dyDescent="0.35">
      <c r="A60" t="str">
        <f t="shared" si="20"/>
        <v/>
      </c>
      <c r="B60" s="44"/>
      <c r="C60" s="14" t="str">
        <f t="shared" si="25"/>
        <v/>
      </c>
      <c r="D60" s="14" t="str">
        <f t="shared" si="25"/>
        <v/>
      </c>
      <c r="E60" s="14" t="str">
        <f t="shared" si="25"/>
        <v/>
      </c>
      <c r="F60" s="14" t="str">
        <f t="shared" si="25"/>
        <v/>
      </c>
      <c r="G60" s="14" t="str">
        <f t="shared" si="25"/>
        <v/>
      </c>
      <c r="H60" s="14" t="str">
        <f t="shared" si="25"/>
        <v/>
      </c>
      <c r="I60" s="14" t="str">
        <f t="shared" si="25"/>
        <v/>
      </c>
      <c r="J60" s="14" t="str">
        <f t="shared" si="25"/>
        <v/>
      </c>
      <c r="K60" s="14" t="str">
        <f t="shared" si="25"/>
        <v/>
      </c>
      <c r="L60" s="14" t="str">
        <f t="shared" si="25"/>
        <v/>
      </c>
    </row>
    <row r="61" spans="1:15" x14ac:dyDescent="0.35">
      <c r="A61" s="1" t="s">
        <v>167</v>
      </c>
      <c r="C61"/>
      <c r="M61" t="s">
        <v>168</v>
      </c>
    </row>
    <row r="62" spans="1:15" x14ac:dyDescent="0.35">
      <c r="A62" t="str">
        <f t="shared" ref="A62:A67" si="26">IF(A6="","","    "&amp;A6)</f>
        <v xml:space="preserve">    Upper Basin</v>
      </c>
      <c r="B62" s="1"/>
      <c r="C62" s="25">
        <v>0.5</v>
      </c>
      <c r="D62" s="25">
        <v>0.4</v>
      </c>
      <c r="E62" s="25">
        <v>0.4</v>
      </c>
      <c r="F62" s="50"/>
      <c r="G62" s="50"/>
      <c r="H62" s="50"/>
      <c r="I62" s="50"/>
      <c r="J62" s="50"/>
      <c r="K62" s="50"/>
      <c r="L62" s="50"/>
      <c r="M62" s="54">
        <f>SUMPRODUCT(C62:L62,C$69:L$69)</f>
        <v>455</v>
      </c>
    </row>
    <row r="63" spans="1:15" x14ac:dyDescent="0.35">
      <c r="A63" t="str">
        <f t="shared" si="26"/>
        <v xml:space="preserve">    Lower Basin</v>
      </c>
      <c r="B63" s="1"/>
      <c r="C63" s="70">
        <f>-C62</f>
        <v>-0.5</v>
      </c>
      <c r="D63" s="70">
        <f t="shared" ref="D63:E63" si="27">-D62</f>
        <v>-0.4</v>
      </c>
      <c r="E63" s="70">
        <f t="shared" si="27"/>
        <v>-0.4</v>
      </c>
      <c r="F63" s="62"/>
      <c r="G63" s="62"/>
      <c r="H63" s="62"/>
      <c r="I63" s="62"/>
      <c r="J63" s="62"/>
      <c r="K63" s="67"/>
      <c r="L63" s="62"/>
      <c r="M63" s="54">
        <f t="shared" ref="M63:M67" si="28">SUMPRODUCT(C63:L63,C$69:L$69)</f>
        <v>-455</v>
      </c>
    </row>
    <row r="64" spans="1:15" x14ac:dyDescent="0.35">
      <c r="A64" t="str">
        <f t="shared" si="26"/>
        <v xml:space="preserve">    Mexico</v>
      </c>
      <c r="B64" s="1"/>
      <c r="C64" s="50"/>
      <c r="D64" s="50"/>
      <c r="E64" s="68"/>
      <c r="F64" s="50"/>
      <c r="G64" s="50"/>
      <c r="H64" s="68"/>
      <c r="I64" s="50"/>
      <c r="J64" s="50"/>
      <c r="K64" s="68"/>
      <c r="L64" s="50"/>
      <c r="M64" s="54">
        <f t="shared" si="28"/>
        <v>0</v>
      </c>
    </row>
    <row r="65" spans="1:21" x14ac:dyDescent="0.35">
      <c r="A65" t="str">
        <f t="shared" si="26"/>
        <v xml:space="preserve">    Mohave &amp; Havasu Evap &amp; ET</v>
      </c>
      <c r="B65" s="1"/>
      <c r="C65" s="50"/>
      <c r="D65" s="50"/>
      <c r="E65" s="68"/>
      <c r="F65" s="50"/>
      <c r="G65" s="50"/>
      <c r="H65" s="68"/>
      <c r="I65" s="50"/>
      <c r="J65" s="50"/>
      <c r="K65" s="68"/>
      <c r="L65" s="50"/>
      <c r="M65" s="54">
        <f t="shared" si="28"/>
        <v>0</v>
      </c>
    </row>
    <row r="66" spans="1:21" x14ac:dyDescent="0.35">
      <c r="A66" t="str">
        <f t="shared" si="26"/>
        <v xml:space="preserve">    Shared, Reserve</v>
      </c>
      <c r="B66" s="1"/>
      <c r="C66" s="50"/>
      <c r="D66" s="50"/>
      <c r="E66" s="68"/>
      <c r="F66" s="50"/>
      <c r="G66" s="50"/>
      <c r="H66" s="68"/>
      <c r="I66" s="50"/>
      <c r="J66" s="50"/>
      <c r="K66" s="68"/>
      <c r="L66" s="50"/>
      <c r="M66" s="54">
        <f t="shared" si="28"/>
        <v>0</v>
      </c>
    </row>
    <row r="67" spans="1:21" x14ac:dyDescent="0.35">
      <c r="A67" t="str">
        <f t="shared" si="26"/>
        <v/>
      </c>
      <c r="B67" s="1"/>
      <c r="C67" s="50"/>
      <c r="D67" s="50"/>
      <c r="E67" s="50"/>
      <c r="F67" s="50"/>
      <c r="G67" s="50"/>
      <c r="H67" s="50"/>
      <c r="I67" s="50"/>
      <c r="J67" s="50"/>
      <c r="K67" s="50"/>
      <c r="L67" s="50"/>
      <c r="M67" s="54">
        <f t="shared" si="28"/>
        <v>0</v>
      </c>
    </row>
    <row r="68" spans="1:21" x14ac:dyDescent="0.35">
      <c r="A68" t="s">
        <v>159</v>
      </c>
      <c r="B68" s="1"/>
      <c r="C68" s="53">
        <f>IF(C$27&lt;&gt;"",SUM(C62:C67),"")</f>
        <v>0</v>
      </c>
      <c r="D68" s="53">
        <f t="shared" ref="D68:L68" si="29">IF(D$27&lt;&gt;"",SUM(D62:D67),"")</f>
        <v>0</v>
      </c>
      <c r="E68" s="53">
        <f t="shared" si="29"/>
        <v>0</v>
      </c>
      <c r="F68" s="53">
        <f t="shared" si="29"/>
        <v>0</v>
      </c>
      <c r="G68" s="53">
        <f t="shared" si="29"/>
        <v>0</v>
      </c>
      <c r="H68" s="53" t="str">
        <f t="shared" si="29"/>
        <v/>
      </c>
      <c r="I68" s="53" t="str">
        <f t="shared" si="29"/>
        <v/>
      </c>
      <c r="J68" s="53" t="str">
        <f t="shared" si="29"/>
        <v/>
      </c>
      <c r="K68" s="53" t="str">
        <f t="shared" si="29"/>
        <v/>
      </c>
      <c r="L68" s="53" t="str">
        <f t="shared" si="29"/>
        <v/>
      </c>
      <c r="M68" s="34"/>
    </row>
    <row r="69" spans="1:21" x14ac:dyDescent="0.35">
      <c r="A69" t="s">
        <v>160</v>
      </c>
      <c r="B69" s="1"/>
      <c r="C69" s="31">
        <v>350</v>
      </c>
      <c r="D69" s="31">
        <v>350</v>
      </c>
      <c r="E69" s="31">
        <v>350</v>
      </c>
      <c r="F69" s="31"/>
      <c r="G69" s="31"/>
      <c r="H69" s="31"/>
      <c r="I69" s="31"/>
      <c r="J69" s="31"/>
      <c r="K69" s="31"/>
      <c r="L69" s="31"/>
    </row>
    <row r="70" spans="1:21" x14ac:dyDescent="0.35">
      <c r="A70" s="1" t="s">
        <v>186</v>
      </c>
      <c r="B70" s="1"/>
      <c r="C70"/>
    </row>
    <row r="71" spans="1:21" x14ac:dyDescent="0.35">
      <c r="A71" t="str">
        <f t="shared" ref="A71:A76" si="30">IF(A6="","","    "&amp;A6)</f>
        <v xml:space="preserve">    Upper Basin</v>
      </c>
      <c r="C71" s="14">
        <f>IF(OR(C$27="",$A71=""),"",C30+C48+C55-C40-C62)</f>
        <v>6.9624438809560036</v>
      </c>
      <c r="D71" s="14">
        <f t="shared" ref="D71:L71" si="31">IF(OR(D$27="",$A71=""),"",D30+D48+D55-D40-D62)</f>
        <v>5.9059121066952143</v>
      </c>
      <c r="E71" s="14">
        <f t="shared" si="31"/>
        <v>5.2851245093047288</v>
      </c>
      <c r="F71" s="14">
        <f t="shared" si="31"/>
        <v>5.3817095100952415</v>
      </c>
      <c r="G71" s="14">
        <f t="shared" si="31"/>
        <v>5.6637198302764231</v>
      </c>
      <c r="H71" s="14" t="str">
        <f t="shared" si="31"/>
        <v/>
      </c>
      <c r="I71" s="14" t="str">
        <f t="shared" si="31"/>
        <v/>
      </c>
      <c r="J71" s="14" t="str">
        <f t="shared" si="31"/>
        <v/>
      </c>
      <c r="K71" s="14" t="str">
        <f t="shared" si="31"/>
        <v/>
      </c>
      <c r="L71" s="14" t="str">
        <f t="shared" si="31"/>
        <v/>
      </c>
    </row>
    <row r="72" spans="1:21" x14ac:dyDescent="0.35">
      <c r="A72" t="str">
        <f t="shared" si="30"/>
        <v xml:space="preserve">    Lower Basin</v>
      </c>
      <c r="C72" s="14">
        <f t="shared" ref="C72:L76" si="32">IF(OR(C$27="",$A72=""),"",C31+C49+C56-C41-C63)</f>
        <v>11.466312706382833</v>
      </c>
      <c r="D72" s="14">
        <f t="shared" si="32"/>
        <v>11.514711298489283</v>
      </c>
      <c r="E72" s="14">
        <f t="shared" si="32"/>
        <v>11.553784816390191</v>
      </c>
      <c r="F72" s="14">
        <f t="shared" si="32"/>
        <v>11.188454617480831</v>
      </c>
      <c r="G72" s="14">
        <f t="shared" si="32"/>
        <v>10.840497843120389</v>
      </c>
      <c r="H72" s="14" t="str">
        <f t="shared" si="32"/>
        <v/>
      </c>
      <c r="I72" s="14" t="str">
        <f t="shared" si="32"/>
        <v/>
      </c>
      <c r="J72" s="14" t="str">
        <f t="shared" si="32"/>
        <v/>
      </c>
      <c r="K72" s="14" t="str">
        <f t="shared" si="32"/>
        <v/>
      </c>
      <c r="L72" s="14" t="str">
        <f t="shared" si="32"/>
        <v/>
      </c>
    </row>
    <row r="73" spans="1:21" x14ac:dyDescent="0.35">
      <c r="A73" t="str">
        <f t="shared" si="30"/>
        <v xml:space="preserve">    Mexico</v>
      </c>
      <c r="C73" s="60">
        <f t="shared" si="32"/>
        <v>1.2581764826611881</v>
      </c>
      <c r="D73" s="14">
        <f t="shared" si="32"/>
        <v>1.2165024545787202</v>
      </c>
      <c r="E73" s="14">
        <f t="shared" si="32"/>
        <v>1.2152990392575049</v>
      </c>
      <c r="F73" s="14">
        <f t="shared" si="32"/>
        <v>1.214878770301749</v>
      </c>
      <c r="G73" s="14">
        <f t="shared" si="32"/>
        <v>1.2146518514841027</v>
      </c>
      <c r="H73" s="14" t="str">
        <f t="shared" si="32"/>
        <v/>
      </c>
      <c r="I73" s="14" t="str">
        <f t="shared" si="32"/>
        <v/>
      </c>
      <c r="J73" s="14" t="str">
        <f t="shared" si="32"/>
        <v/>
      </c>
      <c r="K73" s="14" t="str">
        <f t="shared" si="32"/>
        <v/>
      </c>
      <c r="L73" s="14" t="str">
        <f t="shared" si="32"/>
        <v/>
      </c>
    </row>
    <row r="74" spans="1:21" x14ac:dyDescent="0.35">
      <c r="A74" t="str">
        <f t="shared" si="30"/>
        <v xml:space="preserve">    Mohave &amp; Havasu Evap &amp; ET</v>
      </c>
      <c r="C74" s="14">
        <f t="shared" si="32"/>
        <v>0.6</v>
      </c>
      <c r="D74" s="14">
        <f t="shared" si="32"/>
        <v>0.6</v>
      </c>
      <c r="E74" s="14">
        <f t="shared" si="32"/>
        <v>0.6</v>
      </c>
      <c r="F74" s="14">
        <f t="shared" si="32"/>
        <v>0.6</v>
      </c>
      <c r="G74" s="14">
        <f t="shared" si="32"/>
        <v>0.6</v>
      </c>
      <c r="H74" s="14" t="str">
        <f t="shared" si="32"/>
        <v/>
      </c>
      <c r="I74" s="14" t="str">
        <f t="shared" si="32"/>
        <v/>
      </c>
      <c r="J74" s="14" t="str">
        <f t="shared" si="32"/>
        <v/>
      </c>
      <c r="K74" s="14" t="str">
        <f t="shared" si="32"/>
        <v/>
      </c>
      <c r="L74" s="14" t="str">
        <f t="shared" si="32"/>
        <v/>
      </c>
    </row>
    <row r="75" spans="1:21" x14ac:dyDescent="0.35">
      <c r="A75" t="str">
        <f t="shared" si="30"/>
        <v xml:space="preserve">    Shared, Reserve</v>
      </c>
      <c r="C75" s="14">
        <f t="shared" si="32"/>
        <v>11.59116925</v>
      </c>
      <c r="D75" s="14">
        <f t="shared" si="32"/>
        <v>11.59116925</v>
      </c>
      <c r="E75" s="14">
        <f t="shared" si="32"/>
        <v>11.59116925</v>
      </c>
      <c r="F75" s="14">
        <f t="shared" si="32"/>
        <v>11.59116925</v>
      </c>
      <c r="G75" s="14">
        <f t="shared" si="32"/>
        <v>11.59116925</v>
      </c>
      <c r="H75" s="60" t="str">
        <f t="shared" si="32"/>
        <v/>
      </c>
      <c r="I75" s="60" t="str">
        <f t="shared" si="32"/>
        <v/>
      </c>
      <c r="J75" s="60" t="str">
        <f t="shared" si="32"/>
        <v/>
      </c>
      <c r="K75" s="60" t="str">
        <f t="shared" si="32"/>
        <v/>
      </c>
      <c r="L75" s="60" t="str">
        <f t="shared" si="32"/>
        <v/>
      </c>
    </row>
    <row r="76" spans="1:21" x14ac:dyDescent="0.35">
      <c r="A76" t="str">
        <f t="shared" si="30"/>
        <v/>
      </c>
      <c r="C76" s="14" t="str">
        <f t="shared" si="32"/>
        <v/>
      </c>
      <c r="D76" s="14" t="str">
        <f t="shared" si="32"/>
        <v/>
      </c>
      <c r="E76" s="14" t="str">
        <f t="shared" si="32"/>
        <v/>
      </c>
      <c r="F76" s="14" t="str">
        <f t="shared" si="32"/>
        <v/>
      </c>
      <c r="G76" s="14" t="str">
        <f t="shared" si="32"/>
        <v/>
      </c>
      <c r="H76" s="14" t="str">
        <f t="shared" si="32"/>
        <v/>
      </c>
      <c r="I76" s="14" t="str">
        <f t="shared" si="32"/>
        <v/>
      </c>
      <c r="J76" s="14" t="str">
        <f t="shared" si="32"/>
        <v/>
      </c>
      <c r="K76" s="14" t="str">
        <f t="shared" si="32"/>
        <v/>
      </c>
      <c r="L76" s="14" t="str">
        <f t="shared" si="32"/>
        <v/>
      </c>
    </row>
    <row r="77" spans="1:21" x14ac:dyDescent="0.35">
      <c r="A77" s="1" t="s">
        <v>136</v>
      </c>
      <c r="B77" s="1"/>
      <c r="C77" s="69"/>
      <c r="D77" s="2"/>
      <c r="E77" s="69"/>
      <c r="F77" s="2"/>
      <c r="G77" s="2"/>
      <c r="H77" s="2"/>
      <c r="I77" s="2"/>
      <c r="J77" s="2"/>
      <c r="K77" s="2"/>
      <c r="L77" s="2"/>
    </row>
    <row r="78" spans="1:21" x14ac:dyDescent="0.35">
      <c r="A78" t="str">
        <f>IF(A6="","","    "&amp;A6&amp;" - Consumptive Use and Headwaters Losses")</f>
        <v xml:space="preserve">    Upper Basin - Consumptive Use and Headwaters Losses</v>
      </c>
      <c r="C78" s="43">
        <v>3.7</v>
      </c>
      <c r="D78" s="43">
        <v>3.3</v>
      </c>
      <c r="E78" s="43">
        <v>3</v>
      </c>
      <c r="F78" s="43">
        <v>2.8</v>
      </c>
      <c r="G78" s="43">
        <v>2.8</v>
      </c>
      <c r="H78" s="43"/>
      <c r="I78" s="43"/>
      <c r="J78" s="43"/>
      <c r="K78" s="43"/>
      <c r="L78" s="43"/>
      <c r="N78" s="1" t="s">
        <v>129</v>
      </c>
    </row>
    <row r="79" spans="1:21" x14ac:dyDescent="0.35">
      <c r="A79" t="str">
        <f>IF(A7="","","    "&amp;A7&amp;" - Release from Mead")</f>
        <v xml:space="preserve">    Lower Basin - Release from Mead</v>
      </c>
      <c r="C79" s="43">
        <v>6.9</v>
      </c>
      <c r="D79" s="43">
        <v>6.9</v>
      </c>
      <c r="E79" s="43">
        <v>6.9</v>
      </c>
      <c r="F79" s="43">
        <v>6.9</v>
      </c>
      <c r="G79" s="43">
        <f t="shared" ref="G79" si="33">F79</f>
        <v>6.9</v>
      </c>
      <c r="H79" s="43"/>
      <c r="I79" s="43"/>
      <c r="J79" s="43"/>
      <c r="K79" s="43"/>
      <c r="L79" s="43"/>
      <c r="N79" s="37" t="s">
        <v>130</v>
      </c>
      <c r="O79" s="37" t="s">
        <v>131</v>
      </c>
      <c r="P79" s="38" t="s">
        <v>132</v>
      </c>
      <c r="Q79" s="38" t="s">
        <v>133</v>
      </c>
      <c r="R79" s="37" t="s">
        <v>134</v>
      </c>
      <c r="S79" s="37" t="s">
        <v>134</v>
      </c>
      <c r="T79" s="51" t="s">
        <v>157</v>
      </c>
      <c r="U79" s="51" t="s">
        <v>158</v>
      </c>
    </row>
    <row r="80" spans="1:21" x14ac:dyDescent="0.35">
      <c r="A80" t="str">
        <f>IF(A8="","","    "&amp;A8&amp;" - Release from Mead")</f>
        <v xml:space="preserve">    Mexico - Release from Mead</v>
      </c>
      <c r="C80" s="50">
        <f>C73</f>
        <v>1.2581764826611881</v>
      </c>
      <c r="D80" s="50">
        <f>D73</f>
        <v>1.2165024545787202</v>
      </c>
      <c r="E80" s="50">
        <f>E73</f>
        <v>1.2152990392575049</v>
      </c>
      <c r="F80" s="50">
        <f>F73</f>
        <v>1.214878770301749</v>
      </c>
      <c r="G80" s="50">
        <f>G73</f>
        <v>1.2146518514841027</v>
      </c>
      <c r="H80" s="50"/>
      <c r="I80" s="50"/>
      <c r="J80" s="50"/>
      <c r="K80" s="50"/>
      <c r="L80" s="50"/>
      <c r="N80" s="39">
        <v>1025</v>
      </c>
      <c r="O80" s="40">
        <v>5.981122</v>
      </c>
      <c r="P80" s="41">
        <f>S80-Q80</f>
        <v>1.2000000000000002</v>
      </c>
      <c r="Q80" s="49">
        <v>0.15</v>
      </c>
      <c r="R80" s="41">
        <v>1.325</v>
      </c>
      <c r="S80" s="41">
        <f t="shared" ref="S80:S87" si="34">U80/1000000</f>
        <v>1.35</v>
      </c>
      <c r="T80" s="42">
        <v>0.125</v>
      </c>
      <c r="U80" s="52">
        <v>1350000</v>
      </c>
    </row>
    <row r="81" spans="1:21" x14ac:dyDescent="0.35">
      <c r="A81" t="str">
        <f>IF(A9="","","    "&amp;A9&amp;" - Release from Mead")</f>
        <v xml:space="preserve">    Mohave &amp; Havasu Evap &amp; ET - Release from Mead</v>
      </c>
      <c r="C81" s="43">
        <v>0.6</v>
      </c>
      <c r="D81" s="43">
        <v>0.6</v>
      </c>
      <c r="E81" s="43">
        <v>0.6</v>
      </c>
      <c r="F81" s="43">
        <v>0.6</v>
      </c>
      <c r="G81" s="43">
        <v>0.6</v>
      </c>
      <c r="H81" s="43"/>
      <c r="I81" s="43"/>
      <c r="J81" s="43"/>
      <c r="K81" s="43"/>
      <c r="L81" s="43"/>
      <c r="N81" s="39">
        <v>1030</v>
      </c>
      <c r="O81" s="40">
        <v>6.305377</v>
      </c>
      <c r="P81" s="41">
        <f t="shared" ref="P81:P87" si="35">S81-Q81</f>
        <v>1.117</v>
      </c>
      <c r="Q81" s="49">
        <v>0.10100000000000001</v>
      </c>
      <c r="R81" s="41">
        <v>1.1870000000000001</v>
      </c>
      <c r="S81" s="41">
        <f t="shared" si="34"/>
        <v>1.218</v>
      </c>
      <c r="T81" s="42">
        <v>7.0000000000000007E-2</v>
      </c>
      <c r="U81" s="52">
        <v>1218000</v>
      </c>
    </row>
    <row r="82" spans="1:21" x14ac:dyDescent="0.35">
      <c r="A82" t="str">
        <f>IF(A10="","","    "&amp;A10&amp;" - Release from Mead")</f>
        <v xml:space="preserve">    Shared, Reserve - Release from Mead</v>
      </c>
      <c r="C82" s="68"/>
      <c r="D82" s="68"/>
      <c r="E82" s="50"/>
      <c r="F82" s="50"/>
      <c r="G82" s="50"/>
      <c r="H82" s="50" t="str">
        <f>H75</f>
        <v/>
      </c>
      <c r="I82" s="50"/>
      <c r="J82" s="50"/>
      <c r="K82" s="50" t="str">
        <f>K75</f>
        <v/>
      </c>
      <c r="L82" s="50"/>
      <c r="N82" s="39">
        <v>1035</v>
      </c>
      <c r="O82" s="40">
        <v>6.6375080000000004</v>
      </c>
      <c r="P82" s="41">
        <f t="shared" si="35"/>
        <v>1.0669999999999999</v>
      </c>
      <c r="Q82" s="49">
        <v>9.1999999999999998E-2</v>
      </c>
      <c r="R82" s="41">
        <v>1.137</v>
      </c>
      <c r="S82" s="41">
        <f t="shared" si="34"/>
        <v>1.159</v>
      </c>
      <c r="T82" s="42">
        <v>7.0000000000000007E-2</v>
      </c>
      <c r="U82" s="52">
        <v>1159000</v>
      </c>
    </row>
    <row r="83" spans="1:21" x14ac:dyDescent="0.35">
      <c r="A83" t="str">
        <f>IF(A11="","","    "&amp;A11&amp;" - Release from Mead")</f>
        <v/>
      </c>
      <c r="C83" s="43"/>
      <c r="D83" s="43"/>
      <c r="E83" s="43"/>
      <c r="F83" s="43"/>
      <c r="G83" s="43"/>
      <c r="H83" s="43"/>
      <c r="I83" s="43"/>
      <c r="J83" s="43"/>
      <c r="K83" s="43"/>
      <c r="L83" s="43"/>
      <c r="N83" s="39">
        <v>1040</v>
      </c>
      <c r="O83" s="40">
        <v>6.977665</v>
      </c>
      <c r="P83" s="41">
        <f t="shared" si="35"/>
        <v>1.0169999999999999</v>
      </c>
      <c r="Q83" s="49">
        <v>8.4000000000000005E-2</v>
      </c>
      <c r="R83" s="41">
        <v>1.087</v>
      </c>
      <c r="S83" s="41">
        <f t="shared" si="34"/>
        <v>1.101</v>
      </c>
      <c r="T83" s="42">
        <v>7.0000000000000007E-2</v>
      </c>
      <c r="U83" s="52">
        <v>1101000</v>
      </c>
    </row>
    <row r="84" spans="1:21" x14ac:dyDescent="0.35">
      <c r="A84" s="1" t="s">
        <v>141</v>
      </c>
      <c r="B84" s="1"/>
      <c r="D84" s="2"/>
      <c r="E84" s="2"/>
      <c r="F84" s="2"/>
      <c r="G84" s="2"/>
      <c r="H84" s="2"/>
      <c r="I84" s="2"/>
      <c r="J84" s="2"/>
      <c r="K84" s="2"/>
      <c r="L84" s="2"/>
      <c r="N84" s="39">
        <v>1045</v>
      </c>
      <c r="O84" s="40">
        <v>7.3260519999999998</v>
      </c>
      <c r="P84" s="41">
        <f t="shared" si="35"/>
        <v>0.96699999999999997</v>
      </c>
      <c r="Q84" s="49">
        <v>7.5999999999999998E-2</v>
      </c>
      <c r="R84" s="41">
        <v>1.0369999999999999</v>
      </c>
      <c r="S84" s="41">
        <f t="shared" si="34"/>
        <v>1.0429999999999999</v>
      </c>
      <c r="T84" s="42">
        <v>7.0000000000000007E-2</v>
      </c>
      <c r="U84" s="52">
        <v>1043000</v>
      </c>
    </row>
    <row r="85" spans="1:21" x14ac:dyDescent="0.35">
      <c r="A85" t="str">
        <f t="shared" ref="A85:A90" si="36">IF(A6="","","    "&amp;A6)</f>
        <v xml:space="preserve">    Upper Basin</v>
      </c>
      <c r="C85" s="14">
        <f>IF(OR(C$27="",$A85=""),"",C71-C78)</f>
        <v>3.2624438809560035</v>
      </c>
      <c r="D85" s="14">
        <f t="shared" ref="D85:L85" si="37">IF(OR(D$27="",$A85=""),"",D71-D78)</f>
        <v>2.6059121066952144</v>
      </c>
      <c r="E85" s="14">
        <f t="shared" si="37"/>
        <v>2.2851245093047288</v>
      </c>
      <c r="F85" s="14">
        <f t="shared" si="37"/>
        <v>2.5817095100952416</v>
      </c>
      <c r="G85" s="14">
        <f t="shared" si="37"/>
        <v>2.8637198302764233</v>
      </c>
      <c r="H85" s="14" t="str">
        <f t="shared" si="37"/>
        <v/>
      </c>
      <c r="I85" s="14" t="str">
        <f t="shared" si="37"/>
        <v/>
      </c>
      <c r="J85" s="14" t="str">
        <f t="shared" si="37"/>
        <v/>
      </c>
      <c r="K85" s="14" t="str">
        <f t="shared" si="37"/>
        <v/>
      </c>
      <c r="L85" s="14" t="str">
        <f t="shared" si="37"/>
        <v/>
      </c>
      <c r="N85" s="39">
        <v>1050</v>
      </c>
      <c r="O85" s="40">
        <v>7.6828779999999997</v>
      </c>
      <c r="P85" s="41">
        <f t="shared" si="35"/>
        <v>0.71699999999999997</v>
      </c>
      <c r="Q85" s="49">
        <v>3.4000000000000002E-2</v>
      </c>
      <c r="R85" s="41">
        <v>0.78700000000000003</v>
      </c>
      <c r="S85" s="41">
        <f t="shared" si="34"/>
        <v>0.751</v>
      </c>
      <c r="T85" s="42">
        <v>7.0000000000000007E-2</v>
      </c>
      <c r="U85" s="52">
        <v>751000</v>
      </c>
    </row>
    <row r="86" spans="1:21" x14ac:dyDescent="0.35">
      <c r="A86" t="str">
        <f t="shared" si="36"/>
        <v xml:space="preserve">    Lower Basin</v>
      </c>
      <c r="C86" s="14">
        <f t="shared" ref="C86:L90" si="38">IF(OR(C$27="",$A86=""),"",C72-C79)</f>
        <v>4.566312706382833</v>
      </c>
      <c r="D86" s="14">
        <f t="shared" si="38"/>
        <v>4.6147112984892829</v>
      </c>
      <c r="E86" s="14">
        <f t="shared" si="38"/>
        <v>4.6537848163901909</v>
      </c>
      <c r="F86" s="14">
        <f t="shared" si="38"/>
        <v>4.2884546174808307</v>
      </c>
      <c r="G86" s="14">
        <f t="shared" si="38"/>
        <v>3.9404978431203883</v>
      </c>
      <c r="H86" s="14" t="str">
        <f t="shared" si="38"/>
        <v/>
      </c>
      <c r="I86" s="14" t="str">
        <f t="shared" si="38"/>
        <v/>
      </c>
      <c r="J86" s="14" t="str">
        <f t="shared" si="38"/>
        <v/>
      </c>
      <c r="K86" s="14" t="str">
        <f t="shared" si="38"/>
        <v/>
      </c>
      <c r="L86" s="14" t="str">
        <f t="shared" si="38"/>
        <v/>
      </c>
      <c r="N86" s="39">
        <v>1075</v>
      </c>
      <c r="O86" s="40">
        <v>9.6009879999900001</v>
      </c>
      <c r="P86" s="41">
        <f t="shared" si="35"/>
        <v>0.63300000000000001</v>
      </c>
      <c r="Q86" s="49">
        <v>0.03</v>
      </c>
      <c r="R86" s="41">
        <v>0.68300000000000005</v>
      </c>
      <c r="S86" s="41">
        <f t="shared" si="34"/>
        <v>0.66300000000000003</v>
      </c>
      <c r="T86" s="42">
        <v>0.05</v>
      </c>
      <c r="U86" s="52">
        <v>663000</v>
      </c>
    </row>
    <row r="87" spans="1:21" x14ac:dyDescent="0.35">
      <c r="A87" t="str">
        <f t="shared" si="36"/>
        <v xml:space="preserve">    Mexico</v>
      </c>
      <c r="C87" s="14">
        <f t="shared" si="38"/>
        <v>0</v>
      </c>
      <c r="D87" s="14">
        <f t="shared" si="38"/>
        <v>0</v>
      </c>
      <c r="E87" s="14">
        <f t="shared" si="38"/>
        <v>0</v>
      </c>
      <c r="F87" s="14">
        <f t="shared" si="38"/>
        <v>0</v>
      </c>
      <c r="G87" s="14">
        <f t="shared" si="38"/>
        <v>0</v>
      </c>
      <c r="H87" s="14" t="str">
        <f t="shared" si="38"/>
        <v/>
      </c>
      <c r="I87" s="14" t="str">
        <f t="shared" si="38"/>
        <v/>
      </c>
      <c r="J87" s="14" t="str">
        <f t="shared" si="38"/>
        <v/>
      </c>
      <c r="K87" s="14" t="str">
        <f t="shared" si="38"/>
        <v/>
      </c>
      <c r="L87" s="14" t="str">
        <f t="shared" si="38"/>
        <v/>
      </c>
      <c r="N87" s="39">
        <v>1090</v>
      </c>
      <c r="O87" s="40">
        <v>10.857008</v>
      </c>
      <c r="P87" s="41">
        <f t="shared" si="35"/>
        <v>0.30000000000000004</v>
      </c>
      <c r="Q87" s="49">
        <v>4.1000000000000002E-2</v>
      </c>
      <c r="R87" s="41">
        <v>0.3</v>
      </c>
      <c r="S87" s="41">
        <f t="shared" si="34"/>
        <v>0.34100000000000003</v>
      </c>
      <c r="T87" s="38"/>
      <c r="U87" s="52">
        <v>341000</v>
      </c>
    </row>
    <row r="88" spans="1:21" x14ac:dyDescent="0.35">
      <c r="A88" t="str">
        <f t="shared" si="36"/>
        <v xml:space="preserve">    Mohave &amp; Havasu Evap &amp; ET</v>
      </c>
      <c r="C88" s="14">
        <f t="shared" si="38"/>
        <v>0</v>
      </c>
      <c r="D88" s="14">
        <f t="shared" si="38"/>
        <v>0</v>
      </c>
      <c r="E88" s="14">
        <f t="shared" si="38"/>
        <v>0</v>
      </c>
      <c r="F88" s="14">
        <f t="shared" si="38"/>
        <v>0</v>
      </c>
      <c r="G88" s="14">
        <f t="shared" si="38"/>
        <v>0</v>
      </c>
      <c r="H88" s="14" t="str">
        <f t="shared" si="38"/>
        <v/>
      </c>
      <c r="I88" s="14" t="str">
        <f t="shared" si="38"/>
        <v/>
      </c>
      <c r="J88" s="14" t="str">
        <f t="shared" si="38"/>
        <v/>
      </c>
      <c r="K88" s="14" t="str">
        <f t="shared" si="38"/>
        <v/>
      </c>
      <c r="L88" s="14" t="str">
        <f t="shared" si="38"/>
        <v/>
      </c>
    </row>
    <row r="89" spans="1:21" x14ac:dyDescent="0.35">
      <c r="A89" t="str">
        <f t="shared" si="36"/>
        <v xml:space="preserve">    Shared, Reserve</v>
      </c>
      <c r="C89" s="14">
        <f>IF(OR(C$27="",$A89=""),"",C75-C82)</f>
        <v>11.59116925</v>
      </c>
      <c r="D89" s="14">
        <f t="shared" si="38"/>
        <v>11.59116925</v>
      </c>
      <c r="E89" s="14">
        <f t="shared" si="38"/>
        <v>11.59116925</v>
      </c>
      <c r="F89" s="14">
        <f t="shared" si="38"/>
        <v>11.59116925</v>
      </c>
      <c r="G89" s="14">
        <f t="shared" si="38"/>
        <v>11.59116925</v>
      </c>
      <c r="H89" s="59" t="str">
        <f t="shared" si="38"/>
        <v/>
      </c>
      <c r="I89" s="59" t="str">
        <f t="shared" si="38"/>
        <v/>
      </c>
      <c r="J89" s="59" t="str">
        <f t="shared" si="38"/>
        <v/>
      </c>
      <c r="K89" s="59" t="str">
        <f t="shared" si="38"/>
        <v/>
      </c>
      <c r="L89" s="59" t="str">
        <f t="shared" si="38"/>
        <v/>
      </c>
    </row>
    <row r="90" spans="1:21" x14ac:dyDescent="0.35">
      <c r="A90" t="str">
        <f t="shared" si="36"/>
        <v/>
      </c>
      <c r="C90" s="14" t="str">
        <f t="shared" si="38"/>
        <v/>
      </c>
      <c r="D90" s="14" t="str">
        <f t="shared" si="38"/>
        <v/>
      </c>
      <c r="E90" s="14" t="str">
        <f t="shared" si="38"/>
        <v/>
      </c>
      <c r="F90" s="14" t="str">
        <f t="shared" si="38"/>
        <v/>
      </c>
      <c r="G90" s="14" t="str">
        <f t="shared" si="38"/>
        <v/>
      </c>
      <c r="H90" s="14" t="str">
        <f t="shared" si="38"/>
        <v/>
      </c>
      <c r="I90" s="14" t="str">
        <f t="shared" si="38"/>
        <v/>
      </c>
      <c r="J90" s="14" t="str">
        <f t="shared" si="38"/>
        <v/>
      </c>
      <c r="K90" s="14" t="str">
        <f t="shared" si="38"/>
        <v/>
      </c>
      <c r="L90" s="14" t="str">
        <f t="shared" si="38"/>
        <v/>
      </c>
    </row>
    <row r="91" spans="1:21" x14ac:dyDescent="0.35">
      <c r="A91" s="1" t="s">
        <v>125</v>
      </c>
      <c r="B91" s="1"/>
      <c r="C91" s="14">
        <f>IF(C$27&lt;&gt;"",SUM(C85:C90),"")</f>
        <v>19.419925837338837</v>
      </c>
      <c r="D91" s="14">
        <f t="shared" ref="D91:L91" si="39">IF(D$27&lt;&gt;"",SUM(D85:D90),"")</f>
        <v>18.811792655184497</v>
      </c>
      <c r="E91" s="14">
        <f t="shared" si="39"/>
        <v>18.530078575694919</v>
      </c>
      <c r="F91" s="14">
        <f t="shared" si="39"/>
        <v>18.461333377576072</v>
      </c>
      <c r="G91" s="14">
        <f t="shared" si="39"/>
        <v>18.395386923396813</v>
      </c>
      <c r="H91" s="14" t="str">
        <f t="shared" si="39"/>
        <v/>
      </c>
      <c r="I91" s="14" t="str">
        <f t="shared" si="39"/>
        <v/>
      </c>
      <c r="J91" s="14" t="str">
        <f t="shared" si="39"/>
        <v/>
      </c>
      <c r="K91" s="14" t="str">
        <f t="shared" si="39"/>
        <v/>
      </c>
      <c r="L91" s="14" t="str">
        <f t="shared" si="39"/>
        <v/>
      </c>
    </row>
    <row r="92" spans="1:21" x14ac:dyDescent="0.35">
      <c r="A92" s="1" t="s">
        <v>147</v>
      </c>
      <c r="B92" s="1"/>
      <c r="C92" s="14">
        <f>IF(C27&lt;&gt;"",C37+C27-C40-C78-C91*$B$37,"")</f>
        <v>8.3443252348954289</v>
      </c>
      <c r="D92" s="14">
        <f t="shared" ref="D92:L92" si="40">IF(D27&lt;&gt;"",D37+D27-D40-D78-D91*$B$37,"")</f>
        <v>7.8408640113929629</v>
      </c>
      <c r="E92" s="14">
        <f t="shared" si="40"/>
        <v>8.0086184038493915</v>
      </c>
      <c r="F92" s="14">
        <f t="shared" si="40"/>
        <v>8.1178371596596595</v>
      </c>
      <c r="G92" s="14">
        <f t="shared" si="40"/>
        <v>8.1009617351104382</v>
      </c>
      <c r="H92" s="14" t="str">
        <f t="shared" si="40"/>
        <v/>
      </c>
      <c r="I92" s="14" t="str">
        <f t="shared" si="40"/>
        <v/>
      </c>
      <c r="J92" s="14" t="str">
        <f t="shared" si="40"/>
        <v/>
      </c>
      <c r="K92" s="14" t="str">
        <f t="shared" si="40"/>
        <v/>
      </c>
      <c r="L92" s="14" t="str">
        <f t="shared" si="40"/>
        <v/>
      </c>
    </row>
    <row r="94" spans="1:21" x14ac:dyDescent="0.35">
      <c r="A94" s="1" t="s">
        <v>127</v>
      </c>
      <c r="C94" s="12">
        <f>IF(C$27&lt;&gt;"",0.2,"")</f>
        <v>0.2</v>
      </c>
      <c r="D94" s="12">
        <f t="shared" ref="D94:L94" si="41">IF(D$27&lt;&gt;"",0.2,"")</f>
        <v>0.2</v>
      </c>
      <c r="E94" s="12">
        <f t="shared" si="41"/>
        <v>0.2</v>
      </c>
      <c r="F94" s="12">
        <f t="shared" si="41"/>
        <v>0.2</v>
      </c>
      <c r="G94" s="12">
        <f t="shared" si="41"/>
        <v>0.2</v>
      </c>
      <c r="H94" s="12" t="str">
        <f t="shared" si="41"/>
        <v/>
      </c>
      <c r="I94" s="12" t="str">
        <f t="shared" si="41"/>
        <v/>
      </c>
      <c r="J94" s="12" t="str">
        <f t="shared" si="41"/>
        <v/>
      </c>
      <c r="K94" s="12" t="str">
        <f t="shared" si="41"/>
        <v/>
      </c>
      <c r="L94" s="12" t="str">
        <f t="shared" si="41"/>
        <v/>
      </c>
    </row>
    <row r="95" spans="1:21" x14ac:dyDescent="0.35">
      <c r="A95" t="s">
        <v>128</v>
      </c>
      <c r="C95" s="14">
        <f t="shared" ref="C95:L95" si="42">IF(C$27&lt;&gt;"",C79+C94,"")</f>
        <v>7.1000000000000005</v>
      </c>
      <c r="D95" s="14">
        <f t="shared" si="42"/>
        <v>7.1000000000000005</v>
      </c>
      <c r="E95" s="14">
        <f t="shared" si="42"/>
        <v>7.1000000000000005</v>
      </c>
      <c r="F95" s="14">
        <f t="shared" si="42"/>
        <v>7.1000000000000005</v>
      </c>
      <c r="G95" s="14">
        <f t="shared" si="42"/>
        <v>7.1000000000000005</v>
      </c>
      <c r="H95" s="14" t="str">
        <f t="shared" si="42"/>
        <v/>
      </c>
      <c r="I95" s="14" t="str">
        <f t="shared" si="42"/>
        <v/>
      </c>
      <c r="J95" s="14" t="str">
        <f t="shared" si="42"/>
        <v/>
      </c>
      <c r="K95" s="14" t="str">
        <f t="shared" si="42"/>
        <v/>
      </c>
      <c r="L95" s="14" t="str">
        <f t="shared" si="42"/>
        <v/>
      </c>
    </row>
    <row r="97" spans="4:4" x14ac:dyDescent="0.35">
      <c r="D97" s="18"/>
    </row>
  </sheetData>
  <mergeCells count="9">
    <mergeCell ref="C9:G9"/>
    <mergeCell ref="C10:G10"/>
    <mergeCell ref="C11:G11"/>
    <mergeCell ref="A3:G3"/>
    <mergeCell ref="C4:G4"/>
    <mergeCell ref="C5:G5"/>
    <mergeCell ref="C6:G6"/>
    <mergeCell ref="C7:G7"/>
    <mergeCell ref="C8:G8"/>
  </mergeCells>
  <conditionalFormatting sqref="C79">
    <cfRule type="cellIs" dxfId="315" priority="57" operator="greaterThan">
      <formula>$C$72</formula>
    </cfRule>
  </conditionalFormatting>
  <conditionalFormatting sqref="C80">
    <cfRule type="cellIs" dxfId="314" priority="56" operator="greaterThan">
      <formula>$C$73</formula>
    </cfRule>
  </conditionalFormatting>
  <conditionalFormatting sqref="C81">
    <cfRule type="cellIs" dxfId="313" priority="55" operator="greaterThan">
      <formula>$C$74</formula>
    </cfRule>
  </conditionalFormatting>
  <conditionalFormatting sqref="C82">
    <cfRule type="cellIs" dxfId="312" priority="54" operator="greaterThan">
      <formula>$C$75</formula>
    </cfRule>
  </conditionalFormatting>
  <conditionalFormatting sqref="C83">
    <cfRule type="cellIs" dxfId="311" priority="53" operator="greaterThan">
      <formula>$C$76</formula>
    </cfRule>
  </conditionalFormatting>
  <conditionalFormatting sqref="D79:G79">
    <cfRule type="cellIs" dxfId="310" priority="52" operator="greaterThan">
      <formula>$D$72</formula>
    </cfRule>
  </conditionalFormatting>
  <conditionalFormatting sqref="D80">
    <cfRule type="cellIs" dxfId="309" priority="51" operator="greaterThan">
      <formula>$D$73</formula>
    </cfRule>
  </conditionalFormatting>
  <conditionalFormatting sqref="D81">
    <cfRule type="cellIs" dxfId="308" priority="50" operator="greaterThan">
      <formula>$D$74</formula>
    </cfRule>
  </conditionalFormatting>
  <conditionalFormatting sqref="D82">
    <cfRule type="cellIs" dxfId="307" priority="49" operator="greaterThan">
      <formula>$D$75</formula>
    </cfRule>
  </conditionalFormatting>
  <conditionalFormatting sqref="D83">
    <cfRule type="cellIs" dxfId="306" priority="48" operator="greaterThan">
      <formula>$D$76</formula>
    </cfRule>
  </conditionalFormatting>
  <conditionalFormatting sqref="E80">
    <cfRule type="cellIs" dxfId="305" priority="46" operator="greaterThan">
      <formula>$E$73</formula>
    </cfRule>
  </conditionalFormatting>
  <conditionalFormatting sqref="E81">
    <cfRule type="cellIs" dxfId="304" priority="45" operator="greaterThan">
      <formula>$E$74</formula>
    </cfRule>
  </conditionalFormatting>
  <conditionalFormatting sqref="E82">
    <cfRule type="cellIs" dxfId="303" priority="44" operator="greaterThan">
      <formula>$E$75</formula>
    </cfRule>
  </conditionalFormatting>
  <conditionalFormatting sqref="E83">
    <cfRule type="cellIs" dxfId="302" priority="43" operator="greaterThan">
      <formula>$E$76</formula>
    </cfRule>
  </conditionalFormatting>
  <conditionalFormatting sqref="F80">
    <cfRule type="cellIs" dxfId="301" priority="41" operator="greaterThan">
      <formula>$F$73</formula>
    </cfRule>
  </conditionalFormatting>
  <conditionalFormatting sqref="F81">
    <cfRule type="cellIs" dxfId="300" priority="40" operator="greaterThan">
      <formula>$F$74</formula>
    </cfRule>
  </conditionalFormatting>
  <conditionalFormatting sqref="F82">
    <cfRule type="cellIs" dxfId="299" priority="39" operator="greaterThan">
      <formula>$F$75</formula>
    </cfRule>
  </conditionalFormatting>
  <conditionalFormatting sqref="F83">
    <cfRule type="cellIs" dxfId="298" priority="38" operator="greaterThan">
      <formula>$F$76</formula>
    </cfRule>
  </conditionalFormatting>
  <conditionalFormatting sqref="G80">
    <cfRule type="cellIs" dxfId="297" priority="36" operator="greaterThan">
      <formula>$G$73</formula>
    </cfRule>
  </conditionalFormatting>
  <conditionalFormatting sqref="G81">
    <cfRule type="cellIs" dxfId="296" priority="35" operator="greaterThan">
      <formula>$G$74</formula>
    </cfRule>
  </conditionalFormatting>
  <conditionalFormatting sqref="G82">
    <cfRule type="cellIs" dxfId="295" priority="34" operator="greaterThan">
      <formula>$G$75</formula>
    </cfRule>
  </conditionalFormatting>
  <conditionalFormatting sqref="G83">
    <cfRule type="cellIs" dxfId="294" priority="33" operator="greaterThan">
      <formula>$G$76</formula>
    </cfRule>
  </conditionalFormatting>
  <conditionalFormatting sqref="H78">
    <cfRule type="cellIs" dxfId="293" priority="32" operator="greaterThan">
      <formula>$H$71</formula>
    </cfRule>
  </conditionalFormatting>
  <conditionalFormatting sqref="H79">
    <cfRule type="cellIs" dxfId="292" priority="31" operator="greaterThan">
      <formula>$H$72</formula>
    </cfRule>
  </conditionalFormatting>
  <conditionalFormatting sqref="H80">
    <cfRule type="cellIs" dxfId="291" priority="30" operator="greaterThan">
      <formula>$H$73</formula>
    </cfRule>
  </conditionalFormatting>
  <conditionalFormatting sqref="H81">
    <cfRule type="cellIs" dxfId="290" priority="29" operator="greaterThan">
      <formula>$H$74</formula>
    </cfRule>
  </conditionalFormatting>
  <conditionalFormatting sqref="H82">
    <cfRule type="cellIs" dxfId="289" priority="28" operator="greaterThan">
      <formula>$H$75</formula>
    </cfRule>
  </conditionalFormatting>
  <conditionalFormatting sqref="H83">
    <cfRule type="cellIs" dxfId="288" priority="27" operator="greaterThan">
      <formula>$H$76</formula>
    </cfRule>
  </conditionalFormatting>
  <conditionalFormatting sqref="I78">
    <cfRule type="cellIs" dxfId="287" priority="26" operator="greaterThan">
      <formula>$I$71</formula>
    </cfRule>
  </conditionalFormatting>
  <conditionalFormatting sqref="I79">
    <cfRule type="cellIs" dxfId="286" priority="25" operator="greaterThan">
      <formula>$I$72</formula>
    </cfRule>
  </conditionalFormatting>
  <conditionalFormatting sqref="I80">
    <cfRule type="cellIs" dxfId="285" priority="24" operator="greaterThan">
      <formula>$I$73</formula>
    </cfRule>
  </conditionalFormatting>
  <conditionalFormatting sqref="I81">
    <cfRule type="cellIs" dxfId="284" priority="23" operator="greaterThan">
      <formula>$I$74</formula>
    </cfRule>
  </conditionalFormatting>
  <conditionalFormatting sqref="I82">
    <cfRule type="cellIs" dxfId="283" priority="22" operator="greaterThan">
      <formula>$I$75</formula>
    </cfRule>
  </conditionalFormatting>
  <conditionalFormatting sqref="I83">
    <cfRule type="cellIs" dxfId="282" priority="21" operator="greaterThan">
      <formula>$I$76</formula>
    </cfRule>
  </conditionalFormatting>
  <conditionalFormatting sqref="J78">
    <cfRule type="cellIs" dxfId="281" priority="20" operator="greaterThan">
      <formula>$J$71</formula>
    </cfRule>
  </conditionalFormatting>
  <conditionalFormatting sqref="J79">
    <cfRule type="cellIs" dxfId="280" priority="19" operator="greaterThan">
      <formula>$J$72</formula>
    </cfRule>
  </conditionalFormatting>
  <conditionalFormatting sqref="J80">
    <cfRule type="cellIs" dxfId="279" priority="18" operator="greaterThan">
      <formula>$J$73</formula>
    </cfRule>
  </conditionalFormatting>
  <conditionalFormatting sqref="J81">
    <cfRule type="cellIs" dxfId="278" priority="17" operator="greaterThan">
      <formula>$J$74</formula>
    </cfRule>
  </conditionalFormatting>
  <conditionalFormatting sqref="J82">
    <cfRule type="cellIs" dxfId="277" priority="16" operator="greaterThan">
      <formula>$J$75</formula>
    </cfRule>
  </conditionalFormatting>
  <conditionalFormatting sqref="J83">
    <cfRule type="cellIs" dxfId="276" priority="15" operator="greaterThan">
      <formula>$J$76</formula>
    </cfRule>
  </conditionalFormatting>
  <conditionalFormatting sqref="K78">
    <cfRule type="cellIs" dxfId="275" priority="14" operator="greaterThan">
      <formula>$K$71</formula>
    </cfRule>
  </conditionalFormatting>
  <conditionalFormatting sqref="K79">
    <cfRule type="cellIs" dxfId="274" priority="13" operator="greaterThan">
      <formula>$K$72</formula>
    </cfRule>
  </conditionalFormatting>
  <conditionalFormatting sqref="K80">
    <cfRule type="cellIs" dxfId="273" priority="12" operator="greaterThan">
      <formula>$K$73</formula>
    </cfRule>
  </conditionalFormatting>
  <conditionalFormatting sqref="K81">
    <cfRule type="cellIs" dxfId="272" priority="11" operator="greaterThan">
      <formula>$K$74</formula>
    </cfRule>
  </conditionalFormatting>
  <conditionalFormatting sqref="K82">
    <cfRule type="cellIs" dxfId="271" priority="10" operator="greaterThan">
      <formula>$K$75</formula>
    </cfRule>
  </conditionalFormatting>
  <conditionalFormatting sqref="K83">
    <cfRule type="cellIs" dxfId="270" priority="9" operator="greaterThan">
      <formula>$K$76</formula>
    </cfRule>
  </conditionalFormatting>
  <conditionalFormatting sqref="L78">
    <cfRule type="cellIs" dxfId="269" priority="8" operator="greaterThan">
      <formula>$L$71</formula>
    </cfRule>
  </conditionalFormatting>
  <conditionalFormatting sqref="L79">
    <cfRule type="cellIs" dxfId="268" priority="7" operator="greaterThan">
      <formula>$L$72</formula>
    </cfRule>
  </conditionalFormatting>
  <conditionalFormatting sqref="L80">
    <cfRule type="cellIs" dxfId="267" priority="6" operator="greaterThan">
      <formula>$L$73</formula>
    </cfRule>
  </conditionalFormatting>
  <conditionalFormatting sqref="L81">
    <cfRule type="cellIs" dxfId="266" priority="5" operator="greaterThan">
      <formula>$L$74</formula>
    </cfRule>
  </conditionalFormatting>
  <conditionalFormatting sqref="L82">
    <cfRule type="cellIs" dxfId="265" priority="4" operator="greaterThan">
      <formula>$L$75</formula>
    </cfRule>
  </conditionalFormatting>
  <conditionalFormatting sqref="L83">
    <cfRule type="cellIs" dxfId="264" priority="3" operator="greaterThan">
      <formula>$L$76</formula>
    </cfRule>
  </conditionalFormatting>
  <conditionalFormatting sqref="D78:F78">
    <cfRule type="cellIs" dxfId="263" priority="2" operator="greaterThan">
      <formula>$D$71</formula>
    </cfRule>
  </conditionalFormatting>
  <conditionalFormatting sqref="G78">
    <cfRule type="cellIs" dxfId="262" priority="1" operator="greaterThan">
      <formula>$G$71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04" t="s">
        <v>169</v>
      </c>
      <c r="B3" s="104"/>
      <c r="C3" s="104"/>
      <c r="D3" s="104"/>
      <c r="E3" s="104"/>
      <c r="F3" s="104"/>
      <c r="G3" s="104"/>
      <c r="H3" s="63"/>
      <c r="I3" s="63"/>
      <c r="J3" s="63"/>
      <c r="K3" s="63"/>
    </row>
    <row r="4" spans="1:11" x14ac:dyDescent="0.35">
      <c r="A4" s="64" t="s">
        <v>39</v>
      </c>
      <c r="B4" s="64" t="s">
        <v>43</v>
      </c>
      <c r="C4" s="105" t="s">
        <v>44</v>
      </c>
      <c r="D4" s="106"/>
      <c r="E4" s="106"/>
      <c r="F4" s="106"/>
      <c r="G4" s="107"/>
    </row>
    <row r="5" spans="1:11" x14ac:dyDescent="0.35">
      <c r="A5" s="65" t="s">
        <v>52</v>
      </c>
      <c r="B5" s="65"/>
      <c r="C5" s="108"/>
      <c r="D5" s="108"/>
      <c r="E5" s="108"/>
      <c r="F5" s="108"/>
      <c r="G5" s="108"/>
    </row>
    <row r="6" spans="1:11" x14ac:dyDescent="0.35">
      <c r="A6" s="66" t="s">
        <v>40</v>
      </c>
      <c r="B6" s="66" t="s">
        <v>184</v>
      </c>
      <c r="C6" s="109" t="s">
        <v>183</v>
      </c>
      <c r="D6" s="109"/>
      <c r="E6" s="109"/>
      <c r="F6" s="109"/>
      <c r="G6" s="109"/>
    </row>
    <row r="7" spans="1:11" x14ac:dyDescent="0.35">
      <c r="A7" s="66" t="s">
        <v>41</v>
      </c>
      <c r="B7" s="66" t="s">
        <v>184</v>
      </c>
      <c r="C7" s="103" t="s">
        <v>181</v>
      </c>
      <c r="D7" s="103"/>
      <c r="E7" s="103"/>
      <c r="F7" s="103"/>
      <c r="G7" s="103"/>
    </row>
    <row r="8" spans="1:11" x14ac:dyDescent="0.35">
      <c r="A8" s="66" t="s">
        <v>42</v>
      </c>
      <c r="B8" s="66" t="s">
        <v>184</v>
      </c>
      <c r="C8" s="109" t="s">
        <v>183</v>
      </c>
      <c r="D8" s="109"/>
      <c r="E8" s="109"/>
      <c r="F8" s="109"/>
      <c r="G8" s="109"/>
    </row>
    <row r="9" spans="1:11" x14ac:dyDescent="0.35">
      <c r="A9" s="66" t="s">
        <v>165</v>
      </c>
      <c r="B9" s="66" t="s">
        <v>184</v>
      </c>
      <c r="C9" s="103" t="s">
        <v>182</v>
      </c>
      <c r="D9" s="103"/>
      <c r="E9" s="103"/>
      <c r="F9" s="103"/>
      <c r="G9" s="103"/>
    </row>
    <row r="10" spans="1:11" x14ac:dyDescent="0.35">
      <c r="A10" s="66"/>
      <c r="B10" s="66"/>
      <c r="C10" s="103"/>
      <c r="D10" s="103"/>
      <c r="E10" s="103"/>
      <c r="F10" s="103"/>
      <c r="G10" s="103"/>
    </row>
    <row r="11" spans="1:11" x14ac:dyDescent="0.35">
      <c r="A11" s="66"/>
      <c r="B11" s="66"/>
      <c r="C11" s="103"/>
      <c r="D11" s="103"/>
      <c r="E11" s="103"/>
      <c r="F11" s="103"/>
      <c r="G11" s="10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11</v>
      </c>
      <c r="D25" s="45">
        <f>C25</f>
        <v>11</v>
      </c>
      <c r="E25" s="45">
        <f t="shared" ref="E25:G25" si="0">D25</f>
        <v>11</v>
      </c>
      <c r="F25" s="45">
        <f t="shared" si="0"/>
        <v>11</v>
      </c>
      <c r="G25" s="45">
        <f t="shared" si="0"/>
        <v>11</v>
      </c>
      <c r="H25" s="45"/>
      <c r="I25" s="45"/>
      <c r="J25" s="45"/>
      <c r="K25" s="45"/>
      <c r="L25" s="45"/>
    </row>
    <row r="26" spans="1:14"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4" x14ac:dyDescent="0.35">
      <c r="A27" s="1" t="s">
        <v>126</v>
      </c>
      <c r="B27" s="14">
        <f>SUM(B28:B33)-SUM(B22:C22)</f>
        <v>0</v>
      </c>
      <c r="C27" s="14">
        <f>IF(C$25&lt;&gt;"",SUM(B22:C22),"")</f>
        <v>21.1</v>
      </c>
      <c r="D27" s="14">
        <f>IF(D$25&lt;&gt;"",C89,"")</f>
        <v>18.702087997956422</v>
      </c>
      <c r="E27" s="14">
        <f t="shared" ref="E27:L27" si="2">IF(E$25&lt;&gt;"",D89,"")</f>
        <v>16.415286880456996</v>
      </c>
      <c r="F27" s="14">
        <f t="shared" si="2"/>
        <v>15.064095076101138</v>
      </c>
      <c r="G27" s="14">
        <f t="shared" si="2"/>
        <v>14.750680962076862</v>
      </c>
      <c r="H27" s="14" t="str">
        <f t="shared" si="2"/>
        <v/>
      </c>
      <c r="I27" s="14" t="str">
        <f t="shared" si="2"/>
        <v/>
      </c>
      <c r="J27" s="14" t="str">
        <f t="shared" si="2"/>
        <v/>
      </c>
      <c r="K27" s="14" t="str">
        <f t="shared" si="2"/>
        <v/>
      </c>
      <c r="L27" s="14" t="str">
        <f t="shared" si="2"/>
        <v/>
      </c>
    </row>
    <row r="28" spans="1:14" x14ac:dyDescent="0.35">
      <c r="A28" t="str">
        <f>IF(A6="","","    "&amp;A6&amp;" Balance")</f>
        <v xml:space="preserve">    Upper Basin Balance</v>
      </c>
      <c r="B28" s="55">
        <f>B22</f>
        <v>11</v>
      </c>
      <c r="C28" s="14">
        <f>IF(OR(C$25="",$A28=""),"",B28)</f>
        <v>11</v>
      </c>
      <c r="D28" s="14">
        <f>IF(OR(D$25="",$A28=""),"",C83)</f>
        <v>9.0322571336493027</v>
      </c>
      <c r="E28" s="14">
        <f t="shared" ref="E28:L28" si="3">IF(OR(E$25="",$A28=""),"",D83)</f>
        <v>7.1385464313993898</v>
      </c>
      <c r="F28" s="14">
        <f t="shared" si="3"/>
        <v>6.1</v>
      </c>
      <c r="G28" s="14">
        <f t="shared" si="3"/>
        <v>6.1</v>
      </c>
      <c r="H28" s="14" t="str">
        <f t="shared" si="3"/>
        <v/>
      </c>
      <c r="I28" s="14" t="str">
        <f t="shared" si="3"/>
        <v/>
      </c>
      <c r="J28" s="14" t="str">
        <f t="shared" si="3"/>
        <v/>
      </c>
      <c r="K28" s="14" t="str">
        <f t="shared" si="3"/>
        <v/>
      </c>
      <c r="L28" s="14" t="str">
        <f t="shared" si="3"/>
        <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9.2767404490576055</v>
      </c>
      <c r="F29" s="14">
        <f t="shared" si="6"/>
        <v>8.9640950761011382</v>
      </c>
      <c r="G29" s="14">
        <f t="shared" si="6"/>
        <v>8.6506809620768621</v>
      </c>
      <c r="H29" s="14" t="str">
        <f t="shared" si="6"/>
        <v/>
      </c>
      <c r="I29" s="14" t="str">
        <f t="shared" si="6"/>
        <v/>
      </c>
      <c r="J29" s="14" t="str">
        <f t="shared" si="6"/>
        <v/>
      </c>
      <c r="K29" s="14" t="str">
        <f t="shared" si="6"/>
        <v/>
      </c>
      <c r="L29" s="14" t="str">
        <f t="shared" si="6"/>
        <v/>
      </c>
      <c r="N29" t="s">
        <v>223</v>
      </c>
    </row>
    <row r="30" spans="1:14" x14ac:dyDescent="0.35">
      <c r="A30" t="str">
        <f t="shared" si="4"/>
        <v xml:space="preserve">    Mexico Balance</v>
      </c>
      <c r="B30" s="86">
        <v>4.1000000000000002E-2</v>
      </c>
      <c r="C30" s="14">
        <f t="shared" si="5"/>
        <v>4.1000000000000002E-2</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9.351043998978211</v>
      </c>
      <c r="E35" s="14">
        <f t="shared" si="7"/>
        <v>8.2076434402284981</v>
      </c>
      <c r="F35" s="14">
        <f t="shared" si="7"/>
        <v>7.5320475380505689</v>
      </c>
      <c r="G35" s="14">
        <f t="shared" si="7"/>
        <v>7.3753404810384309</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9.351043998978211</v>
      </c>
      <c r="E36" s="14">
        <f t="shared" si="7"/>
        <v>8.2076434402284981</v>
      </c>
      <c r="F36" s="14">
        <f t="shared" si="7"/>
        <v>7.5320475380505689</v>
      </c>
      <c r="G36" s="14">
        <f t="shared" si="7"/>
        <v>7.3753404810384309</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0.94980111749942708</v>
      </c>
      <c r="E37" s="14">
        <f>IF(E$25&lt;&gt;"",VLOOKUP(E35*1000000,'Powell-Elevation-Area'!$B$5:$D$689,3)*$B$21/1000000 + VLOOKUP(E36*1000000,'Mead-Elevation-Area'!$B$5:$D$676,3)*$C$21/1000000,"")</f>
        <v>0.87881905500117308</v>
      </c>
      <c r="F37" s="14">
        <f>IF(F$25&lt;&gt;"",VLOOKUP(F35*1000000,'Powell-Elevation-Area'!$B$5:$D$689,3)*$B$21/1000000 + VLOOKUP(F36*1000000,'Mead-Elevation-Area'!$B$5:$D$676,3)*$C$21/1000000,"")</f>
        <v>0.83590071750057304</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0.45871070224991406</v>
      </c>
      <c r="E38" s="14">
        <f t="shared" si="8"/>
        <v>0.38217368204470614</v>
      </c>
      <c r="F38" s="14">
        <f t="shared" si="8"/>
        <v>0.33848660347629778</v>
      </c>
      <c r="G38" s="14">
        <f t="shared" si="8"/>
        <v>0.3419269071179345</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0.48716913569287823</v>
      </c>
      <c r="D39" s="14">
        <f t="shared" si="10"/>
        <v>0.49109041524951297</v>
      </c>
      <c r="E39" s="14">
        <f t="shared" si="10"/>
        <v>0.49664537295646694</v>
      </c>
      <c r="F39" s="14">
        <f t="shared" si="10"/>
        <v>0.49741411402427532</v>
      </c>
      <c r="G39" s="14">
        <f t="shared" si="10"/>
        <v>0.48490173538146553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11.33854643139939</v>
      </c>
      <c r="E69" s="14">
        <f t="shared" si="26"/>
        <v>9.5213727493546845</v>
      </c>
      <c r="F69" s="14">
        <f t="shared" si="26"/>
        <v>8.5265133965237023</v>
      </c>
      <c r="G69" s="14">
        <f t="shared" si="26"/>
        <v>8.5230730928820648</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16.53683086430712</v>
      </c>
      <c r="D70" s="14">
        <f t="shared" si="28"/>
        <v>16.143740449057606</v>
      </c>
      <c r="E70" s="14">
        <f t="shared" si="28"/>
        <v>15.747095076101138</v>
      </c>
      <c r="F70" s="14">
        <f t="shared" si="28"/>
        <v>15.433680962076863</v>
      </c>
      <c r="G70" s="14">
        <f t="shared" si="28"/>
        <v>15.132779226695398</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3.4213727493546848</v>
      </c>
      <c r="F76" s="43">
        <f t="shared" si="29"/>
        <v>2.4265133965237027</v>
      </c>
      <c r="G76" s="43">
        <f t="shared" si="29"/>
        <v>2.4230730928820652</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7.5-IF(D$29&lt;$O$78,$P$78,IF(D$29&lt;=$O$85,VLOOKUP(D$29,$O$78:$P$85,2),0))</f>
        <v>6.867</v>
      </c>
      <c r="E77" s="43">
        <f t="shared" ref="E77:G77" si="30">7.5-IF(E$29&lt;$O$78,$P$78,IF(E$29&lt;=$O$85,VLOOKUP(E$29,$O$78:$P$85,2),0))</f>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1.5090143220436021</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7.1385464313993898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9.6698308643071194</v>
      </c>
      <c r="D84" s="14">
        <f t="shared" si="36"/>
        <v>9.2767404490576055</v>
      </c>
      <c r="E84" s="14">
        <f t="shared" si="36"/>
        <v>8.9640950761011382</v>
      </c>
      <c r="F84" s="14">
        <f t="shared" si="36"/>
        <v>8.6506809620768621</v>
      </c>
      <c r="G84" s="14">
        <f t="shared" si="36"/>
        <v>8.3497792266953965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18.702087997956422</v>
      </c>
      <c r="D89" s="14">
        <f t="shared" ref="D89:L89" si="37">IF(D$25&lt;&gt;"",SUM(D83:D88),"")</f>
        <v>16.415286880456996</v>
      </c>
      <c r="E89" s="14">
        <f t="shared" si="37"/>
        <v>15.064095076101138</v>
      </c>
      <c r="F89" s="14">
        <f t="shared" si="37"/>
        <v>14.750680962076862</v>
      </c>
      <c r="G89" s="14">
        <f t="shared" si="37"/>
        <v>14.449779226695396</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7.9162131346710911</v>
      </c>
      <c r="D90" s="14">
        <f t="shared" ref="D90:L90" si="38">IF(D25&lt;&gt;"",D35+D25-D38-D76-D89*$B$35,"")</f>
        <v>7.4846898564998021</v>
      </c>
      <c r="E90" s="14">
        <f t="shared" si="38"/>
        <v>7.8720494707785393</v>
      </c>
      <c r="F90" s="14">
        <f t="shared" si="38"/>
        <v>8.3917070570121375</v>
      </c>
      <c r="G90" s="14">
        <f t="shared" si="38"/>
        <v>8.3854508676907358</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1" priority="60" operator="greaterThan">
      <formula>$C$69</formula>
    </cfRule>
  </conditionalFormatting>
  <conditionalFormatting sqref="C77:D77">
    <cfRule type="cellIs" dxfId="260" priority="59" operator="greaterThan">
      <formula>$C$70</formula>
    </cfRule>
  </conditionalFormatting>
  <conditionalFormatting sqref="C78">
    <cfRule type="cellIs" dxfId="259" priority="58" operator="greaterThan">
      <formula>$C$71</formula>
    </cfRule>
  </conditionalFormatting>
  <conditionalFormatting sqref="C79">
    <cfRule type="cellIs" dxfId="258" priority="57" operator="greaterThan">
      <formula>$C$72</formula>
    </cfRule>
  </conditionalFormatting>
  <conditionalFormatting sqref="C80">
    <cfRule type="cellIs" dxfId="257" priority="56" operator="greaterThan">
      <formula>$C$73</formula>
    </cfRule>
  </conditionalFormatting>
  <conditionalFormatting sqref="C81">
    <cfRule type="cellIs" dxfId="256" priority="55" operator="greaterThan">
      <formula>$C$74</formula>
    </cfRule>
  </conditionalFormatting>
  <conditionalFormatting sqref="D76">
    <cfRule type="cellIs" dxfId="255" priority="54" operator="greaterThan">
      <formula>$D$69</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workbookViewId="0">
      <selection activeCell="V36" sqref="V36"/>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04" t="s">
        <v>169</v>
      </c>
      <c r="B3" s="104"/>
      <c r="C3" s="104"/>
      <c r="D3" s="104"/>
      <c r="E3" s="104"/>
      <c r="F3" s="104"/>
      <c r="G3" s="104"/>
      <c r="H3" s="72"/>
      <c r="I3" s="72"/>
      <c r="J3" s="72"/>
      <c r="K3" s="72"/>
    </row>
    <row r="4" spans="1:11" x14ac:dyDescent="0.35">
      <c r="A4" s="64" t="s">
        <v>39</v>
      </c>
      <c r="B4" s="64" t="s">
        <v>43</v>
      </c>
      <c r="C4" s="105" t="s">
        <v>44</v>
      </c>
      <c r="D4" s="106"/>
      <c r="E4" s="106"/>
      <c r="F4" s="106"/>
      <c r="G4" s="107"/>
    </row>
    <row r="5" spans="1:11" x14ac:dyDescent="0.35">
      <c r="A5" s="73" t="s">
        <v>52</v>
      </c>
      <c r="B5" s="73"/>
      <c r="C5" s="108"/>
      <c r="D5" s="108"/>
      <c r="E5" s="108"/>
      <c r="F5" s="108"/>
      <c r="G5" s="108"/>
    </row>
    <row r="6" spans="1:11" x14ac:dyDescent="0.35">
      <c r="A6" s="71" t="s">
        <v>40</v>
      </c>
      <c r="B6" s="71" t="s">
        <v>184</v>
      </c>
      <c r="C6" s="109" t="s">
        <v>183</v>
      </c>
      <c r="D6" s="109"/>
      <c r="E6" s="109"/>
      <c r="F6" s="109"/>
      <c r="G6" s="109"/>
    </row>
    <row r="7" spans="1:11" x14ac:dyDescent="0.35">
      <c r="A7" s="71" t="s">
        <v>41</v>
      </c>
      <c r="B7" s="71" t="s">
        <v>184</v>
      </c>
      <c r="C7" s="103" t="s">
        <v>181</v>
      </c>
      <c r="D7" s="103"/>
      <c r="E7" s="103"/>
      <c r="F7" s="103"/>
      <c r="G7" s="103"/>
    </row>
    <row r="8" spans="1:11" x14ac:dyDescent="0.35">
      <c r="A8" s="71" t="s">
        <v>42</v>
      </c>
      <c r="B8" s="71" t="s">
        <v>184</v>
      </c>
      <c r="C8" s="109" t="s">
        <v>183</v>
      </c>
      <c r="D8" s="109"/>
      <c r="E8" s="109"/>
      <c r="F8" s="109"/>
      <c r="G8" s="109"/>
    </row>
    <row r="9" spans="1:11" x14ac:dyDescent="0.35">
      <c r="A9" s="71" t="s">
        <v>165</v>
      </c>
      <c r="B9" s="71" t="s">
        <v>184</v>
      </c>
      <c r="C9" s="103" t="s">
        <v>182</v>
      </c>
      <c r="D9" s="103"/>
      <c r="E9" s="103"/>
      <c r="F9" s="103"/>
      <c r="G9" s="103"/>
    </row>
    <row r="10" spans="1:11" x14ac:dyDescent="0.35">
      <c r="A10" s="71"/>
      <c r="B10" s="71"/>
      <c r="C10" s="103"/>
      <c r="D10" s="103"/>
      <c r="E10" s="103"/>
      <c r="F10" s="103"/>
      <c r="G10" s="103"/>
    </row>
    <row r="11" spans="1:11" x14ac:dyDescent="0.35">
      <c r="A11" s="71"/>
      <c r="B11" s="71"/>
      <c r="C11" s="103"/>
      <c r="D11" s="103"/>
      <c r="E11" s="103"/>
      <c r="F11" s="103"/>
      <c r="G11" s="10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8.9036315279864233</v>
      </c>
      <c r="K28" s="14">
        <f t="shared" si="3"/>
        <v>9.902385129376853</v>
      </c>
      <c r="L28" s="14">
        <f t="shared" si="3"/>
        <v>10.862467282554409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8.4355115124682882</v>
      </c>
      <c r="K29" s="14">
        <f t="shared" si="6"/>
        <v>8.6777786250778597</v>
      </c>
      <c r="L29" s="14">
        <f t="shared" si="6"/>
        <v>8.9193028738997313</v>
      </c>
      <c r="N29" t="s">
        <v>223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0.46624639860957012</v>
      </c>
      <c r="K38" s="14">
        <f t="shared" si="8"/>
        <v>0.50491784682244478</v>
      </c>
      <c r="L38" s="14">
        <f t="shared" si="8"/>
        <v>0.53930282118545414</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0.44173288739042982</v>
      </c>
      <c r="K39" s="14">
        <f t="shared" si="10"/>
        <v>0.4424757511781281</v>
      </c>
      <c r="L39" s="14">
        <f t="shared" si="10"/>
        <v>0.44282804981397283</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14.083093333626893</v>
      </c>
      <c r="E69" s="14">
        <f t="shared" si="28"/>
        <v>13.551085552983922</v>
      </c>
      <c r="F69" s="14">
        <f t="shared" si="28"/>
        <v>13.037236686384876</v>
      </c>
      <c r="G69" s="14">
        <f t="shared" si="28"/>
        <v>12.541761656000229</v>
      </c>
      <c r="H69" s="14">
        <f t="shared" si="28"/>
        <v>12.063868956382843</v>
      </c>
      <c r="I69" s="14">
        <f t="shared" si="28"/>
        <v>13.103631527986424</v>
      </c>
      <c r="J69" s="14">
        <f t="shared" si="28"/>
        <v>14.102385129376854</v>
      </c>
      <c r="K69" s="14">
        <f t="shared" si="28"/>
        <v>15.062467282554408</v>
      </c>
      <c r="L69" s="14">
        <f t="shared" si="28"/>
        <v>15.988164461368957</v>
      </c>
    </row>
    <row r="70" spans="1:21" x14ac:dyDescent="0.35">
      <c r="A70" t="str">
        <f t="shared" ref="A70:A74" si="29">IF(A7="","","    "&amp;A7)</f>
        <v xml:space="preserve">    Lower Basin</v>
      </c>
      <c r="C70" s="14">
        <f t="shared" ref="C70:L74" si="30">IF(OR(C$25="",$A70=""),"",C29+C47+C54-C39-C61)</f>
        <v>16.53683086430712</v>
      </c>
      <c r="D70" s="14">
        <f t="shared" si="30"/>
        <v>16.158243974330134</v>
      </c>
      <c r="E70" s="14">
        <f t="shared" si="30"/>
        <v>15.79099952047253</v>
      </c>
      <c r="F70" s="14">
        <f t="shared" si="30"/>
        <v>15.513719347570403</v>
      </c>
      <c r="G70" s="14">
        <f t="shared" si="30"/>
        <v>15.242794533454452</v>
      </c>
      <c r="H70" s="14">
        <f t="shared" si="30"/>
        <v>14.977635064071269</v>
      </c>
      <c r="I70" s="14">
        <f t="shared" si="30"/>
        <v>15.218511512468288</v>
      </c>
      <c r="J70" s="14">
        <f t="shared" si="30"/>
        <v>15.460778625077859</v>
      </c>
      <c r="K70" s="14">
        <f t="shared" si="30"/>
        <v>15.702302873899733</v>
      </c>
      <c r="L70" s="14">
        <f t="shared" si="30"/>
        <v>15.94347482408576</v>
      </c>
    </row>
    <row r="71" spans="1:21" x14ac:dyDescent="0.35">
      <c r="A71" t="str">
        <f t="shared" si="29"/>
        <v xml:space="preserve">    Mexico</v>
      </c>
      <c r="C71" s="60">
        <f t="shared" si="30"/>
        <v>1.5090143220436021</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1.5090143220436021</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9.883093333626892</v>
      </c>
      <c r="E83" s="14">
        <f t="shared" si="37"/>
        <v>9.3510855529839212</v>
      </c>
      <c r="F83" s="14">
        <f t="shared" si="37"/>
        <v>8.8372366863848768</v>
      </c>
      <c r="G83" s="14">
        <f t="shared" si="37"/>
        <v>8.3417616560002301</v>
      </c>
      <c r="H83" s="14">
        <f t="shared" si="37"/>
        <v>7.8638689563828423</v>
      </c>
      <c r="I83" s="14">
        <f t="shared" si="37"/>
        <v>8.9036315279864233</v>
      </c>
      <c r="J83" s="14">
        <f t="shared" si="37"/>
        <v>9.902385129376853</v>
      </c>
      <c r="K83" s="14">
        <f t="shared" si="37"/>
        <v>10.862467282554409</v>
      </c>
      <c r="L83" s="14">
        <f t="shared" si="37"/>
        <v>11.788164461368957</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9.6698308643071194</v>
      </c>
      <c r="D84" s="14">
        <f t="shared" si="39"/>
        <v>9.2912439743301327</v>
      </c>
      <c r="E84" s="14">
        <f t="shared" si="39"/>
        <v>9.0079995204725307</v>
      </c>
      <c r="F84" s="14">
        <f t="shared" si="39"/>
        <v>8.7307193475704032</v>
      </c>
      <c r="G84" s="14">
        <f t="shared" si="39"/>
        <v>8.4597945334544526</v>
      </c>
      <c r="H84" s="14">
        <f t="shared" si="39"/>
        <v>8.1946350640712673</v>
      </c>
      <c r="I84" s="14">
        <f t="shared" si="39"/>
        <v>8.4355115124682882</v>
      </c>
      <c r="J84" s="14">
        <f t="shared" si="39"/>
        <v>8.6777786250778597</v>
      </c>
      <c r="K84" s="14">
        <f t="shared" si="39"/>
        <v>8.9193028738997313</v>
      </c>
      <c r="L84" s="14">
        <f t="shared" si="39"/>
        <v>9.1604748240857603</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20.102087997956424</v>
      </c>
      <c r="D89" s="14">
        <f t="shared" ref="D89:L89" si="40">IF(D$25&lt;&gt;"",SUM(D83:D88),"")</f>
        <v>19.174337307957025</v>
      </c>
      <c r="E89" s="14">
        <f t="shared" si="40"/>
        <v>18.359085073456452</v>
      </c>
      <c r="F89" s="14">
        <f t="shared" si="40"/>
        <v>17.56795603395528</v>
      </c>
      <c r="G89" s="14">
        <f t="shared" si="40"/>
        <v>16.801556189454683</v>
      </c>
      <c r="H89" s="14">
        <f t="shared" si="40"/>
        <v>16.058504020454109</v>
      </c>
      <c r="I89" s="14">
        <f t="shared" si="40"/>
        <v>17.339143040454712</v>
      </c>
      <c r="J89" s="14">
        <f t="shared" si="40"/>
        <v>18.580163754454713</v>
      </c>
      <c r="K89" s="14">
        <f t="shared" si="40"/>
        <v>19.78177015645414</v>
      </c>
      <c r="L89" s="14">
        <f t="shared" si="40"/>
        <v>20.948639285454718</v>
      </c>
    </row>
    <row r="90" spans="1:21" x14ac:dyDescent="0.35">
      <c r="A90" s="1" t="s">
        <v>147</v>
      </c>
      <c r="B90" s="1"/>
      <c r="C90" s="14">
        <f>IF(C25&lt;&gt;"",C35+C25-C38-C76-C89*$B$35,"")</f>
        <v>8.6162131346710886</v>
      </c>
      <c r="D90" s="14">
        <f t="shared" ref="D90:L90" si="41">IF(D25&lt;&gt;"",D35+D25-D38-D76-D89*$B$35,"")</f>
        <v>8.1497115449772899</v>
      </c>
      <c r="E90" s="14">
        <f t="shared" si="41"/>
        <v>8.1106183366073186</v>
      </c>
      <c r="F90" s="14">
        <f t="shared" si="41"/>
        <v>8.1167156531515428</v>
      </c>
      <c r="G90" s="14">
        <f t="shared" si="41"/>
        <v>8.1227248918656532</v>
      </c>
      <c r="H90" s="14">
        <f t="shared" si="41"/>
        <v>8.1286333848828995</v>
      </c>
      <c r="I90" s="14">
        <f t="shared" si="41"/>
        <v>9.1344430616032799</v>
      </c>
      <c r="J90" s="14">
        <f t="shared" si="41"/>
        <v>9.1132432443904303</v>
      </c>
      <c r="K90" s="14">
        <f t="shared" si="41"/>
        <v>9.0942789521778433</v>
      </c>
      <c r="L90" s="14">
        <f t="shared" si="41"/>
        <v>9.0772626143142574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3"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04" t="s">
        <v>169</v>
      </c>
      <c r="B3" s="104"/>
      <c r="C3" s="104"/>
      <c r="D3" s="104"/>
      <c r="E3" s="104"/>
      <c r="F3" s="104"/>
      <c r="G3" s="104"/>
      <c r="H3" s="63"/>
      <c r="I3" s="63"/>
      <c r="J3" s="63"/>
      <c r="K3" s="63"/>
    </row>
    <row r="4" spans="1:11" x14ac:dyDescent="0.35">
      <c r="A4" s="64" t="s">
        <v>39</v>
      </c>
      <c r="B4" s="64" t="s">
        <v>43</v>
      </c>
      <c r="C4" s="105" t="s">
        <v>44</v>
      </c>
      <c r="D4" s="106"/>
      <c r="E4" s="106"/>
      <c r="F4" s="106"/>
      <c r="G4" s="107"/>
    </row>
    <row r="5" spans="1:11" x14ac:dyDescent="0.35">
      <c r="A5" s="65" t="s">
        <v>52</v>
      </c>
      <c r="B5" s="65"/>
      <c r="C5" s="108"/>
      <c r="D5" s="108"/>
      <c r="E5" s="108"/>
      <c r="F5" s="108"/>
      <c r="G5" s="108"/>
    </row>
    <row r="6" spans="1:11" x14ac:dyDescent="0.35">
      <c r="A6" s="66" t="s">
        <v>40</v>
      </c>
      <c r="B6" s="66" t="s">
        <v>184</v>
      </c>
      <c r="C6" s="109" t="s">
        <v>183</v>
      </c>
      <c r="D6" s="109"/>
      <c r="E6" s="109"/>
      <c r="F6" s="109"/>
      <c r="G6" s="109"/>
    </row>
    <row r="7" spans="1:11" x14ac:dyDescent="0.35">
      <c r="A7" s="66" t="s">
        <v>41</v>
      </c>
      <c r="B7" s="66" t="s">
        <v>184</v>
      </c>
      <c r="C7" s="103" t="s">
        <v>181</v>
      </c>
      <c r="D7" s="103"/>
      <c r="E7" s="103"/>
      <c r="F7" s="103"/>
      <c r="G7" s="103"/>
    </row>
    <row r="8" spans="1:11" x14ac:dyDescent="0.35">
      <c r="A8" s="66" t="s">
        <v>42</v>
      </c>
      <c r="B8" s="66" t="s">
        <v>184</v>
      </c>
      <c r="C8" s="109" t="s">
        <v>183</v>
      </c>
      <c r="D8" s="109"/>
      <c r="E8" s="109"/>
      <c r="F8" s="109"/>
      <c r="G8" s="109"/>
    </row>
    <row r="9" spans="1:11" x14ac:dyDescent="0.35">
      <c r="A9" s="66" t="s">
        <v>165</v>
      </c>
      <c r="B9" s="66" t="s">
        <v>184</v>
      </c>
      <c r="C9" s="103" t="s">
        <v>182</v>
      </c>
      <c r="D9" s="103"/>
      <c r="E9" s="103"/>
      <c r="F9" s="103"/>
      <c r="G9" s="103"/>
    </row>
    <row r="10" spans="1:11" x14ac:dyDescent="0.35">
      <c r="A10" s="66"/>
      <c r="B10" s="66"/>
      <c r="C10" s="103"/>
      <c r="D10" s="103"/>
      <c r="E10" s="103"/>
      <c r="F10" s="103"/>
      <c r="G10" s="103"/>
    </row>
    <row r="11" spans="1:11" x14ac:dyDescent="0.35">
      <c r="A11" s="66"/>
      <c r="B11" s="66"/>
      <c r="C11" s="103"/>
      <c r="D11" s="103"/>
      <c r="E11" s="103"/>
      <c r="F11" s="103"/>
      <c r="G11" s="10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9.4036315279864233</v>
      </c>
      <c r="K28" s="14">
        <f t="shared" si="3"/>
        <v>10.876202195079536</v>
      </c>
      <c r="L28" s="14">
        <f t="shared" si="3"/>
        <v>12.286629885257579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7.9355115124682873</v>
      </c>
      <c r="K29" s="14">
        <f t="shared" si="6"/>
        <v>7.703961559375176</v>
      </c>
      <c r="L29" s="14">
        <f t="shared" si="6"/>
        <v>7.4951402711965605</v>
      </c>
      <c r="N29" t="s">
        <v>223</v>
      </c>
    </row>
    <row r="30" spans="1:14" x14ac:dyDescent="0.35">
      <c r="A30" t="str">
        <f t="shared" si="4"/>
        <v xml:space="preserve">    Mexico Balance</v>
      </c>
      <c r="B30" s="8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0.49242933290688673</v>
      </c>
      <c r="K38" s="14">
        <f t="shared" si="8"/>
        <v>0.55457230982195571</v>
      </c>
      <c r="L38" s="14">
        <f t="shared" si="8"/>
        <v>0.61001004538102599</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0.41554995309311316</v>
      </c>
      <c r="K39" s="14">
        <f t="shared" si="10"/>
        <v>0.39282128817861717</v>
      </c>
      <c r="L39" s="14">
        <f t="shared" si="10"/>
        <v>0.37212082561840099</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14.083093333626893</v>
      </c>
      <c r="E69" s="14">
        <f t="shared" si="26"/>
        <v>13.551085552983922</v>
      </c>
      <c r="F69" s="14">
        <f t="shared" si="26"/>
        <v>13.037236686384876</v>
      </c>
      <c r="G69" s="14">
        <f t="shared" si="26"/>
        <v>12.541761656000229</v>
      </c>
      <c r="H69" s="14">
        <f t="shared" si="26"/>
        <v>12.063868956382843</v>
      </c>
      <c r="I69" s="14">
        <f t="shared" si="26"/>
        <v>13.603631527986424</v>
      </c>
      <c r="J69" s="14">
        <f t="shared" si="26"/>
        <v>15.076202195079537</v>
      </c>
      <c r="K69" s="14">
        <f t="shared" si="26"/>
        <v>16.486629885257578</v>
      </c>
      <c r="L69" s="14">
        <f t="shared" si="26"/>
        <v>17.841619839876557</v>
      </c>
    </row>
    <row r="70" spans="1:21" x14ac:dyDescent="0.35">
      <c r="A70" t="str">
        <f t="shared" ref="A70:A74" si="27">IF(A7="","","    "&amp;A7)</f>
        <v xml:space="preserve">    Lower Basin</v>
      </c>
      <c r="C70" s="14">
        <f t="shared" ref="C70:L74" si="28">IF(OR(C$25="",$A70=""),"",C29+C47+C54-C39-C61)</f>
        <v>16.53683086430712</v>
      </c>
      <c r="D70" s="14">
        <f t="shared" si="28"/>
        <v>16.158243974330134</v>
      </c>
      <c r="E70" s="14">
        <f t="shared" si="28"/>
        <v>15.79099952047253</v>
      </c>
      <c r="F70" s="14">
        <f t="shared" si="28"/>
        <v>15.513719347570403</v>
      </c>
      <c r="G70" s="14">
        <f t="shared" si="28"/>
        <v>15.242794533454452</v>
      </c>
      <c r="H70" s="14">
        <f t="shared" si="28"/>
        <v>14.977635064071269</v>
      </c>
      <c r="I70" s="14">
        <f t="shared" si="28"/>
        <v>14.718511512468288</v>
      </c>
      <c r="J70" s="14">
        <f t="shared" si="28"/>
        <v>14.486961559375176</v>
      </c>
      <c r="K70" s="14">
        <f t="shared" si="28"/>
        <v>14.278140271196561</v>
      </c>
      <c r="L70" s="14">
        <f t="shared" si="28"/>
        <v>14.11101944557816</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9.883093333626892</v>
      </c>
      <c r="E83" s="14">
        <f t="shared" si="35"/>
        <v>9.3510855529839212</v>
      </c>
      <c r="F83" s="14">
        <f t="shared" si="35"/>
        <v>8.8372366863848768</v>
      </c>
      <c r="G83" s="14">
        <f t="shared" si="35"/>
        <v>8.3417616560002301</v>
      </c>
      <c r="H83" s="14">
        <f t="shared" si="35"/>
        <v>7.8638689563828423</v>
      </c>
      <c r="I83" s="14">
        <f t="shared" si="35"/>
        <v>9.4036315279864233</v>
      </c>
      <c r="J83" s="14">
        <f t="shared" si="35"/>
        <v>10.876202195079536</v>
      </c>
      <c r="K83" s="14">
        <f t="shared" si="35"/>
        <v>12.286629885257579</v>
      </c>
      <c r="L83" s="14">
        <f t="shared" si="35"/>
        <v>13.641619839876558</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9.2912439743301327</v>
      </c>
      <c r="E84" s="14">
        <f t="shared" si="37"/>
        <v>9.0079995204725307</v>
      </c>
      <c r="F84" s="14">
        <f t="shared" si="37"/>
        <v>8.7307193475704032</v>
      </c>
      <c r="G84" s="14">
        <f t="shared" si="37"/>
        <v>8.4597945334544526</v>
      </c>
      <c r="H84" s="14">
        <f t="shared" si="37"/>
        <v>8.1946350640712673</v>
      </c>
      <c r="I84" s="14">
        <f t="shared" si="37"/>
        <v>7.9355115124682873</v>
      </c>
      <c r="J84" s="14">
        <f t="shared" si="37"/>
        <v>7.703961559375176</v>
      </c>
      <c r="K84" s="14">
        <f t="shared" si="37"/>
        <v>7.4951402711965605</v>
      </c>
      <c r="L84" s="14">
        <f t="shared" si="37"/>
        <v>7.5780194455781595</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20.102087997956424</v>
      </c>
      <c r="D89" s="14">
        <f t="shared" ref="D89:L89" si="38">IF(D$25&lt;&gt;"",SUM(D83:D88),"")</f>
        <v>19.174337307957025</v>
      </c>
      <c r="E89" s="14">
        <f t="shared" si="38"/>
        <v>18.359085073456452</v>
      </c>
      <c r="F89" s="14">
        <f t="shared" si="38"/>
        <v>17.56795603395528</v>
      </c>
      <c r="G89" s="14">
        <f t="shared" si="38"/>
        <v>16.801556189454683</v>
      </c>
      <c r="H89" s="14">
        <f t="shared" si="38"/>
        <v>16.058504020454109</v>
      </c>
      <c r="I89" s="14">
        <f t="shared" si="38"/>
        <v>17.339143040454712</v>
      </c>
      <c r="J89" s="14">
        <f t="shared" si="38"/>
        <v>18.580163754454713</v>
      </c>
      <c r="K89" s="14">
        <f t="shared" si="38"/>
        <v>19.78177015645414</v>
      </c>
      <c r="L89" s="14">
        <f t="shared" si="38"/>
        <v>21.219639285454718</v>
      </c>
    </row>
    <row r="90" spans="1:21" x14ac:dyDescent="0.35">
      <c r="A90" s="1" t="s">
        <v>147</v>
      </c>
      <c r="B90" s="1"/>
      <c r="C90" s="14">
        <f>IF(C25&lt;&gt;"",C35+C25-C38-C76-C89*$B$35,"")</f>
        <v>8.6162131346710886</v>
      </c>
      <c r="D90" s="14">
        <f t="shared" ref="D90:L90" si="39">IF(D25&lt;&gt;"",D35+D25-D38-D76-D89*$B$35,"")</f>
        <v>8.1497115449772899</v>
      </c>
      <c r="E90" s="14">
        <f t="shared" si="39"/>
        <v>8.1106183366073186</v>
      </c>
      <c r="F90" s="14">
        <f t="shared" si="39"/>
        <v>8.1167156531515428</v>
      </c>
      <c r="G90" s="14">
        <f t="shared" si="39"/>
        <v>8.1227248918656532</v>
      </c>
      <c r="H90" s="14">
        <f t="shared" si="39"/>
        <v>8.1286333848828995</v>
      </c>
      <c r="I90" s="14">
        <f t="shared" si="39"/>
        <v>9.1344430616032799</v>
      </c>
      <c r="J90" s="14">
        <f t="shared" si="39"/>
        <v>9.0870603100931131</v>
      </c>
      <c r="K90" s="14">
        <f t="shared" si="39"/>
        <v>9.0446244891783305</v>
      </c>
      <c r="L90" s="14">
        <f t="shared" si="39"/>
        <v>8.8710553901186877</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110" t="s">
        <v>41</v>
      </c>
      <c r="Q1" s="110"/>
      <c r="R1" s="110"/>
      <c r="S1" s="110"/>
      <c r="T1" s="110"/>
      <c r="U1" s="110"/>
      <c r="V1" s="110"/>
      <c r="W1" s="110"/>
      <c r="X1" s="110"/>
      <c r="Y1" s="110"/>
    </row>
  </sheetData>
  <mergeCells count="1">
    <mergeCell ref="P1:Y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25" zoomScale="150" zoomScaleNormal="150" workbookViewId="0">
      <selection activeCell="B30" sqref="B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04" t="s">
        <v>169</v>
      </c>
      <c r="B3" s="104"/>
      <c r="C3" s="104"/>
      <c r="D3" s="104"/>
      <c r="E3" s="104"/>
      <c r="F3" s="104"/>
      <c r="G3" s="104"/>
      <c r="H3" s="63"/>
      <c r="I3" s="63"/>
      <c r="J3" s="63"/>
      <c r="K3" s="63"/>
    </row>
    <row r="4" spans="1:11" x14ac:dyDescent="0.35">
      <c r="A4" s="64" t="s">
        <v>39</v>
      </c>
      <c r="B4" s="64" t="s">
        <v>43</v>
      </c>
      <c r="C4" s="105" t="s">
        <v>44</v>
      </c>
      <c r="D4" s="106"/>
      <c r="E4" s="106"/>
      <c r="F4" s="106"/>
      <c r="G4" s="107"/>
    </row>
    <row r="5" spans="1:11" x14ac:dyDescent="0.35">
      <c r="A5" s="65" t="s">
        <v>52</v>
      </c>
      <c r="B5" s="65"/>
      <c r="C5" s="108"/>
      <c r="D5" s="108"/>
      <c r="E5" s="108"/>
      <c r="F5" s="108"/>
      <c r="G5" s="108"/>
    </row>
    <row r="6" spans="1:11" x14ac:dyDescent="0.35">
      <c r="A6" s="66" t="s">
        <v>40</v>
      </c>
      <c r="B6" s="66" t="s">
        <v>184</v>
      </c>
      <c r="C6" s="109" t="s">
        <v>183</v>
      </c>
      <c r="D6" s="109"/>
      <c r="E6" s="109"/>
      <c r="F6" s="109"/>
      <c r="G6" s="109"/>
    </row>
    <row r="7" spans="1:11" x14ac:dyDescent="0.35">
      <c r="A7" s="66" t="s">
        <v>41</v>
      </c>
      <c r="B7" s="66" t="s">
        <v>184</v>
      </c>
      <c r="C7" s="103" t="s">
        <v>181</v>
      </c>
      <c r="D7" s="103"/>
      <c r="E7" s="103"/>
      <c r="F7" s="103"/>
      <c r="G7" s="103"/>
    </row>
    <row r="8" spans="1:11" x14ac:dyDescent="0.35">
      <c r="A8" s="66" t="s">
        <v>42</v>
      </c>
      <c r="B8" s="66" t="s">
        <v>184</v>
      </c>
      <c r="C8" s="109" t="s">
        <v>183</v>
      </c>
      <c r="D8" s="109"/>
      <c r="E8" s="109"/>
      <c r="F8" s="109"/>
      <c r="G8" s="109"/>
    </row>
    <row r="9" spans="1:11" x14ac:dyDescent="0.35">
      <c r="A9" s="66" t="s">
        <v>165</v>
      </c>
      <c r="B9" s="66" t="s">
        <v>184</v>
      </c>
      <c r="C9" s="103" t="s">
        <v>182</v>
      </c>
      <c r="D9" s="103"/>
      <c r="E9" s="103"/>
      <c r="F9" s="103"/>
      <c r="G9" s="103"/>
    </row>
    <row r="10" spans="1:11" x14ac:dyDescent="0.35">
      <c r="A10" s="66" t="s">
        <v>166</v>
      </c>
      <c r="B10" s="66" t="s">
        <v>184</v>
      </c>
      <c r="C10" s="103" t="s">
        <v>180</v>
      </c>
      <c r="D10" s="103"/>
      <c r="E10" s="103"/>
      <c r="F10" s="103"/>
      <c r="G10" s="103"/>
    </row>
    <row r="11" spans="1:11" x14ac:dyDescent="0.35">
      <c r="A11" s="66"/>
      <c r="B11" s="66"/>
      <c r="C11" s="103"/>
      <c r="D11" s="103"/>
      <c r="E11" s="103"/>
      <c r="F11" s="103"/>
      <c r="G11" s="10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20.117643553511979</v>
      </c>
      <c r="E27" s="14">
        <f t="shared" ref="E27:L27" si="2">IF(E$25&lt;&gt;"",D89,"")</f>
        <v>19.204495019067537</v>
      </c>
      <c r="F27" s="14">
        <f t="shared" si="2"/>
        <v>18.358018351336455</v>
      </c>
      <c r="G27" s="14">
        <f t="shared" si="2"/>
        <v>17.582444867390837</v>
      </c>
      <c r="H27" s="14">
        <f t="shared" si="2"/>
        <v>16.830213058945226</v>
      </c>
      <c r="I27" s="14">
        <f t="shared" si="2"/>
        <v>16.058466871865658</v>
      </c>
      <c r="J27" s="14">
        <f t="shared" si="2"/>
        <v>17.354661447421812</v>
      </c>
      <c r="K27" s="14">
        <f t="shared" si="2"/>
        <v>18.609850197476796</v>
      </c>
      <c r="L27" s="14">
        <f t="shared" si="2"/>
        <v>19.762702898839898</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9.8829965026836284</v>
      </c>
      <c r="F28" s="14">
        <f t="shared" si="3"/>
        <v>9.3505351032260542</v>
      </c>
      <c r="G28" s="14">
        <f t="shared" si="3"/>
        <v>8.8366866013245442</v>
      </c>
      <c r="H28" s="14">
        <f t="shared" si="3"/>
        <v>8.340922317583896</v>
      </c>
      <c r="I28" s="14">
        <f t="shared" si="3"/>
        <v>7.8638282205688048</v>
      </c>
      <c r="J28" s="14">
        <f t="shared" si="3"/>
        <v>9.403592011244001</v>
      </c>
      <c r="K28" s="14">
        <f t="shared" si="3"/>
        <v>10.875853247459819</v>
      </c>
      <c r="L28" s="14">
        <f t="shared" si="3"/>
        <v>12.287183355972239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9.2911542201348674</v>
      </c>
      <c r="F29" s="14">
        <f t="shared" si="6"/>
        <v>9.0074832481104004</v>
      </c>
      <c r="G29" s="14">
        <f t="shared" si="6"/>
        <v>8.7302027105107385</v>
      </c>
      <c r="H29" s="14">
        <f t="shared" si="6"/>
        <v>8.4589907311455086</v>
      </c>
      <c r="I29" s="14">
        <f t="shared" si="6"/>
        <v>8.1946386512968523</v>
      </c>
      <c r="J29" s="14">
        <f t="shared" si="6"/>
        <v>7.9355138806222554</v>
      </c>
      <c r="K29" s="14">
        <f t="shared" si="6"/>
        <v>7.7037009343720735</v>
      </c>
      <c r="L29" s="14">
        <f t="shared" si="6"/>
        <v>7.4755195428676595</v>
      </c>
      <c r="N29" t="s">
        <v>223</v>
      </c>
    </row>
    <row r="30" spans="1:14" x14ac:dyDescent="0.35">
      <c r="A30" t="str">
        <f t="shared" si="4"/>
        <v xml:space="preserve">    Mexico Balance</v>
      </c>
      <c r="B30" s="5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xml:space="preserve">    Colorado River Delta Balance</v>
      </c>
      <c r="B32" s="56">
        <v>0</v>
      </c>
      <c r="C32" s="14">
        <f t="shared" si="5"/>
        <v>0</v>
      </c>
      <c r="D32" s="14">
        <f t="shared" si="6"/>
        <v>1.5555555555555553E-2</v>
      </c>
      <c r="E32" s="14">
        <f t="shared" si="6"/>
        <v>3.034429624904076E-2</v>
      </c>
      <c r="F32" s="14">
        <f t="shared" si="6"/>
        <v>0</v>
      </c>
      <c r="G32" s="14">
        <f t="shared" si="6"/>
        <v>1.5555555555555553E-2</v>
      </c>
      <c r="H32" s="14">
        <f t="shared" si="6"/>
        <v>3.0300010215819753E-2</v>
      </c>
      <c r="I32" s="14">
        <f t="shared" si="6"/>
        <v>0</v>
      </c>
      <c r="J32" s="14">
        <f t="shared" si="6"/>
        <v>1.5555555555555553E-2</v>
      </c>
      <c r="K32" s="14">
        <f t="shared" si="6"/>
        <v>3.0296015644904608E-2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10.058821776755989</v>
      </c>
      <c r="E35" s="14">
        <f t="shared" si="7"/>
        <v>9.6022475095337683</v>
      </c>
      <c r="F35" s="14">
        <f t="shared" si="7"/>
        <v>9.1790091756682273</v>
      </c>
      <c r="G35" s="14">
        <f t="shared" si="7"/>
        <v>8.7912224336954186</v>
      </c>
      <c r="H35" s="14">
        <f t="shared" si="7"/>
        <v>8.4151065294726131</v>
      </c>
      <c r="I35" s="14">
        <f t="shared" si="7"/>
        <v>8.029233435932829</v>
      </c>
      <c r="J35" s="14">
        <f t="shared" si="7"/>
        <v>8.6773307237109059</v>
      </c>
      <c r="K35" s="14">
        <f t="shared" si="7"/>
        <v>9.3049250987383978</v>
      </c>
      <c r="L35" s="14">
        <f t="shared" si="7"/>
        <v>9.8813514494199488</v>
      </c>
    </row>
    <row r="36" spans="1:12" x14ac:dyDescent="0.35">
      <c r="A36" t="s">
        <v>116</v>
      </c>
      <c r="B36" s="35">
        <f>1-B35</f>
        <v>0.5</v>
      </c>
      <c r="C36" s="14">
        <f>IF(C$25&lt;&gt;"",C22,"")</f>
        <v>10.1</v>
      </c>
      <c r="D36" s="14">
        <f t="shared" si="7"/>
        <v>10.058821776755989</v>
      </c>
      <c r="E36" s="14">
        <f t="shared" si="7"/>
        <v>9.6022475095337683</v>
      </c>
      <c r="F36" s="14">
        <f t="shared" si="7"/>
        <v>9.1790091756682273</v>
      </c>
      <c r="G36" s="14">
        <f t="shared" si="7"/>
        <v>8.7912224336954186</v>
      </c>
      <c r="H36" s="14">
        <f t="shared" si="7"/>
        <v>8.4151065294726131</v>
      </c>
      <c r="I36" s="14">
        <f t="shared" si="7"/>
        <v>8.029233435932829</v>
      </c>
      <c r="J36" s="14">
        <f t="shared" si="7"/>
        <v>8.6773307237109059</v>
      </c>
      <c r="K36" s="14">
        <f t="shared" si="7"/>
        <v>9.3049250987383978</v>
      </c>
      <c r="L36" s="14">
        <f t="shared" si="7"/>
        <v>9.8813514494199488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0.99170409000000004</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0.98111087099942695</v>
      </c>
    </row>
    <row r="38" spans="1:12" x14ac:dyDescent="0.35">
      <c r="A38" t="str">
        <f>IF(A6="","","    "&amp;A6&amp;" Share")</f>
        <v xml:space="preserve">    Upper Basin Share</v>
      </c>
      <c r="B38" s="1"/>
      <c r="C38" s="14">
        <f>IF(OR(C$25="",$A38=""),"",C$37*C28/C$27)</f>
        <v>0.5327428663506969</v>
      </c>
      <c r="D38" s="14">
        <f t="shared" ref="D38:L38" si="8">IF(OR(D$25="",$A38=""),"",D$37*D28/D$27)</f>
        <v>0.51426063096567887</v>
      </c>
      <c r="E38" s="14">
        <f t="shared" si="8"/>
        <v>0.49746139945757445</v>
      </c>
      <c r="F38" s="14">
        <f t="shared" si="8"/>
        <v>0.47884850190151118</v>
      </c>
      <c r="G38" s="14">
        <f t="shared" si="8"/>
        <v>0.46076428374065043</v>
      </c>
      <c r="H38" s="14">
        <f t="shared" si="8"/>
        <v>0.44209409701509211</v>
      </c>
      <c r="I38" s="14">
        <f t="shared" si="8"/>
        <v>0.42523620932480216</v>
      </c>
      <c r="J38" s="14">
        <f t="shared" si="8"/>
        <v>0.49273876378418424</v>
      </c>
      <c r="K38" s="14">
        <f t="shared" si="8"/>
        <v>0.55366989148758416</v>
      </c>
      <c r="L38" s="14">
        <f t="shared" si="8"/>
        <v>0.60999192399007518</v>
      </c>
    </row>
    <row r="39" spans="1:12" x14ac:dyDescent="0.35">
      <c r="A39" t="str">
        <f t="shared" ref="A39:A43" si="9">IF(A7="","","    "&amp;A7&amp;" Share")</f>
        <v xml:space="preserve">    Lower Basin Share</v>
      </c>
      <c r="B39" s="1"/>
      <c r="C39" s="14">
        <f t="shared" ref="C39:L43" si="10">IF(OR(C$25="",$A39=""),"",C$37*C29/C$27)</f>
        <v>0.48716913569287823</v>
      </c>
      <c r="D39" s="14">
        <f t="shared" si="10"/>
        <v>0.47667664417225086</v>
      </c>
      <c r="E39" s="14">
        <f t="shared" si="10"/>
        <v>0.46767097202446489</v>
      </c>
      <c r="F39" s="14">
        <f t="shared" si="10"/>
        <v>0.46128053759966181</v>
      </c>
      <c r="G39" s="14">
        <f t="shared" si="10"/>
        <v>0.45521197936523133</v>
      </c>
      <c r="H39" s="14">
        <f t="shared" si="10"/>
        <v>0.44835207984865549</v>
      </c>
      <c r="I39" s="14">
        <f t="shared" si="10"/>
        <v>0.44312477067459788</v>
      </c>
      <c r="J39" s="14">
        <f t="shared" si="10"/>
        <v>0.41581294625018228</v>
      </c>
      <c r="K39" s="14">
        <f t="shared" si="10"/>
        <v>0.3921813915044135</v>
      </c>
      <c r="L39" s="14">
        <f t="shared" si="10"/>
        <v>0.37111894700935177</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7.6681486207034566E-4</v>
      </c>
      <c r="E42" s="14">
        <f t="shared" si="10"/>
        <v>1.5273825173877291E-3</v>
      </c>
      <c r="F42" s="14">
        <f t="shared" si="10"/>
        <v>0</v>
      </c>
      <c r="G42" s="14">
        <f t="shared" si="10"/>
        <v>8.1110089529135389E-4</v>
      </c>
      <c r="H42" s="14">
        <f t="shared" si="10"/>
        <v>1.6059921368253606E-3</v>
      </c>
      <c r="I42" s="14">
        <f t="shared" si="10"/>
        <v>0</v>
      </c>
      <c r="J42" s="14">
        <f t="shared" si="10"/>
        <v>8.1509546620649946E-4</v>
      </c>
      <c r="K42" s="14">
        <f t="shared" si="10"/>
        <v>1.5423150085753729E-3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77">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14.082996502683628</v>
      </c>
      <c r="E69" s="14">
        <f t="shared" si="26"/>
        <v>13.550535103226055</v>
      </c>
      <c r="F69" s="14">
        <f t="shared" si="26"/>
        <v>13.036686601324543</v>
      </c>
      <c r="G69" s="14">
        <f t="shared" si="26"/>
        <v>12.540922317583895</v>
      </c>
      <c r="H69" s="14">
        <f t="shared" si="26"/>
        <v>12.063828220568805</v>
      </c>
      <c r="I69" s="14">
        <f t="shared" si="26"/>
        <v>13.603592011244002</v>
      </c>
      <c r="J69" s="14">
        <f t="shared" si="26"/>
        <v>15.075853247459818</v>
      </c>
      <c r="K69" s="14">
        <f t="shared" si="26"/>
        <v>16.487183355972238</v>
      </c>
      <c r="L69" s="14">
        <f t="shared" si="26"/>
        <v>17.842191431982162</v>
      </c>
    </row>
    <row r="70" spans="1:21" x14ac:dyDescent="0.35">
      <c r="A70" t="str">
        <f t="shared" ref="A70:A74" si="27">IF(A7="","","    "&amp;A7)</f>
        <v xml:space="preserve">    Lower Basin</v>
      </c>
      <c r="C70" s="14">
        <f t="shared" ref="C70:L74" si="28">IF(OR(C$25="",$A70=""),"",C29+C47+C54-C39-C61)</f>
        <v>16.53683086430712</v>
      </c>
      <c r="D70" s="14">
        <f t="shared" si="28"/>
        <v>16.158154220134868</v>
      </c>
      <c r="E70" s="14">
        <f t="shared" si="28"/>
        <v>15.790483248110402</v>
      </c>
      <c r="F70" s="14">
        <f t="shared" si="28"/>
        <v>15.51320271051074</v>
      </c>
      <c r="G70" s="14">
        <f t="shared" si="28"/>
        <v>15.241990731145508</v>
      </c>
      <c r="H70" s="14">
        <f t="shared" si="28"/>
        <v>14.977638651296854</v>
      </c>
      <c r="I70" s="14">
        <f t="shared" si="28"/>
        <v>14.718513880622256</v>
      </c>
      <c r="J70" s="14">
        <f t="shared" si="28"/>
        <v>14.486700934372074</v>
      </c>
      <c r="K70" s="14">
        <f t="shared" si="28"/>
        <v>14.25851954286766</v>
      </c>
      <c r="L70" s="14">
        <f t="shared" si="28"/>
        <v>14.092400595858306</v>
      </c>
    </row>
    <row r="71" spans="1:21" x14ac:dyDescent="0.35">
      <c r="A71" t="str">
        <f t="shared" si="27"/>
        <v xml:space="preserve">    Mexico</v>
      </c>
      <c r="C71" s="60">
        <f t="shared" si="28"/>
        <v>1.5090143220436021</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3.034429624904076E-2</v>
      </c>
      <c r="E73" s="60">
        <f t="shared" si="28"/>
        <v>6.0372469287208581E-2</v>
      </c>
      <c r="F73" s="60">
        <f t="shared" si="28"/>
        <v>1.5555555555555553E-2</v>
      </c>
      <c r="G73" s="60">
        <f t="shared" si="28"/>
        <v>3.0300010215819753E-2</v>
      </c>
      <c r="H73" s="60">
        <f t="shared" si="28"/>
        <v>6.0249573634549941E-2</v>
      </c>
      <c r="I73" s="60">
        <f t="shared" si="28"/>
        <v>1.5555555555555553E-2</v>
      </c>
      <c r="J73" s="60">
        <f t="shared" si="28"/>
        <v>3.0296015644904608E-2</v>
      </c>
      <c r="K73" s="60">
        <f t="shared" si="28"/>
        <v>8.0309256191884781E-2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6.0372469287208581E-2</v>
      </c>
      <c r="F80" s="50"/>
      <c r="G80" s="50"/>
      <c r="H80" s="50">
        <f>H73</f>
        <v>6.0249573634549941E-2</v>
      </c>
      <c r="I80" s="50"/>
      <c r="J80" s="50"/>
      <c r="K80" s="50">
        <f>K73</f>
        <v>8.0309256191884781E-2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9.8829965026836284</v>
      </c>
      <c r="E83" s="14">
        <f t="shared" si="35"/>
        <v>9.3505351032260542</v>
      </c>
      <c r="F83" s="14">
        <f t="shared" si="35"/>
        <v>8.8366866013245442</v>
      </c>
      <c r="G83" s="14">
        <f t="shared" si="35"/>
        <v>8.340922317583896</v>
      </c>
      <c r="H83" s="14">
        <f t="shared" si="35"/>
        <v>7.8638282205688048</v>
      </c>
      <c r="I83" s="14">
        <f t="shared" si="35"/>
        <v>9.403592011244001</v>
      </c>
      <c r="J83" s="14">
        <f t="shared" si="35"/>
        <v>10.875853247459819</v>
      </c>
      <c r="K83" s="14">
        <f t="shared" si="35"/>
        <v>12.287183355972239</v>
      </c>
      <c r="L83" s="14">
        <f t="shared" si="35"/>
        <v>13.642191431982162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9.2911542201348674</v>
      </c>
      <c r="E84" s="14">
        <f t="shared" si="37"/>
        <v>9.0074832481104004</v>
      </c>
      <c r="F84" s="14">
        <f t="shared" si="37"/>
        <v>8.7302027105107385</v>
      </c>
      <c r="G84" s="14">
        <f t="shared" si="37"/>
        <v>8.4589907311455086</v>
      </c>
      <c r="H84" s="14">
        <f t="shared" si="37"/>
        <v>8.1946386512968523</v>
      </c>
      <c r="I84" s="14">
        <f t="shared" si="37"/>
        <v>7.9355138806222554</v>
      </c>
      <c r="J84" s="14">
        <f t="shared" si="37"/>
        <v>7.7037009343720735</v>
      </c>
      <c r="K84" s="14">
        <f t="shared" si="37"/>
        <v>7.4755195428676595</v>
      </c>
      <c r="L84" s="14">
        <f t="shared" si="37"/>
        <v>7.5594005958583059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3.034429624904076E-2</v>
      </c>
      <c r="E87" s="59">
        <f t="shared" si="37"/>
        <v>0</v>
      </c>
      <c r="F87" s="59">
        <f t="shared" si="37"/>
        <v>1.5555555555555553E-2</v>
      </c>
      <c r="G87" s="59">
        <f t="shared" si="37"/>
        <v>3.0300010215819753E-2</v>
      </c>
      <c r="H87" s="59">
        <f t="shared" si="37"/>
        <v>0</v>
      </c>
      <c r="I87" s="59">
        <f t="shared" si="37"/>
        <v>1.5555555555555553E-2</v>
      </c>
      <c r="J87" s="59">
        <f t="shared" si="37"/>
        <v>3.0296015644904608E-2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20.117643553511979</v>
      </c>
      <c r="D89" s="14">
        <f t="shared" ref="D89:L89" si="38">IF(D$25&lt;&gt;"",SUM(D83:D88),"")</f>
        <v>19.204495019067537</v>
      </c>
      <c r="E89" s="14">
        <f t="shared" si="38"/>
        <v>18.358018351336455</v>
      </c>
      <c r="F89" s="14">
        <f t="shared" si="38"/>
        <v>17.582444867390837</v>
      </c>
      <c r="G89" s="14">
        <f t="shared" si="38"/>
        <v>16.830213058945226</v>
      </c>
      <c r="H89" s="14">
        <f t="shared" si="38"/>
        <v>16.058466871865658</v>
      </c>
      <c r="I89" s="14">
        <f t="shared" si="38"/>
        <v>17.354661447421812</v>
      </c>
      <c r="J89" s="14">
        <f t="shared" si="38"/>
        <v>18.609850197476796</v>
      </c>
      <c r="K89" s="14">
        <f t="shared" si="38"/>
        <v>19.762702898839898</v>
      </c>
      <c r="L89" s="14">
        <f t="shared" si="38"/>
        <v>21.217147583396024</v>
      </c>
    </row>
    <row r="90" spans="1:21" x14ac:dyDescent="0.35">
      <c r="A90" s="1" t="s">
        <v>147</v>
      </c>
      <c r="B90" s="1"/>
      <c r="C90" s="14">
        <f>IF(C25&lt;&gt;"",C35+C25-C38-C76-C89*$B$35,"")</f>
        <v>8.6084353568933114</v>
      </c>
      <c r="D90" s="14">
        <f t="shared" ref="D90:L90" si="39">IF(D25&lt;&gt;"",D35+D25-D38-D76-D89*$B$35,"")</f>
        <v>8.1423136362565423</v>
      </c>
      <c r="E90" s="14">
        <f t="shared" si="39"/>
        <v>8.1257769344079662</v>
      </c>
      <c r="F90" s="14">
        <f t="shared" si="39"/>
        <v>8.1089382400712982</v>
      </c>
      <c r="G90" s="14">
        <f t="shared" si="39"/>
        <v>8.115351620482155</v>
      </c>
      <c r="H90" s="14">
        <f t="shared" si="39"/>
        <v>8.1437789965246932</v>
      </c>
      <c r="I90" s="14">
        <f t="shared" si="39"/>
        <v>9.1266665028971232</v>
      </c>
      <c r="J90" s="14">
        <f t="shared" si="39"/>
        <v>9.0796668611883256</v>
      </c>
      <c r="K90" s="14">
        <f t="shared" si="39"/>
        <v>9.0699037578308683</v>
      </c>
      <c r="L90" s="14">
        <f t="shared" si="39"/>
        <v>8.8627857337318634</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305"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111"/>
      <c r="D5" s="111"/>
      <c r="E5" s="111"/>
      <c r="F5" s="111"/>
      <c r="G5" s="111"/>
      <c r="H5" s="111"/>
    </row>
    <row r="6" spans="1:11" x14ac:dyDescent="0.35">
      <c r="A6" s="16" t="s">
        <v>40</v>
      </c>
      <c r="B6" s="47"/>
      <c r="C6" s="111"/>
      <c r="D6" s="111"/>
      <c r="E6" s="111"/>
      <c r="F6" s="111"/>
      <c r="G6" s="111"/>
      <c r="H6" s="111"/>
    </row>
    <row r="7" spans="1:11" x14ac:dyDescent="0.35">
      <c r="A7" s="16" t="s">
        <v>41</v>
      </c>
      <c r="B7" s="47"/>
      <c r="C7" s="111"/>
      <c r="D7" s="111"/>
      <c r="E7" s="111"/>
      <c r="F7" s="111"/>
      <c r="G7" s="111"/>
      <c r="H7" s="111"/>
    </row>
    <row r="8" spans="1:11" x14ac:dyDescent="0.35">
      <c r="A8" s="16" t="s">
        <v>42</v>
      </c>
      <c r="B8" s="47"/>
      <c r="C8" s="111"/>
      <c r="D8" s="111"/>
      <c r="E8" s="111"/>
      <c r="F8" s="111"/>
      <c r="G8" s="111"/>
      <c r="H8" s="111"/>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ReadMe-Directions</vt:lpstr>
      <vt:lpstr>Versions</vt:lpstr>
      <vt:lpstr>11.0-TradeReserveUser</vt:lpstr>
      <vt:lpstr>Master</vt:lpstr>
      <vt:lpstr>11.0-Trade</vt:lpstr>
      <vt:lpstr>11.0-TradeReserve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2021-07-01T06:24:08Z</dcterms:modified>
</cp:coreProperties>
</file>