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B33CE8A7-D7D1-4BD3-8DCE-47FE87457AFE}"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Versions" sheetId="31" r:id="rId2"/>
    <sheet name="Master" sheetId="24" r:id="rId3"/>
    <sheet name="11.0-Trade" sheetId="27" r:id="rId4"/>
    <sheet name="11.0-TradeReserve" sheetId="30" r:id="rId5"/>
    <sheet name="11.0-LawOfRiver" sheetId="26" r:id="rId6"/>
    <sheet name="11.0-Plots" sheetId="19" r:id="rId7"/>
    <sheet name="MillenniumRecover-Trade" sheetId="29" r:id="rId8"/>
    <sheet name="MillenniumRecover-LawOfRiver" sheetId="25" r:id="rId9"/>
    <sheet name="Millennium-Plots" sheetId="28" r:id="rId10"/>
    <sheet name="MillenniumRecover-Delta" sheetId="21" r:id="rId11"/>
    <sheet name="HydrologicScenarios" sheetId="7" r:id="rId12"/>
    <sheet name="Powell-Elevation-Area" sheetId="2" r:id="rId13"/>
    <sheet name="Mead-Elevation-Area" sheetId="10" r:id="rId14"/>
    <sheet name="11.0-LawOfRiverShort" sheetId="16" r:id="rId1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29" i="21" l="1"/>
  <c r="B29" i="25"/>
  <c r="B29" i="29"/>
  <c r="B29" i="26"/>
  <c r="B31" i="30"/>
  <c r="B30" i="30"/>
  <c r="C24" i="30"/>
  <c r="B34" i="30" s="1"/>
  <c r="B24" i="30"/>
  <c r="B29" i="27"/>
  <c r="B30" i="24"/>
  <c r="B29" i="24" s="1"/>
  <c r="G79" i="30" l="1"/>
  <c r="B49" i="30"/>
  <c r="L95" i="30"/>
  <c r="K95" i="30"/>
  <c r="J95" i="30"/>
  <c r="I95" i="30"/>
  <c r="H95" i="30"/>
  <c r="L94" i="30"/>
  <c r="K94" i="30"/>
  <c r="J94" i="30"/>
  <c r="I94" i="30"/>
  <c r="H94" i="30"/>
  <c r="C94" i="30"/>
  <c r="L92" i="30"/>
  <c r="K92" i="30"/>
  <c r="J92" i="30"/>
  <c r="I92" i="30"/>
  <c r="H92" i="30"/>
  <c r="L91" i="30"/>
  <c r="K91" i="30"/>
  <c r="J91" i="30"/>
  <c r="I91" i="30"/>
  <c r="H91" i="30"/>
  <c r="A90" i="30"/>
  <c r="K90" i="30" s="1"/>
  <c r="H89" i="30"/>
  <c r="A89" i="30"/>
  <c r="L89" i="30" s="1"/>
  <c r="K88" i="30"/>
  <c r="A88" i="30"/>
  <c r="J88" i="30" s="1"/>
  <c r="S87" i="30"/>
  <c r="P87" i="30" s="1"/>
  <c r="H87" i="30"/>
  <c r="A87" i="30"/>
  <c r="L87" i="30" s="1"/>
  <c r="S86" i="30"/>
  <c r="P86" i="30"/>
  <c r="L86" i="30"/>
  <c r="H86" i="30"/>
  <c r="A86" i="30"/>
  <c r="K86" i="30" s="1"/>
  <c r="S85" i="30"/>
  <c r="P85" i="30"/>
  <c r="A85" i="30"/>
  <c r="I85" i="30" s="1"/>
  <c r="S84" i="30"/>
  <c r="P84" i="30" s="1"/>
  <c r="S83" i="30"/>
  <c r="P83" i="30" s="1"/>
  <c r="A83" i="30"/>
  <c r="S82" i="30"/>
  <c r="P82" i="30" s="1"/>
  <c r="A82" i="30"/>
  <c r="S81" i="30"/>
  <c r="P81" i="30"/>
  <c r="A81" i="30"/>
  <c r="S80" i="30"/>
  <c r="P80" i="30"/>
  <c r="A80" i="30"/>
  <c r="A79" i="30"/>
  <c r="A78" i="30"/>
  <c r="A76" i="30"/>
  <c r="I76" i="30" s="1"/>
  <c r="A75" i="30"/>
  <c r="K75" i="30" s="1"/>
  <c r="K82" i="30" s="1"/>
  <c r="K74" i="30"/>
  <c r="H74" i="30"/>
  <c r="A74" i="30"/>
  <c r="L74" i="30" s="1"/>
  <c r="K73" i="30"/>
  <c r="A73" i="30"/>
  <c r="J73" i="30" s="1"/>
  <c r="A72" i="30"/>
  <c r="J72" i="30" s="1"/>
  <c r="L71" i="30"/>
  <c r="K71" i="30"/>
  <c r="I71" i="30"/>
  <c r="H71" i="30"/>
  <c r="A71" i="30"/>
  <c r="J71" i="30" s="1"/>
  <c r="L68" i="30"/>
  <c r="K68" i="30"/>
  <c r="J68" i="30"/>
  <c r="I68" i="30"/>
  <c r="H68" i="30"/>
  <c r="M67" i="30"/>
  <c r="A67" i="30"/>
  <c r="M66" i="30"/>
  <c r="A66" i="30"/>
  <c r="M65" i="30"/>
  <c r="A65" i="30"/>
  <c r="M64" i="30"/>
  <c r="A64" i="30"/>
  <c r="E63" i="30"/>
  <c r="D63" i="30"/>
  <c r="M63" i="30" s="1"/>
  <c r="C63" i="30"/>
  <c r="C68" i="30" s="1"/>
  <c r="A63" i="30"/>
  <c r="M62" i="30"/>
  <c r="A62" i="30"/>
  <c r="K60" i="30"/>
  <c r="A60" i="30"/>
  <c r="J60" i="30" s="1"/>
  <c r="A59" i="30"/>
  <c r="L59" i="30" s="1"/>
  <c r="L58" i="30"/>
  <c r="I58" i="30"/>
  <c r="A58" i="30"/>
  <c r="J58" i="30" s="1"/>
  <c r="A57" i="30"/>
  <c r="K57" i="30" s="1"/>
  <c r="A56" i="30"/>
  <c r="L55" i="30"/>
  <c r="K55" i="30"/>
  <c r="I55" i="30"/>
  <c r="H55" i="30"/>
  <c r="C55" i="30"/>
  <c r="A55" i="30"/>
  <c r="J55" i="30" s="1"/>
  <c r="L53" i="30"/>
  <c r="H53" i="30"/>
  <c r="A53" i="30"/>
  <c r="K53" i="30" s="1"/>
  <c r="A52" i="30"/>
  <c r="J52" i="30" s="1"/>
  <c r="A51" i="30"/>
  <c r="L51" i="30" s="1"/>
  <c r="A50" i="30"/>
  <c r="A49" i="30"/>
  <c r="K49" i="30" s="1"/>
  <c r="L48" i="30"/>
  <c r="K48" i="30"/>
  <c r="J48" i="30"/>
  <c r="I48" i="30"/>
  <c r="H48" i="30"/>
  <c r="A48" i="30"/>
  <c r="L46" i="30"/>
  <c r="K46" i="30"/>
  <c r="J46" i="30"/>
  <c r="I46" i="30"/>
  <c r="H46" i="30"/>
  <c r="A45" i="30"/>
  <c r="L45" i="30" s="1"/>
  <c r="A44" i="30"/>
  <c r="J44" i="30" s="1"/>
  <c r="L43" i="30"/>
  <c r="H43" i="30"/>
  <c r="A43" i="30"/>
  <c r="K42" i="30"/>
  <c r="H42" i="30"/>
  <c r="A42" i="30"/>
  <c r="J42" i="30" s="1"/>
  <c r="K41" i="30"/>
  <c r="A41" i="30"/>
  <c r="K40" i="30"/>
  <c r="J40" i="30"/>
  <c r="A40" i="30"/>
  <c r="L39" i="30"/>
  <c r="K39" i="30"/>
  <c r="J39" i="30"/>
  <c r="I39" i="30"/>
  <c r="H39" i="30"/>
  <c r="H38" i="30"/>
  <c r="C38" i="30"/>
  <c r="B38" i="30"/>
  <c r="L37" i="30"/>
  <c r="K37" i="30"/>
  <c r="J37" i="30"/>
  <c r="I37" i="30"/>
  <c r="H37" i="30"/>
  <c r="C37" i="30"/>
  <c r="A35" i="30"/>
  <c r="J35" i="30" s="1"/>
  <c r="A34" i="30"/>
  <c r="K34" i="30" s="1"/>
  <c r="A33" i="30"/>
  <c r="K33" i="30" s="1"/>
  <c r="H32" i="30"/>
  <c r="A32" i="30"/>
  <c r="K32" i="30" s="1"/>
  <c r="K31" i="30"/>
  <c r="A31" i="30"/>
  <c r="J31" i="30" s="1"/>
  <c r="L30" i="30"/>
  <c r="K30" i="30"/>
  <c r="H30" i="30"/>
  <c r="C30" i="30"/>
  <c r="B29" i="30"/>
  <c r="A30" i="30"/>
  <c r="J30" i="30" s="1"/>
  <c r="L29" i="30"/>
  <c r="K29" i="30"/>
  <c r="J29" i="30"/>
  <c r="I29" i="30"/>
  <c r="H29" i="30"/>
  <c r="C29" i="30"/>
  <c r="L28" i="30"/>
  <c r="L38" i="30" s="1"/>
  <c r="K28" i="30"/>
  <c r="K38" i="30" s="1"/>
  <c r="J28" i="30"/>
  <c r="J38" i="30" s="1"/>
  <c r="I28" i="30"/>
  <c r="I38" i="30" s="1"/>
  <c r="H28" i="30"/>
  <c r="D28" i="30"/>
  <c r="C28" i="30"/>
  <c r="D27" i="30"/>
  <c r="C35" i="30" l="1"/>
  <c r="I53" i="30"/>
  <c r="K58" i="30"/>
  <c r="L60" i="30"/>
  <c r="I32" i="30"/>
  <c r="I35" i="30"/>
  <c r="I42" i="30"/>
  <c r="C45" i="30"/>
  <c r="H57" i="30"/>
  <c r="H72" i="30"/>
  <c r="K89" i="30"/>
  <c r="H35" i="30"/>
  <c r="L32" i="30"/>
  <c r="K35" i="30"/>
  <c r="J45" i="30"/>
  <c r="J57" i="30"/>
  <c r="I72" i="30"/>
  <c r="L35" i="30"/>
  <c r="L42" i="30"/>
  <c r="I52" i="30"/>
  <c r="L57" i="30"/>
  <c r="C60" i="30"/>
  <c r="K72" i="30"/>
  <c r="K87" i="30"/>
  <c r="H90" i="30"/>
  <c r="I33" i="30"/>
  <c r="K52" i="30"/>
  <c r="H60" i="30"/>
  <c r="L72" i="30"/>
  <c r="L90" i="30"/>
  <c r="C58" i="30"/>
  <c r="I60" i="30"/>
  <c r="L75" i="30"/>
  <c r="H34" i="30"/>
  <c r="H59" i="30"/>
  <c r="I59" i="30"/>
  <c r="L52" i="30"/>
  <c r="H75" i="30"/>
  <c r="H82" i="30" s="1"/>
  <c r="I56" i="30"/>
  <c r="L56" i="30"/>
  <c r="K56" i="30"/>
  <c r="D90" i="30"/>
  <c r="D60" i="30"/>
  <c r="D55" i="30"/>
  <c r="D94" i="30"/>
  <c r="E27" i="30"/>
  <c r="D58" i="30"/>
  <c r="D76" i="30"/>
  <c r="D68" i="30"/>
  <c r="J34" i="30"/>
  <c r="D45" i="30"/>
  <c r="D51" i="30"/>
  <c r="H31" i="30"/>
  <c r="J33" i="30"/>
  <c r="I41" i="30"/>
  <c r="L41" i="30"/>
  <c r="K43" i="30"/>
  <c r="I49" i="30"/>
  <c r="D59" i="30"/>
  <c r="I31" i="30"/>
  <c r="L40" i="30"/>
  <c r="H40" i="30"/>
  <c r="J51" i="30"/>
  <c r="J56" i="30"/>
  <c r="C39" i="30"/>
  <c r="L31" i="30"/>
  <c r="I34" i="30"/>
  <c r="L34" i="30"/>
  <c r="H50" i="30"/>
  <c r="L50" i="30"/>
  <c r="K50" i="30"/>
  <c r="J50" i="30"/>
  <c r="D53" i="30"/>
  <c r="L33" i="30"/>
  <c r="H33" i="30"/>
  <c r="C34" i="30"/>
  <c r="D35" i="30"/>
  <c r="I44" i="30"/>
  <c r="L49" i="30"/>
  <c r="J49" i="30"/>
  <c r="H49" i="30"/>
  <c r="C33" i="30"/>
  <c r="H41" i="30"/>
  <c r="I43" i="30"/>
  <c r="C31" i="30"/>
  <c r="I40" i="30"/>
  <c r="J41" i="30"/>
  <c r="J43" i="30"/>
  <c r="K45" i="30"/>
  <c r="I45" i="30"/>
  <c r="H45" i="30"/>
  <c r="I50" i="30"/>
  <c r="K51" i="30"/>
  <c r="C51" i="30"/>
  <c r="I51" i="30"/>
  <c r="H51" i="30"/>
  <c r="H44" i="30"/>
  <c r="L44" i="30"/>
  <c r="K44" i="30"/>
  <c r="H56" i="30"/>
  <c r="J76" i="30"/>
  <c r="J85" i="30"/>
  <c r="L73" i="30"/>
  <c r="I74" i="30"/>
  <c r="C76" i="30"/>
  <c r="K76" i="30"/>
  <c r="K85" i="30"/>
  <c r="I87" i="30"/>
  <c r="L88" i="30"/>
  <c r="I89" i="30"/>
  <c r="J74" i="30"/>
  <c r="L76" i="30"/>
  <c r="L85" i="30"/>
  <c r="J87" i="30"/>
  <c r="J89" i="30"/>
  <c r="I30" i="30"/>
  <c r="J32" i="30"/>
  <c r="J53" i="30"/>
  <c r="J59" i="30"/>
  <c r="C32" i="30"/>
  <c r="C53" i="30"/>
  <c r="I57" i="30"/>
  <c r="C59" i="30"/>
  <c r="K59" i="30"/>
  <c r="I75" i="30"/>
  <c r="I86" i="30"/>
  <c r="I90" i="30"/>
  <c r="H52" i="30"/>
  <c r="H58" i="30"/>
  <c r="E59" i="30"/>
  <c r="H73" i="30"/>
  <c r="J75" i="30"/>
  <c r="J86" i="30"/>
  <c r="H88" i="30"/>
  <c r="J90" i="30"/>
  <c r="I73" i="30"/>
  <c r="H76" i="30"/>
  <c r="H85" i="30"/>
  <c r="I88" i="30"/>
  <c r="C90" i="30"/>
  <c r="P78" i="24"/>
  <c r="C44" i="30" l="1"/>
  <c r="C52" i="30" s="1"/>
  <c r="C75" i="30" s="1"/>
  <c r="C89" i="30" s="1"/>
  <c r="D34" i="30" s="1"/>
  <c r="C40" i="30"/>
  <c r="C42" i="30"/>
  <c r="C46" i="30"/>
  <c r="B50" i="30" s="1"/>
  <c r="C95" i="30"/>
  <c r="C43" i="30"/>
  <c r="C74" i="30" s="1"/>
  <c r="C88" i="30" s="1"/>
  <c r="D33" i="30" s="1"/>
  <c r="C41" i="30"/>
  <c r="E51" i="30"/>
  <c r="E45" i="30"/>
  <c r="E28" i="30"/>
  <c r="E94" i="30"/>
  <c r="E53" i="30"/>
  <c r="E76" i="30"/>
  <c r="F27" i="30"/>
  <c r="E68" i="30"/>
  <c r="E90" i="30"/>
  <c r="E60" i="30"/>
  <c r="E35" i="30"/>
  <c r="B55" i="24"/>
  <c r="C50" i="30" l="1"/>
  <c r="C49" i="30" s="1"/>
  <c r="C48" i="30" s="1"/>
  <c r="B57" i="30"/>
  <c r="C57" i="30"/>
  <c r="C56" i="30" s="1"/>
  <c r="E58" i="30"/>
  <c r="E55" i="30"/>
  <c r="F94" i="30"/>
  <c r="F35" i="30"/>
  <c r="F76" i="30"/>
  <c r="F60" i="30"/>
  <c r="F68" i="30"/>
  <c r="F90" i="30"/>
  <c r="F28" i="30"/>
  <c r="F55" i="30" s="1"/>
  <c r="F53" i="30"/>
  <c r="F59" i="30"/>
  <c r="F51" i="30"/>
  <c r="F45" i="30"/>
  <c r="G27"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C39" i="29" l="1"/>
  <c r="F58" i="30"/>
  <c r="G53" i="30"/>
  <c r="G76" i="30"/>
  <c r="G68" i="30"/>
  <c r="G60" i="30"/>
  <c r="G55" i="30"/>
  <c r="G51" i="30"/>
  <c r="G90" i="30"/>
  <c r="G94" i="30"/>
  <c r="G35" i="30"/>
  <c r="G28" i="30"/>
  <c r="G58" i="30"/>
  <c r="G45" i="30"/>
  <c r="G59" i="30"/>
  <c r="C73"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C29" i="27"/>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A29" i="24"/>
  <c r="C29" i="24" s="1"/>
  <c r="B28" i="24"/>
  <c r="B27" i="24" s="1"/>
  <c r="A28" i="24"/>
  <c r="C27" i="24"/>
  <c r="I26" i="24"/>
  <c r="C26" i="24"/>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C80" i="30" l="1"/>
  <c r="C87" i="30" s="1"/>
  <c r="D32" i="30" s="1"/>
  <c r="C71" i="30"/>
  <c r="C85" i="30" s="1"/>
  <c r="C72" i="30"/>
  <c r="C86" i="30" s="1"/>
  <c r="D31"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B48" i="24" s="1"/>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E46" i="29" l="1"/>
  <c r="D95" i="30"/>
  <c r="D46" i="30"/>
  <c r="D57" i="30" s="1"/>
  <c r="D56" i="30" s="1"/>
  <c r="C91" i="30"/>
  <c r="D30"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66" i="21"/>
  <c r="H33" i="21"/>
  <c r="H74" i="21"/>
  <c r="H58" i="21"/>
  <c r="H43" i="21"/>
  <c r="H51" i="21"/>
  <c r="C39" i="21"/>
  <c r="C38" i="21"/>
  <c r="C40" i="21"/>
  <c r="C42" i="21"/>
  <c r="C73" i="21"/>
  <c r="C87" i="21" s="1"/>
  <c r="D32" i="21" s="1"/>
  <c r="C77" i="21"/>
  <c r="C93" i="21" s="1"/>
  <c r="C44" i="21"/>
  <c r="D29" i="30" l="1"/>
  <c r="C92" i="30"/>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8" i="26"/>
  <c r="F46" i="26" s="1"/>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88" i="21"/>
  <c r="I43" i="21"/>
  <c r="I49" i="21"/>
  <c r="I58" i="21"/>
  <c r="H53" i="21"/>
  <c r="C55" i="21"/>
  <c r="C54" i="21" s="1"/>
  <c r="B48" i="21"/>
  <c r="I48" i="21" s="1"/>
  <c r="B55" i="21"/>
  <c r="F48" i="21" l="1"/>
  <c r="G48" i="21"/>
  <c r="F47" i="21"/>
  <c r="F46" i="21" s="1"/>
  <c r="G47" i="21"/>
  <c r="G46" i="21" s="1"/>
  <c r="H47" i="21"/>
  <c r="H48" i="21"/>
  <c r="G46" i="29"/>
  <c r="D38" i="30"/>
  <c r="D37"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s="1"/>
  <c r="D30" i="27" s="1"/>
  <c r="D46" i="26"/>
  <c r="E46" i="26"/>
  <c r="G53" i="26"/>
  <c r="C46" i="26"/>
  <c r="C69" i="26" s="1"/>
  <c r="C70" i="26"/>
  <c r="C84" i="26" s="1"/>
  <c r="D29" i="26" s="1"/>
  <c r="D77" i="26" s="1"/>
  <c r="C78" i="26"/>
  <c r="C85" i="26" s="1"/>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H46" i="21" l="1"/>
  <c r="D46" i="21"/>
  <c r="C85" i="21"/>
  <c r="D30" i="21" s="1"/>
  <c r="C78" i="21"/>
  <c r="I46" i="25"/>
  <c r="D39" i="30"/>
  <c r="D44"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s="1"/>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51" i="21"/>
  <c r="K56" i="21"/>
  <c r="K88" i="21"/>
  <c r="C46" i="21"/>
  <c r="C69" i="21" s="1"/>
  <c r="C70" i="21"/>
  <c r="C84" i="21" s="1"/>
  <c r="D29" i="21" s="1"/>
  <c r="K46" i="21" l="1"/>
  <c r="D52" i="30"/>
  <c r="D41" i="30"/>
  <c r="D40" i="30"/>
  <c r="D42" i="30"/>
  <c r="D43" i="30"/>
  <c r="D74" i="30" s="1"/>
  <c r="D88" i="30" s="1"/>
  <c r="E33" i="30" s="1"/>
  <c r="D35" i="29"/>
  <c r="D36" i="29"/>
  <c r="C89" i="27"/>
  <c r="D27" i="27" s="1"/>
  <c r="D28"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C90" i="27" l="1"/>
  <c r="D75" i="30"/>
  <c r="D89" i="30" s="1"/>
  <c r="E34" i="30" s="1"/>
  <c r="D50" i="30"/>
  <c r="D49" i="30" s="1"/>
  <c r="D48" i="30" s="1"/>
  <c r="D71" i="30" s="1"/>
  <c r="D85" i="30" s="1"/>
  <c r="D37" i="29"/>
  <c r="D35" i="27"/>
  <c r="D36" i="27"/>
  <c r="D36" i="26"/>
  <c r="D35" i="26"/>
  <c r="C89" i="25"/>
  <c r="D27" i="25" s="1"/>
  <c r="D28" i="25"/>
  <c r="D35" i="24"/>
  <c r="D36" i="24"/>
  <c r="C90" i="24"/>
  <c r="L46" i="21"/>
  <c r="L53" i="21"/>
  <c r="D55" i="21"/>
  <c r="C83" i="21"/>
  <c r="D72" i="30" l="1"/>
  <c r="D86" i="30" s="1"/>
  <c r="E31" i="30" s="1"/>
  <c r="D73" i="30"/>
  <c r="D80" i="30" s="1"/>
  <c r="D87" i="30" s="1"/>
  <c r="E32" i="30" s="1"/>
  <c r="E30" i="30"/>
  <c r="D39" i="29"/>
  <c r="D70" i="29" s="1"/>
  <c r="D84" i="29" s="1"/>
  <c r="E29" i="29" s="1"/>
  <c r="D40" i="29"/>
  <c r="D71" i="29" s="1"/>
  <c r="D38" i="29"/>
  <c r="D41" i="29"/>
  <c r="D72" i="29" s="1"/>
  <c r="D86" i="29" s="1"/>
  <c r="E31" i="29" s="1"/>
  <c r="D37" i="27"/>
  <c r="D37" i="26"/>
  <c r="C90" i="25"/>
  <c r="D35" i="25"/>
  <c r="D36" i="25"/>
  <c r="D37" i="24"/>
  <c r="D54" i="21"/>
  <c r="C89" i="21"/>
  <c r="D28" i="21"/>
  <c r="D91" i="30" l="1"/>
  <c r="E29" i="30" s="1"/>
  <c r="E95" i="30"/>
  <c r="E46" i="30"/>
  <c r="E57" i="30" s="1"/>
  <c r="E56"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2" i="30" l="1"/>
  <c r="E37" i="30"/>
  <c r="E38"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9" i="30" l="1"/>
  <c r="E44"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2" i="30" l="1"/>
  <c r="E50" i="30" s="1"/>
  <c r="E41" i="30"/>
  <c r="E43" i="30"/>
  <c r="E74" i="30" s="1"/>
  <c r="E88" i="30" s="1"/>
  <c r="F33" i="30" s="1"/>
  <c r="E40" i="30"/>
  <c r="E42"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3" i="30" l="1"/>
  <c r="E80" i="30" s="1"/>
  <c r="E87" i="30" s="1"/>
  <c r="F32" i="30" s="1"/>
  <c r="E75" i="30"/>
  <c r="E89" i="30" s="1"/>
  <c r="F34" i="30" s="1"/>
  <c r="E49" i="30"/>
  <c r="E48" i="30" s="1"/>
  <c r="E71" i="30" s="1"/>
  <c r="E85" i="30" s="1"/>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2" i="30" l="1"/>
  <c r="E86" i="30" s="1"/>
  <c r="F31" i="30" s="1"/>
  <c r="F30" i="30"/>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91" i="30" l="1"/>
  <c r="E92" i="30" s="1"/>
  <c r="F46" i="30"/>
  <c r="F57" i="30" s="1"/>
  <c r="F56" i="30" s="1"/>
  <c r="F95"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9" i="30" l="1"/>
  <c r="F38"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7" i="30" l="1"/>
  <c r="F39" i="30" s="1"/>
  <c r="F44"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2" i="30" l="1"/>
  <c r="F50" i="30" s="1"/>
  <c r="F42" i="30"/>
  <c r="F43" i="30"/>
  <c r="F74" i="30" s="1"/>
  <c r="F88" i="30" s="1"/>
  <c r="G33" i="30" s="1"/>
  <c r="F41" i="30"/>
  <c r="F40" i="30"/>
  <c r="E89" i="29"/>
  <c r="F28" i="29"/>
  <c r="E89" i="27"/>
  <c r="F27" i="27" s="1"/>
  <c r="F28"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E90" i="27" l="1"/>
  <c r="F73" i="30"/>
  <c r="F80" i="30" s="1"/>
  <c r="F87" i="30" s="1"/>
  <c r="G32" i="30" s="1"/>
  <c r="F75" i="30"/>
  <c r="F89" i="30" s="1"/>
  <c r="G34" i="30" s="1"/>
  <c r="F49" i="30"/>
  <c r="F48" i="30" s="1"/>
  <c r="F71" i="30" s="1"/>
  <c r="F85" i="30" s="1"/>
  <c r="F27" i="29"/>
  <c r="E90" i="29"/>
  <c r="F35" i="27"/>
  <c r="F36" i="27"/>
  <c r="E90" i="26"/>
  <c r="F35" i="26"/>
  <c r="F36" i="26"/>
  <c r="E89" i="25"/>
  <c r="F27" i="25" s="1"/>
  <c r="F28" i="25"/>
  <c r="E90" i="24"/>
  <c r="F35" i="24"/>
  <c r="F36" i="24"/>
  <c r="E37" i="21"/>
  <c r="E49" i="16"/>
  <c r="E54" i="16" s="1"/>
  <c r="F50" i="16"/>
  <c r="F60" i="16" s="1"/>
  <c r="F72" i="30" l="1"/>
  <c r="F86" i="30" s="1"/>
  <c r="G31" i="30" s="1"/>
  <c r="G95" i="30" s="1"/>
  <c r="G30" i="30"/>
  <c r="F35" i="29"/>
  <c r="F36" i="29"/>
  <c r="F37" i="27"/>
  <c r="F37" i="26"/>
  <c r="E90" i="25"/>
  <c r="F35" i="25"/>
  <c r="F36" i="25"/>
  <c r="F37" i="24"/>
  <c r="E38" i="21"/>
  <c r="E40" i="21"/>
  <c r="E71" i="21" s="1"/>
  <c r="E42" i="21"/>
  <c r="E73" i="21" s="1"/>
  <c r="E80" i="21" s="1"/>
  <c r="E41" i="21"/>
  <c r="E72" i="21" s="1"/>
  <c r="E86" i="21" s="1"/>
  <c r="F31" i="21" s="1"/>
  <c r="E39" i="21"/>
  <c r="E70" i="21" s="1"/>
  <c r="E84" i="21" s="1"/>
  <c r="F29" i="21" s="1"/>
  <c r="E57" i="16"/>
  <c r="F24" i="16" s="1"/>
  <c r="F25" i="16"/>
  <c r="F91" i="30" l="1"/>
  <c r="G29" i="30" s="1"/>
  <c r="G46" i="30"/>
  <c r="G57" i="30" s="1"/>
  <c r="G56"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2" i="30" l="1"/>
  <c r="G37" i="30"/>
  <c r="G38" i="30"/>
  <c r="F40" i="29"/>
  <c r="F71" i="29" s="1"/>
  <c r="F39" i="29"/>
  <c r="F70" i="29" s="1"/>
  <c r="F84" i="29" s="1"/>
  <c r="G29" i="29" s="1"/>
  <c r="F38" i="29"/>
  <c r="F41" i="29"/>
  <c r="F72" i="29" s="1"/>
  <c r="F86" i="29" s="1"/>
  <c r="G31" i="29" s="1"/>
  <c r="F69" i="27"/>
  <c r="F78" i="27"/>
  <c r="F85" i="27" s="1"/>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9" i="30" l="1"/>
  <c r="G44"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2" i="30" l="1"/>
  <c r="G50" i="30" s="1"/>
  <c r="G43" i="30"/>
  <c r="G74" i="30" s="1"/>
  <c r="G88" i="30" s="1"/>
  <c r="G42" i="30"/>
  <c r="G41" i="30"/>
  <c r="G40" i="30"/>
  <c r="F76" i="29"/>
  <c r="F83" i="29"/>
  <c r="F89" i="27"/>
  <c r="G27" i="27" s="1"/>
  <c r="G28" i="27"/>
  <c r="F89" i="26"/>
  <c r="G27" i="26" s="1"/>
  <c r="G28" i="26"/>
  <c r="F90" i="26"/>
  <c r="F76" i="25"/>
  <c r="F83" i="25" s="1"/>
  <c r="F83" i="24"/>
  <c r="E90" i="21"/>
  <c r="F35" i="21"/>
  <c r="F36" i="21"/>
  <c r="F57" i="16"/>
  <c r="G24" i="16" s="1"/>
  <c r="G25" i="16"/>
  <c r="H50" i="16"/>
  <c r="G60" i="16"/>
  <c r="G73" i="30" l="1"/>
  <c r="G80" i="30" s="1"/>
  <c r="G87" i="30" s="1"/>
  <c r="G75" i="30"/>
  <c r="G89" i="30" s="1"/>
  <c r="G49" i="30"/>
  <c r="G48" i="30" s="1"/>
  <c r="G71" i="30" s="1"/>
  <c r="G85" i="30" s="1"/>
  <c r="F89" i="29"/>
  <c r="G27" i="29" s="1"/>
  <c r="G28" i="29"/>
  <c r="F90" i="29"/>
  <c r="G35" i="27"/>
  <c r="G36" i="27"/>
  <c r="F90" i="27"/>
  <c r="G35" i="26"/>
  <c r="G36" i="26"/>
  <c r="F89" i="25"/>
  <c r="G27" i="25" s="1"/>
  <c r="G28" i="25"/>
  <c r="F89" i="24"/>
  <c r="G28" i="24"/>
  <c r="F37" i="21"/>
  <c r="I50" i="16"/>
  <c r="H60" i="16"/>
  <c r="G27" i="16"/>
  <c r="G29" i="16"/>
  <c r="G31" i="16" s="1"/>
  <c r="G30" i="16"/>
  <c r="G72" i="30" l="1"/>
  <c r="G86" i="30" s="1"/>
  <c r="G91" i="30" s="1"/>
  <c r="G92"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s="1"/>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<sst xmlns="http://schemas.openxmlformats.org/spreadsheetml/2006/main" count="809" uniqueCount="234">
  <si>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</si>
  <si>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</si>
  <si>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</si>
  <si>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</si>
  <si>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</si>
  <si>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</si>
  <si>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</si>
  <si>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</si>
  <si>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</si>
  <si>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</si>
  <si>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</si>
  <si>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</si>
  <si>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</si>
  <si>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</si>
  <si>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</si>
  <si>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</si>
  <si>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</si>
  <si>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</si>
  <si>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</si>
  <si>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</si>
  <si>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</si>
  <si>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</si>
  <si>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</si>
  <si>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</si>
  <si>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</si>
  <si>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</si>
  <si>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</si>
  <si>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</si>
  <si>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</si>
  <si>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</si>
  <si>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</si>
  <si>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</si>
  <si>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</si>
  <si>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</si>
  <si>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</si>
  <si>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</si>
  <si>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</si>
  <si>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</si>
  <si>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</si>
  <si>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</si>
  <si>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</si>
  <si>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</si>
  <si>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</si>
  <si>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</si>
  <si>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</si>
  <si>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</si>
  <si>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</si>
  <si>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</si>
  <si>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</si>
  <si>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</si>
  <si>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</si>
  <si>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</si>
  <si>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</si>
  <si>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</si>
  <si>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</si>
  <si>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</si>
  <si>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</si>
  <si>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</si>
  <si>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</si>
  <si>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</si>
  <si>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</si>
  <si>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</si>
  <si>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</si>
  <si>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</si>
  <si>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</si>
  <si>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</si>
  <si>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</si>
  <si>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</si>
  <si>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</si>
  <si>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</si>
  <si>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</si>
  <si>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</si>
  <si>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</si>
  <si>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</si>
  <si>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</si>
  <si>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</si>
  <si>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</si>
  <si>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</si>
  <si>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</si>
  <si>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</si>
  <si>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</si>
  <si>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</si>
  <si>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</si>
  <si>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</si>
  <si>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</si>
  <si>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</si>
  <si>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</si>
  <si>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</si>
  <si>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</si>
  <si>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</si>
  <si>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</si>
  <si>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</si>
  <si>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</si>
  <si>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</si>
  <si>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</si>
  <si>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</si>
  <si>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</si>
  <si>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</si>
  <si>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</si>
  <si>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</si>
  <si>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</si>
  <si>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</si>
  <si>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</si>
  <si>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</si>
  <si>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</si>
  <si>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</si>
  <si>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</si>
  <si>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</si>
  <si>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</si>
  <si>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</si>
  <si>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</si>
  <si>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</si>
  <si>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</si>
  <si>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</si>
  <si>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</si>
  <si>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</si>
  <si>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</si>
  <si>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</si>
  <si>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</si>
  <si>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</si>
  <si>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</si>
  <si>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</si>
  <si>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</si>
  <si>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</si>
  <si>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</si>
  <si>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</si>
  <si>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</si>
  <si>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</si>
  <si>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</si>
  <si>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</si>
  <si>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</si>
  <si>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</si>
  <si>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</si>
  <si>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</si>
  <si>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</si>
  <si>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</si>
  <si>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</si>
  <si>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</si>
  <si>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</si>
  <si>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</si>
  <si>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</si>
  <si>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</si>
  <si>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</si>
  <si>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</si>
  <si>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</si>
  <si>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</si>
  <si>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</si>
  <si>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</si>
  <si>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</si>
  <si>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</si>
  <si>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</si>
  <si>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</si>
  <si>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</si>
  <si>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</si>
  <si>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</si>
  <si>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</si>
  <si>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</si>
  <si>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</si>
  <si>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</si>
  <si>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</si>
  <si>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</si>
  <si>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</si>
  <si>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</si>
  <si>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</si>
  <si>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</si>
  <si>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</si>
  <si>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</si>
  <si>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</si>
  <si>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</si>
  <si>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</si>
  <si>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</si>
  <si>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</si>
  <si>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</si>
  <si>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</si>
  <si>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</si>
  <si>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</si>
  <si>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</si>
  <si>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</si>
  <si>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</si>
  <si>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</si>
  <si>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</si>
  <si>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</si>
  <si>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</si>
  <si>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</si>
  <si>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</si>
  <si>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</si>
  <si>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</si>
  <si>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</si>
  <si>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</si>
  <si>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</si>
  <si>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</si>
  <si>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</si>
  <si>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</si>
  <si>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</si>
  <si>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</si>
  <si>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</si>
  <si>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</si>
  <si>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</si>
  <si>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</si>
  <si>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</si>
  <si>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</si>
  <si>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</si>
  <si>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</si>
  <si>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</si>
  <si>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</si>
  <si>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</si>
  <si>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</si>
  <si>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</si>
  <si>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</si>
  <si>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</si>
  <si>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</si>
  <si>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</si>
  <si>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</si>
  <si>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</si>
  <si>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</si>
  <si>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</si>
  <si>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</si>
  <si>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</si>
  <si>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</si>
  <si>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</si>
  <si>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</si>
  <si>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</si>
  <si>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</si>
  <si>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</si>
  <si>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</si>
  <si>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</si>
  <si>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Protection elevation (feet)</t>
  </si>
  <si>
    <t xml:space="preserve">   Storage at protection elevation (maf)</t>
  </si>
  <si>
    <t>Initialize: Sum of protection volumes</t>
  </si>
  <si>
    <t>Initialize: all Powell storage minus Powell protection volume</t>
  </si>
  <si>
    <t>Version</t>
  </si>
  <si>
    <t>3.2.1</t>
  </si>
  <si>
    <t>2) Rearrange available water, sales/trades, release so user can see all at once, 3) Allow variable price sales</t>
  </si>
  <si>
    <t>Give Mexico share of initial Mead storage. The share is Mexico's conservation account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</si>
</sst>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09">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2" fontId="0" fillId="0" borderId="0" xfId="0" applyNumberFormat="1"/>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3.4213727493546848</c:v>
                </c:pt>
                <c:pt idx="3">
                  <c:v>2.4265133965237027</c:v>
                </c:pt>
                <c:pt idx="4">
                  <c:v>2.4230730928820652</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'11.0-TradeReserve'!$C$78:$G$78</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7.6425607766800914</c:v>
                </c:pt>
                <c:pt idx="3">
                  <c:v>6.6113060670383863</c:v>
                </c:pt>
                <c:pt idx="4">
                  <c:v>6.2249460986089646</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7.1385464313993898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'11.0-TradeReserve'!$C$85:$G$85</c:f>
              <c:numCache>
                <c:formatCode>0.0</c:formatCode>
                <c:ptCount val="5"/>
                <c:pt idx="0">
                  <c:v>3.2624438809560035</c:v>
                </c:pt>
                <c:pt idx="1">
                  <c:v>2.6059121066952144</c:v>
                </c:pt>
                <c:pt idx="2">
                  <c:v>2.2851245093047288</c:v>
                </c:pt>
                <c:pt idx="3">
                  <c:v>2.5817095100952416</c:v>
                </c:pt>
                <c:pt idx="4">
                  <c:v>2.8637198302764233</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'11.0-TradeReserve'!$C$79:$G$79</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10.058999999999999</c:v>
                </c:pt>
                <c:pt idx="1">
                  <c:v>9.6698308643071194</c:v>
                </c:pt>
                <c:pt idx="2">
                  <c:v>9.2767404490576055</c:v>
                </c:pt>
                <c:pt idx="3">
                  <c:v>8.9640950761011382</c:v>
                </c:pt>
                <c:pt idx="4">
                  <c:v>8.6506809620768621</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10.058999999999999</c:v>
                </c:pt>
                <c:pt idx="1">
                  <c:v>10.169830864307119</c:v>
                </c:pt>
                <c:pt idx="2">
                  <c:v>10.155867467276902</c:v>
                </c:pt>
                <c:pt idx="3">
                  <c:v>10.127301773918607</c:v>
                </c:pt>
                <c:pt idx="4">
                  <c:v>9.687083092847427</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'11.0-TradeReserve'!$C$86:$G$86</c:f>
              <c:numCache>
                <c:formatCode>0.0</c:formatCode>
                <c:ptCount val="5"/>
                <c:pt idx="0">
                  <c:v>4.566312706382833</c:v>
                </c:pt>
                <c:pt idx="1">
                  <c:v>4.6147112984892829</c:v>
                </c:pt>
                <c:pt idx="2">
                  <c:v>4.6537848163901909</c:v>
                </c:pt>
                <c:pt idx="3">
                  <c:v>4.2884546174808307</c:v>
                </c:pt>
                <c:pt idx="4">
                  <c:v>3.9404978431203883</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86" t="s">
        <v>171</v>
      </c>
      <c r="B4" s="86"/>
      <c r="C4" s="86"/>
      <c r="D4" s="86"/>
      <c r="E4" s="86"/>
      <c r="F4" s="86"/>
      <c r="G4" s="86"/>
      <c r="H4" s="86"/>
      <c r="I4" s="86"/>
      <c r="J4" s="86"/>
      <c r="K4" s="86"/>
      <c r="L4" s="86"/>
    </row>
    <row r="5" spans="1:12" ht="13.5" customHeight="1" x14ac:dyDescent="0.35">
      <c r="B5" s="15"/>
      <c r="C5" s="15"/>
      <c r="D5" s="15"/>
      <c r="E5" s="15"/>
      <c r="F5" s="15"/>
      <c r="G5" s="15"/>
      <c r="H5" s="15"/>
      <c r="I5" s="15"/>
      <c r="J5" s="15"/>
      <c r="K5" s="15"/>
      <c r="L5" s="15"/>
    </row>
    <row r="6" spans="1:12" ht="16.5" customHeight="1" x14ac:dyDescent="0.35">
      <c r="A6" s="90" t="s">
        <v>109</v>
      </c>
      <c r="B6" s="91"/>
      <c r="C6" s="91"/>
      <c r="D6" s="91"/>
      <c r="E6" s="91"/>
      <c r="F6" s="91"/>
      <c r="G6" s="91"/>
      <c r="H6" s="91"/>
      <c r="I6" s="91"/>
      <c r="J6" s="91"/>
      <c r="K6" s="91"/>
      <c r="L6" s="92"/>
    </row>
    <row r="7" spans="1:12" ht="16.5" customHeight="1" x14ac:dyDescent="0.35">
      <c r="A7" s="28">
        <v>1</v>
      </c>
      <c r="B7" s="87" t="s">
        <v>148</v>
      </c>
      <c r="C7" s="87"/>
      <c r="D7" s="87"/>
      <c r="E7" s="87"/>
      <c r="F7" s="87"/>
      <c r="G7" s="87"/>
      <c r="H7" s="87"/>
      <c r="I7" s="87"/>
      <c r="J7" s="87"/>
      <c r="K7" s="87"/>
      <c r="L7" s="88"/>
    </row>
    <row r="8" spans="1:12" ht="16.5" customHeight="1" x14ac:dyDescent="0.35">
      <c r="A8" s="28">
        <v>2</v>
      </c>
      <c r="B8" s="87" t="s">
        <v>93</v>
      </c>
      <c r="C8" s="87"/>
      <c r="D8" s="87"/>
      <c r="E8" s="87"/>
      <c r="F8" s="87"/>
      <c r="G8" s="87"/>
      <c r="H8" s="87"/>
      <c r="I8" s="87"/>
      <c r="J8" s="87"/>
      <c r="K8" s="87"/>
      <c r="L8" s="88"/>
    </row>
    <row r="9" spans="1:12" ht="31" customHeight="1" x14ac:dyDescent="0.35">
      <c r="A9" s="28">
        <v>3</v>
      </c>
      <c r="B9" s="87" t="s">
        <v>170</v>
      </c>
      <c r="C9" s="87"/>
      <c r="D9" s="87"/>
      <c r="E9" s="87"/>
      <c r="F9" s="87"/>
      <c r="G9" s="87"/>
      <c r="H9" s="87"/>
      <c r="I9" s="87"/>
      <c r="J9" s="87"/>
      <c r="K9" s="87"/>
      <c r="L9" s="88"/>
    </row>
    <row r="10" spans="1:12" ht="32.5" customHeight="1" x14ac:dyDescent="0.35">
      <c r="A10" s="28">
        <v>4</v>
      </c>
      <c r="B10" s="87" t="s">
        <v>172</v>
      </c>
      <c r="C10" s="87"/>
      <c r="D10" s="87"/>
      <c r="E10" s="87"/>
      <c r="F10" s="87"/>
      <c r="G10" s="87"/>
      <c r="H10" s="87"/>
      <c r="I10" s="87"/>
      <c r="J10" s="87"/>
      <c r="K10" s="87"/>
      <c r="L10" s="88"/>
    </row>
    <row r="11" spans="1:12" ht="16.5" customHeight="1" x14ac:dyDescent="0.35">
      <c r="A11" s="28">
        <v>5</v>
      </c>
      <c r="B11" s="87" t="s">
        <v>173</v>
      </c>
      <c r="C11" s="87"/>
      <c r="D11" s="87"/>
      <c r="E11" s="87"/>
      <c r="F11" s="87"/>
      <c r="G11" s="87"/>
      <c r="H11" s="87"/>
      <c r="I11" s="87"/>
      <c r="J11" s="87"/>
      <c r="K11" s="87"/>
      <c r="L11" s="88"/>
    </row>
    <row r="12" spans="1:12" ht="16.5" customHeight="1" x14ac:dyDescent="0.35">
      <c r="A12" s="28">
        <v>6</v>
      </c>
      <c r="B12" s="87" t="s">
        <v>174</v>
      </c>
      <c r="C12" s="87"/>
      <c r="D12" s="87"/>
      <c r="E12" s="87"/>
      <c r="F12" s="87"/>
      <c r="G12" s="87"/>
      <c r="H12" s="87"/>
      <c r="I12" s="87"/>
      <c r="J12" s="87"/>
      <c r="K12" s="87"/>
      <c r="L12" s="88"/>
    </row>
    <row r="13" spans="1:12" ht="47" customHeight="1" x14ac:dyDescent="0.35">
      <c r="A13" s="28">
        <v>7</v>
      </c>
      <c r="B13" s="87" t="s">
        <v>175</v>
      </c>
      <c r="C13" s="87"/>
      <c r="D13" s="87"/>
      <c r="E13" s="87"/>
      <c r="F13" s="87"/>
      <c r="G13" s="87"/>
      <c r="H13" s="87"/>
      <c r="I13" s="87"/>
      <c r="J13" s="87"/>
      <c r="K13" s="87"/>
      <c r="L13" s="88"/>
    </row>
    <row r="14" spans="1:12" ht="32.5" customHeight="1" x14ac:dyDescent="0.35">
      <c r="A14" s="28">
        <v>8</v>
      </c>
      <c r="B14" s="87" t="s">
        <v>177</v>
      </c>
      <c r="C14" s="87"/>
      <c r="D14" s="87"/>
      <c r="E14" s="87"/>
      <c r="F14" s="87"/>
      <c r="G14" s="87"/>
      <c r="H14" s="87"/>
      <c r="I14" s="87"/>
      <c r="J14" s="87"/>
      <c r="K14" s="87"/>
      <c r="L14" s="88"/>
    </row>
    <row r="15" spans="1:12" ht="16.5" customHeight="1" x14ac:dyDescent="0.35">
      <c r="A15" s="28">
        <v>9</v>
      </c>
      <c r="B15" s="87" t="s">
        <v>176</v>
      </c>
      <c r="C15" s="87"/>
      <c r="D15" s="87"/>
      <c r="E15" s="87"/>
      <c r="F15" s="87"/>
      <c r="G15" s="87"/>
      <c r="H15" s="87"/>
      <c r="I15" s="87"/>
      <c r="J15" s="87"/>
      <c r="K15" s="87"/>
      <c r="L15" s="88"/>
    </row>
    <row r="16" spans="1:12" ht="16.5" customHeight="1" x14ac:dyDescent="0.35">
      <c r="A16" s="28">
        <v>10</v>
      </c>
      <c r="B16" s="87" t="s">
        <v>178</v>
      </c>
      <c r="C16" s="87"/>
      <c r="D16" s="87"/>
      <c r="E16" s="87"/>
      <c r="F16" s="87"/>
      <c r="G16" s="87"/>
      <c r="H16" s="87"/>
      <c r="I16" s="87"/>
      <c r="J16" s="87"/>
      <c r="K16" s="87"/>
      <c r="L16" s="88"/>
    </row>
    <row r="17" spans="1:12" ht="32" customHeight="1" x14ac:dyDescent="0.35">
      <c r="A17" s="28">
        <v>11</v>
      </c>
      <c r="B17" s="87" t="s">
        <v>179</v>
      </c>
      <c r="C17" s="87"/>
      <c r="D17" s="87"/>
      <c r="E17" s="87"/>
      <c r="F17" s="87"/>
      <c r="G17" s="87"/>
      <c r="H17" s="87"/>
      <c r="I17" s="87"/>
      <c r="J17" s="87"/>
      <c r="K17" s="87"/>
      <c r="L17" s="88"/>
    </row>
    <row r="18" spans="1:12" ht="16.5" customHeight="1" x14ac:dyDescent="0.35">
      <c r="A18" s="28">
        <v>12</v>
      </c>
      <c r="B18" s="93" t="s">
        <v>149</v>
      </c>
      <c r="C18" s="93"/>
      <c r="D18" s="93"/>
      <c r="E18" s="93"/>
      <c r="F18" s="93"/>
      <c r="G18" s="93"/>
      <c r="H18" s="93"/>
      <c r="I18" s="93"/>
      <c r="J18" s="93"/>
      <c r="K18" s="93"/>
      <c r="L18" s="94"/>
    </row>
    <row r="19" spans="1:12" ht="32" customHeight="1" x14ac:dyDescent="0.35">
      <c r="A19" s="28">
        <v>13</v>
      </c>
      <c r="B19" s="95" t="s">
        <v>150</v>
      </c>
      <c r="C19" s="95"/>
      <c r="D19" s="95"/>
      <c r="E19" s="95"/>
      <c r="F19" s="95"/>
      <c r="G19" s="95"/>
      <c r="H19" s="95"/>
      <c r="I19" s="95"/>
      <c r="J19" s="95"/>
      <c r="K19" s="95"/>
      <c r="L19" s="96"/>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204</v>
      </c>
      <c r="C23" t="s">
        <v>205</v>
      </c>
    </row>
    <row r="24" spans="1:12" x14ac:dyDescent="0.35">
      <c r="B24" s="2" t="s">
        <v>143</v>
      </c>
      <c r="C24" t="s">
        <v>195</v>
      </c>
    </row>
    <row r="25" spans="1:12" x14ac:dyDescent="0.35">
      <c r="B25" s="2" t="s">
        <v>202</v>
      </c>
      <c r="C25" t="s">
        <v>203</v>
      </c>
    </row>
    <row r="26" spans="1:12" x14ac:dyDescent="0.35">
      <c r="B26" s="2" t="s">
        <v>144</v>
      </c>
      <c r="C26" t="s">
        <v>152</v>
      </c>
    </row>
    <row r="27" spans="1:12" x14ac:dyDescent="0.35">
      <c r="B27" s="2" t="s">
        <v>146</v>
      </c>
      <c r="C27" t="s">
        <v>153</v>
      </c>
    </row>
    <row r="28" spans="1:12" x14ac:dyDescent="0.35">
      <c r="B28" s="2" t="s">
        <v>196</v>
      </c>
      <c r="C28" t="s">
        <v>197</v>
      </c>
    </row>
    <row r="29" spans="1:12" x14ac:dyDescent="0.35">
      <c r="B29" s="2" t="s">
        <v>191</v>
      </c>
      <c r="C29" t="s">
        <v>154</v>
      </c>
    </row>
    <row r="30" spans="1:12" x14ac:dyDescent="0.35">
      <c r="B30" s="2" t="s">
        <v>198</v>
      </c>
      <c r="C30" t="s">
        <v>199</v>
      </c>
    </row>
    <row r="31" spans="1:12" x14ac:dyDescent="0.35">
      <c r="B31" s="2" t="s">
        <v>192</v>
      </c>
      <c r="C31" t="s">
        <v>193</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89" t="s">
        <v>151</v>
      </c>
      <c r="B37" s="89"/>
      <c r="C37" s="89"/>
      <c r="D37" s="89"/>
      <c r="E37" s="89"/>
      <c r="F37" s="89"/>
      <c r="G37" s="89"/>
      <c r="H37" s="89"/>
      <c r="I37" s="89"/>
      <c r="J37" s="89"/>
      <c r="K37" s="89"/>
      <c r="L37" s="89"/>
    </row>
  </sheetData>
  <mergeCells count="16">
    <mergeCell ref="A37:L37"/>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0"/>
  <sheetViews>
    <sheetView tabSelected="1" zoomScale="150" zoomScaleNormal="150" workbookViewId="0">
      <selection activeCell="B3" sqref="B3"/>
    </sheetView>
  </sheetViews>
  <sheetFormatPr defaultRowHeight="14.5" x14ac:dyDescent="0.35"/>
  <cols>
    <col min="1" max="1" width="8.7265625" style="83"/>
    <col min="2" max="2" width="12.6328125" style="83" customWidth="1"/>
    <col min="3" max="3" width="29.90625" style="82" customWidth="1"/>
    <col min="4" max="4" width="12.453125" style="85" customWidth="1"/>
    <col min="5" max="5" width="15.08984375" style="85" customWidth="1"/>
    <col min="6" max="6" width="10.54296875" style="83" customWidth="1"/>
  </cols>
  <sheetData>
    <row r="1" spans="1:6" s="79" customFormat="1" ht="30.5" customHeight="1" x14ac:dyDescent="0.35">
      <c r="A1" s="80" t="s">
        <v>230</v>
      </c>
      <c r="B1" s="80" t="s">
        <v>206</v>
      </c>
      <c r="C1" s="81" t="s">
        <v>207</v>
      </c>
      <c r="D1" s="80" t="s">
        <v>209</v>
      </c>
      <c r="E1" s="80" t="s">
        <v>208</v>
      </c>
      <c r="F1" s="80" t="s">
        <v>210</v>
      </c>
    </row>
    <row r="3" spans="1:6" ht="58" x14ac:dyDescent="0.35">
      <c r="C3" s="82" t="s">
        <v>232</v>
      </c>
      <c r="E3" s="85" t="s">
        <v>211</v>
      </c>
      <c r="F3" s="84">
        <v>44372</v>
      </c>
    </row>
    <row r="4" spans="1:6" ht="43.5" x14ac:dyDescent="0.35">
      <c r="A4" s="83">
        <v>3.3</v>
      </c>
      <c r="B4" s="84">
        <v>44377</v>
      </c>
      <c r="C4" s="82" t="s">
        <v>233</v>
      </c>
      <c r="D4" s="85" t="s">
        <v>184</v>
      </c>
      <c r="E4" s="85" t="s">
        <v>211</v>
      </c>
      <c r="F4" s="84">
        <v>44372</v>
      </c>
    </row>
    <row r="5" spans="1:6" ht="29" x14ac:dyDescent="0.35">
      <c r="A5" s="83" t="s">
        <v>231</v>
      </c>
      <c r="B5" s="84">
        <v>44377</v>
      </c>
      <c r="C5" s="82" t="s">
        <v>212</v>
      </c>
      <c r="D5" s="85" t="s">
        <v>184</v>
      </c>
      <c r="E5" s="85" t="s">
        <v>184</v>
      </c>
      <c r="F5" s="84">
        <v>44377</v>
      </c>
    </row>
    <row r="6" spans="1:6" ht="116" x14ac:dyDescent="0.35">
      <c r="A6" s="83">
        <v>3.2</v>
      </c>
      <c r="B6" s="84">
        <v>44367</v>
      </c>
      <c r="C6" s="82" t="s">
        <v>220</v>
      </c>
      <c r="D6" s="85" t="s">
        <v>184</v>
      </c>
      <c r="E6" s="85" t="s">
        <v>184</v>
      </c>
      <c r="F6" s="84">
        <v>44367</v>
      </c>
    </row>
    <row r="7" spans="1:6" ht="29" x14ac:dyDescent="0.35">
      <c r="A7" s="83">
        <v>3.1</v>
      </c>
      <c r="B7" s="84">
        <v>44331</v>
      </c>
      <c r="C7" s="82" t="s">
        <v>219</v>
      </c>
      <c r="D7" s="85" t="s">
        <v>184</v>
      </c>
      <c r="E7" s="85" t="s">
        <v>184</v>
      </c>
      <c r="F7" s="84">
        <v>44331</v>
      </c>
    </row>
    <row r="8" spans="1:6" ht="72.5" x14ac:dyDescent="0.35">
      <c r="A8" s="83">
        <v>3</v>
      </c>
      <c r="B8" s="84">
        <v>44319</v>
      </c>
      <c r="C8" s="82" t="s">
        <v>218</v>
      </c>
      <c r="D8" s="85" t="s">
        <v>184</v>
      </c>
      <c r="E8" s="85" t="s">
        <v>213</v>
      </c>
      <c r="F8" s="84">
        <v>44315</v>
      </c>
    </row>
    <row r="9" spans="1:6" ht="29" x14ac:dyDescent="0.35">
      <c r="A9" s="83">
        <v>2</v>
      </c>
      <c r="B9" s="84">
        <v>44307</v>
      </c>
      <c r="C9" s="82" t="s">
        <v>215</v>
      </c>
      <c r="D9" s="85" t="s">
        <v>184</v>
      </c>
      <c r="E9" s="85" t="s">
        <v>214</v>
      </c>
      <c r="F9" s="84">
        <v>44294</v>
      </c>
    </row>
    <row r="10" spans="1:6" ht="29" x14ac:dyDescent="0.35">
      <c r="A10" s="108">
        <v>1</v>
      </c>
      <c r="B10" s="84">
        <v>44291</v>
      </c>
      <c r="C10" s="82" t="s">
        <v>217</v>
      </c>
      <c r="D10" s="85" t="s">
        <v>184</v>
      </c>
      <c r="E10" s="85" t="s">
        <v>216</v>
      </c>
      <c r="F10" s="84">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A10"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63"/>
      <c r="I3" s="63"/>
      <c r="J3" s="63"/>
      <c r="K3" s="63"/>
    </row>
    <row r="4" spans="1:11" x14ac:dyDescent="0.35">
      <c r="A4" s="64" t="s">
        <v>39</v>
      </c>
      <c r="B4" s="64" t="s">
        <v>43</v>
      </c>
      <c r="C4" s="99" t="s">
        <v>44</v>
      </c>
      <c r="D4" s="100"/>
      <c r="E4" s="100"/>
      <c r="F4" s="100"/>
      <c r="G4" s="101"/>
    </row>
    <row r="5" spans="1:11" x14ac:dyDescent="0.35">
      <c r="A5" s="65" t="s">
        <v>52</v>
      </c>
      <c r="B5" s="65"/>
      <c r="C5" s="102"/>
      <c r="D5" s="102"/>
      <c r="E5" s="102"/>
      <c r="F5" s="102"/>
      <c r="G5" s="102"/>
    </row>
    <row r="6" spans="1:11" x14ac:dyDescent="0.35">
      <c r="A6" s="66" t="s">
        <v>40</v>
      </c>
      <c r="B6" s="66"/>
      <c r="C6" s="103"/>
      <c r="D6" s="103"/>
      <c r="E6" s="103"/>
      <c r="F6" s="103"/>
      <c r="G6" s="103"/>
    </row>
    <row r="7" spans="1:11" x14ac:dyDescent="0.35">
      <c r="A7" s="66" t="s">
        <v>41</v>
      </c>
      <c r="B7" s="66"/>
      <c r="C7" s="97"/>
      <c r="D7" s="97"/>
      <c r="E7" s="97"/>
      <c r="F7" s="97"/>
      <c r="G7" s="97"/>
    </row>
    <row r="8" spans="1:11" x14ac:dyDescent="0.35">
      <c r="A8" s="66" t="s">
        <v>42</v>
      </c>
      <c r="B8" s="66"/>
      <c r="C8" s="103"/>
      <c r="D8" s="103"/>
      <c r="E8" s="103"/>
      <c r="F8" s="103"/>
      <c r="G8" s="103"/>
    </row>
    <row r="9" spans="1:11" x14ac:dyDescent="0.35">
      <c r="A9" s="66" t="s">
        <v>165</v>
      </c>
      <c r="B9" s="66"/>
      <c r="C9" s="97" t="s">
        <v>187</v>
      </c>
      <c r="D9" s="97"/>
      <c r="E9" s="97"/>
      <c r="F9" s="97"/>
      <c r="G9" s="97"/>
    </row>
    <row r="10" spans="1:11" x14ac:dyDescent="0.35">
      <c r="A10" s="66"/>
      <c r="B10" s="66"/>
      <c r="C10" s="97"/>
      <c r="D10" s="97"/>
      <c r="E10" s="97"/>
      <c r="F10" s="97"/>
      <c r="G10" s="97"/>
    </row>
    <row r="11" spans="1:11" x14ac:dyDescent="0.35">
      <c r="A11" s="66"/>
      <c r="B11" s="66"/>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c r="D25" s="45"/>
      <c r="E25" s="45"/>
      <c r="F25" s="45"/>
      <c r="G25" s="45"/>
      <c r="H25" s="45"/>
      <c r="I25" s="45"/>
      <c r="J25" s="45"/>
      <c r="K25" s="45"/>
      <c r="L25" s="45"/>
    </row>
    <row r="26" spans="1:14"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4"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4"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c r="N28" t="s">
        <v>222</v>
      </c>
    </row>
    <row r="29" spans="1:14" x14ac:dyDescent="0.35">
      <c r="A29" t="str">
        <f t="shared" ref="A29:A33" si="3">IF(A7="","","    "&amp;A7&amp;" Balance")</f>
        <v xml:space="preserve">    Lower Basin Balance</v>
      </c>
      <c r="B29" s="55">
        <f>C22-B30</f>
        <v>10.058999999999999</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c r="N29" t="s">
        <v>223</v>
      </c>
    </row>
    <row r="30" spans="1:14" x14ac:dyDescent="0.35">
      <c r="A30" t="str">
        <f t="shared" si="3"/>
        <v xml:space="preserve">    Mexico Balance</v>
      </c>
      <c r="B30" s="106">
        <f>0.041</f>
        <v>4.1000000000000002E-2</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c r="N30" t="s">
        <v>224</v>
      </c>
    </row>
    <row r="31" spans="1:14"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4"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2" priority="60" operator="greaterThan">
      <formula>$C$69</formula>
    </cfRule>
  </conditionalFormatting>
  <conditionalFormatting sqref="C77">
    <cfRule type="cellIs" dxfId="431" priority="59" operator="greaterThan">
      <formula>$C$70</formula>
    </cfRule>
  </conditionalFormatting>
  <conditionalFormatting sqref="C78">
    <cfRule type="cellIs" dxfId="430" priority="58" operator="greaterThan">
      <formula>$C$71</formula>
    </cfRule>
  </conditionalFormatting>
  <conditionalFormatting sqref="C79">
    <cfRule type="cellIs" dxfId="429" priority="57" operator="greaterThan">
      <formula>$C$72</formula>
    </cfRule>
  </conditionalFormatting>
  <conditionalFormatting sqref="C80">
    <cfRule type="cellIs" dxfId="428" priority="56" operator="greaterThan">
      <formula>$C$73</formula>
    </cfRule>
  </conditionalFormatting>
  <conditionalFormatting sqref="C81">
    <cfRule type="cellIs" dxfId="427" priority="55" operator="greaterThan">
      <formula>$C$74</formula>
    </cfRule>
  </conditionalFormatting>
  <conditionalFormatting sqref="D76">
    <cfRule type="cellIs" dxfId="426" priority="54" operator="greaterThan">
      <formula>$D$69</formula>
    </cfRule>
  </conditionalFormatting>
  <conditionalFormatting sqref="D77">
    <cfRule type="cellIs" dxfId="425" priority="53" operator="greaterThan">
      <formula>$D$70</formula>
    </cfRule>
  </conditionalFormatting>
  <conditionalFormatting sqref="D78">
    <cfRule type="cellIs" dxfId="424" priority="52" operator="greaterThan">
      <formula>$D$71</formula>
    </cfRule>
  </conditionalFormatting>
  <conditionalFormatting sqref="D79">
    <cfRule type="cellIs" dxfId="423" priority="51" operator="greaterThan">
      <formula>$D$72</formula>
    </cfRule>
  </conditionalFormatting>
  <conditionalFormatting sqref="D80">
    <cfRule type="cellIs" dxfId="422" priority="50" operator="greaterThan">
      <formula>$D$73</formula>
    </cfRule>
  </conditionalFormatting>
  <conditionalFormatting sqref="D81">
    <cfRule type="cellIs" dxfId="421" priority="49" operator="greaterThan">
      <formula>$D$74</formula>
    </cfRule>
  </conditionalFormatting>
  <conditionalFormatting sqref="E76">
    <cfRule type="cellIs" dxfId="420" priority="48" operator="greaterThan">
      <formula>$E$69</formula>
    </cfRule>
  </conditionalFormatting>
  <conditionalFormatting sqref="E77">
    <cfRule type="cellIs" dxfId="419" priority="47" operator="greaterThan">
      <formula>$E$70</formula>
    </cfRule>
  </conditionalFormatting>
  <conditionalFormatting sqref="E78">
    <cfRule type="cellIs" dxfId="418" priority="46" operator="greaterThan">
      <formula>$E$71</formula>
    </cfRule>
  </conditionalFormatting>
  <conditionalFormatting sqref="E79">
    <cfRule type="cellIs" dxfId="417" priority="45" operator="greaterThan">
      <formula>$E$72</formula>
    </cfRule>
  </conditionalFormatting>
  <conditionalFormatting sqref="E80">
    <cfRule type="cellIs" dxfId="416" priority="44" operator="greaterThan">
      <formula>$E$73</formula>
    </cfRule>
  </conditionalFormatting>
  <conditionalFormatting sqref="E81">
    <cfRule type="cellIs" dxfId="415" priority="43" operator="greaterThan">
      <formula>$E$74</formula>
    </cfRule>
  </conditionalFormatting>
  <conditionalFormatting sqref="F76">
    <cfRule type="cellIs" dxfId="414" priority="42" operator="greaterThan">
      <formula>$F$69</formula>
    </cfRule>
  </conditionalFormatting>
  <conditionalFormatting sqref="F77">
    <cfRule type="cellIs" dxfId="413" priority="41" operator="greaterThan">
      <formula>$F$70</formula>
    </cfRule>
  </conditionalFormatting>
  <conditionalFormatting sqref="F78">
    <cfRule type="cellIs" dxfId="412" priority="40" operator="greaterThan">
      <formula>$F$71</formula>
    </cfRule>
  </conditionalFormatting>
  <conditionalFormatting sqref="F79">
    <cfRule type="cellIs" dxfId="411" priority="39" operator="greaterThan">
      <formula>$F$72</formula>
    </cfRule>
  </conditionalFormatting>
  <conditionalFormatting sqref="F80">
    <cfRule type="cellIs" dxfId="410" priority="38" operator="greaterThan">
      <formula>$F$73</formula>
    </cfRule>
  </conditionalFormatting>
  <conditionalFormatting sqref="F81">
    <cfRule type="cellIs" dxfId="409" priority="37" operator="greaterThan">
      <formula>$F$74</formula>
    </cfRule>
  </conditionalFormatting>
  <conditionalFormatting sqref="G76">
    <cfRule type="cellIs" dxfId="408" priority="36" operator="greaterThan">
      <formula>$G$69</formula>
    </cfRule>
  </conditionalFormatting>
  <conditionalFormatting sqref="G77">
    <cfRule type="cellIs" dxfId="407" priority="35" operator="greaterThan">
      <formula>$G$70</formula>
    </cfRule>
  </conditionalFormatting>
  <conditionalFormatting sqref="G78">
    <cfRule type="cellIs" dxfId="406" priority="34" operator="greaterThan">
      <formula>$G$71</formula>
    </cfRule>
  </conditionalFormatting>
  <conditionalFormatting sqref="G79">
    <cfRule type="cellIs" dxfId="405" priority="33" operator="greaterThan">
      <formula>$G$72</formula>
    </cfRule>
  </conditionalFormatting>
  <conditionalFormatting sqref="G80">
    <cfRule type="cellIs" dxfId="404" priority="32" operator="greaterThan">
      <formula>$G$73</formula>
    </cfRule>
  </conditionalFormatting>
  <conditionalFormatting sqref="G81">
    <cfRule type="cellIs" dxfId="403" priority="31" operator="greaterThan">
      <formula>$G$74</formula>
    </cfRule>
  </conditionalFormatting>
  <conditionalFormatting sqref="H76">
    <cfRule type="cellIs" dxfId="402" priority="30" operator="greaterThan">
      <formula>$H$69</formula>
    </cfRule>
  </conditionalFormatting>
  <conditionalFormatting sqref="H77">
    <cfRule type="cellIs" dxfId="401" priority="29" operator="greaterThan">
      <formula>$H$70</formula>
    </cfRule>
  </conditionalFormatting>
  <conditionalFormatting sqref="H78">
    <cfRule type="cellIs" dxfId="400" priority="28" operator="greaterThan">
      <formula>$H$71</formula>
    </cfRule>
  </conditionalFormatting>
  <conditionalFormatting sqref="H79">
    <cfRule type="cellIs" dxfId="399" priority="27" operator="greaterThan">
      <formula>$H$72</formula>
    </cfRule>
  </conditionalFormatting>
  <conditionalFormatting sqref="H80">
    <cfRule type="cellIs" dxfId="398" priority="26" operator="greaterThan">
      <formula>$H$73</formula>
    </cfRule>
  </conditionalFormatting>
  <conditionalFormatting sqref="H81">
    <cfRule type="cellIs" dxfId="397" priority="25" operator="greaterThan">
      <formula>$H$74</formula>
    </cfRule>
  </conditionalFormatting>
  <conditionalFormatting sqref="I76">
    <cfRule type="cellIs" dxfId="396" priority="24" operator="greaterThan">
      <formula>$I$69</formula>
    </cfRule>
  </conditionalFormatting>
  <conditionalFormatting sqref="I77">
    <cfRule type="cellIs" dxfId="395" priority="23" operator="greaterThan">
      <formula>$I$70</formula>
    </cfRule>
  </conditionalFormatting>
  <conditionalFormatting sqref="I78">
    <cfRule type="cellIs" dxfId="394" priority="22" operator="greaterThan">
      <formula>$I$71</formula>
    </cfRule>
  </conditionalFormatting>
  <conditionalFormatting sqref="I79">
    <cfRule type="cellIs" dxfId="393" priority="21" operator="greaterThan">
      <formula>$I$72</formula>
    </cfRule>
  </conditionalFormatting>
  <conditionalFormatting sqref="I80">
    <cfRule type="cellIs" dxfId="392" priority="20" operator="greaterThan">
      <formula>$I$73</formula>
    </cfRule>
  </conditionalFormatting>
  <conditionalFormatting sqref="I81">
    <cfRule type="cellIs" dxfId="391" priority="19" operator="greaterThan">
      <formula>$I$74</formula>
    </cfRule>
  </conditionalFormatting>
  <conditionalFormatting sqref="J76">
    <cfRule type="cellIs" dxfId="390" priority="18" operator="greaterThan">
      <formula>$J$69</formula>
    </cfRule>
  </conditionalFormatting>
  <conditionalFormatting sqref="J77">
    <cfRule type="cellIs" dxfId="389" priority="17" operator="greaterThan">
      <formula>$J$70</formula>
    </cfRule>
  </conditionalFormatting>
  <conditionalFormatting sqref="J78">
    <cfRule type="cellIs" dxfId="388" priority="16" operator="greaterThan">
      <formula>$J$71</formula>
    </cfRule>
  </conditionalFormatting>
  <conditionalFormatting sqref="J79">
    <cfRule type="cellIs" dxfId="387" priority="15" operator="greaterThan">
      <formula>$J$72</formula>
    </cfRule>
  </conditionalFormatting>
  <conditionalFormatting sqref="J80">
    <cfRule type="cellIs" dxfId="386" priority="14" operator="greaterThan">
      <formula>$J$73</formula>
    </cfRule>
  </conditionalFormatting>
  <conditionalFormatting sqref="J81">
    <cfRule type="cellIs" dxfId="385" priority="13" operator="greaterThan">
      <formula>$J$74</formula>
    </cfRule>
  </conditionalFormatting>
  <conditionalFormatting sqref="K76">
    <cfRule type="cellIs" dxfId="384" priority="12" operator="greaterThan">
      <formula>$K$69</formula>
    </cfRule>
  </conditionalFormatting>
  <conditionalFormatting sqref="K77">
    <cfRule type="cellIs" dxfId="383" priority="11" operator="greaterThan">
      <formula>$K$70</formula>
    </cfRule>
  </conditionalFormatting>
  <conditionalFormatting sqref="K78">
    <cfRule type="cellIs" dxfId="382" priority="10" operator="greaterThan">
      <formula>$K$71</formula>
    </cfRule>
  </conditionalFormatting>
  <conditionalFormatting sqref="K79">
    <cfRule type="cellIs" dxfId="381" priority="9" operator="greaterThan">
      <formula>$K$72</formula>
    </cfRule>
  </conditionalFormatting>
  <conditionalFormatting sqref="K80">
    <cfRule type="cellIs" dxfId="380" priority="8" operator="greaterThan">
      <formula>$K$73</formula>
    </cfRule>
  </conditionalFormatting>
  <conditionalFormatting sqref="K81">
    <cfRule type="cellIs" dxfId="379" priority="7" operator="greaterThan">
      <formula>$K$74</formula>
    </cfRule>
  </conditionalFormatting>
  <conditionalFormatting sqref="L76">
    <cfRule type="cellIs" dxfId="378" priority="6" operator="greaterThan">
      <formula>$L$69</formula>
    </cfRule>
  </conditionalFormatting>
  <conditionalFormatting sqref="L77">
    <cfRule type="cellIs" dxfId="377" priority="5" operator="greaterThan">
      <formula>$L$70</formula>
    </cfRule>
  </conditionalFormatting>
  <conditionalFormatting sqref="L78">
    <cfRule type="cellIs" dxfId="376" priority="4" operator="greaterThan">
      <formula>$L$71</formula>
    </cfRule>
  </conditionalFormatting>
  <conditionalFormatting sqref="L79">
    <cfRule type="cellIs" dxfId="375" priority="3" operator="greaterThan">
      <formula>$L$72</formula>
    </cfRule>
  </conditionalFormatting>
  <conditionalFormatting sqref="L80">
    <cfRule type="cellIs" dxfId="374" priority="2" operator="greaterThan">
      <formula>$L$73</formula>
    </cfRule>
  </conditionalFormatting>
  <conditionalFormatting sqref="L81">
    <cfRule type="cellIs" dxfId="373" priority="1" operator="greaterThan">
      <formula>$L$74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14"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63"/>
      <c r="I3" s="63"/>
      <c r="J3" s="63"/>
      <c r="K3" s="63"/>
    </row>
    <row r="4" spans="1:11" x14ac:dyDescent="0.35">
      <c r="A4" s="64" t="s">
        <v>39</v>
      </c>
      <c r="B4" s="64" t="s">
        <v>43</v>
      </c>
      <c r="C4" s="99" t="s">
        <v>44</v>
      </c>
      <c r="D4" s="100"/>
      <c r="E4" s="100"/>
      <c r="F4" s="100"/>
      <c r="G4" s="101"/>
    </row>
    <row r="5" spans="1:11" x14ac:dyDescent="0.35">
      <c r="A5" s="65" t="s">
        <v>52</v>
      </c>
      <c r="B5" s="65"/>
      <c r="C5" s="102"/>
      <c r="D5" s="102"/>
      <c r="E5" s="102"/>
      <c r="F5" s="102"/>
      <c r="G5" s="102"/>
    </row>
    <row r="6" spans="1:11" x14ac:dyDescent="0.35">
      <c r="A6" s="66" t="s">
        <v>40</v>
      </c>
      <c r="B6" s="66" t="s">
        <v>184</v>
      </c>
      <c r="C6" s="103" t="s">
        <v>189</v>
      </c>
      <c r="D6" s="103"/>
      <c r="E6" s="103"/>
      <c r="F6" s="103"/>
      <c r="G6" s="103"/>
    </row>
    <row r="7" spans="1:11" x14ac:dyDescent="0.35">
      <c r="A7" s="66" t="s">
        <v>41</v>
      </c>
      <c r="B7" s="66" t="s">
        <v>184</v>
      </c>
      <c r="C7" s="103" t="s">
        <v>190</v>
      </c>
      <c r="D7" s="103"/>
      <c r="E7" s="103"/>
      <c r="F7" s="103"/>
      <c r="G7" s="103"/>
    </row>
    <row r="8" spans="1:11" x14ac:dyDescent="0.35">
      <c r="A8" s="66" t="s">
        <v>42</v>
      </c>
      <c r="B8" s="66" t="s">
        <v>184</v>
      </c>
      <c r="C8" s="103" t="s">
        <v>181</v>
      </c>
      <c r="D8" s="103"/>
      <c r="E8" s="103"/>
      <c r="F8" s="103"/>
      <c r="G8" s="103"/>
    </row>
    <row r="9" spans="1:11" x14ac:dyDescent="0.35">
      <c r="A9" s="66" t="s">
        <v>165</v>
      </c>
      <c r="B9" s="66" t="s">
        <v>184</v>
      </c>
      <c r="C9" s="103" t="s">
        <v>182</v>
      </c>
      <c r="D9" s="103"/>
      <c r="E9" s="103"/>
      <c r="F9" s="103"/>
      <c r="G9" s="103"/>
    </row>
    <row r="10" spans="1:11" x14ac:dyDescent="0.35">
      <c r="A10" s="66"/>
      <c r="B10" s="66"/>
      <c r="C10" s="97"/>
      <c r="D10" s="97"/>
      <c r="E10" s="97"/>
      <c r="F10" s="97"/>
      <c r="G10" s="97"/>
    </row>
    <row r="11" spans="1:11" x14ac:dyDescent="0.35">
      <c r="A11" s="66"/>
      <c r="B11" s="66"/>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19.202087997956422</v>
      </c>
      <c r="E27" s="14">
        <f t="shared" ref="E27:L27" si="2">IF(E$25&lt;&gt;"",D89,"")</f>
        <v>17.798428243956995</v>
      </c>
      <c r="F27" s="14">
        <f t="shared" si="2"/>
        <v>16.738607840956995</v>
      </c>
      <c r="G27" s="14">
        <f t="shared" si="2"/>
        <v>15.912029191456391</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7.6425607766800914</v>
      </c>
      <c r="F28" s="14">
        <f t="shared" si="3"/>
        <v>6.6113060670383863</v>
      </c>
      <c r="G28" s="14">
        <f t="shared" si="3"/>
        <v>6.2249460986089646</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10.169830864307119</v>
      </c>
      <c r="E29" s="14">
        <f t="shared" si="6"/>
        <v>10.155867467276902</v>
      </c>
      <c r="F29" s="14">
        <f t="shared" si="6"/>
        <v>10.127301773918607</v>
      </c>
      <c r="G29" s="14">
        <f t="shared" si="6"/>
        <v>9.687083092847427</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9.601043998978211</v>
      </c>
      <c r="E35" s="14">
        <f t="shared" si="7"/>
        <v>8.8992141219784973</v>
      </c>
      <c r="F35" s="14">
        <f t="shared" si="7"/>
        <v>8.3693039204784974</v>
      </c>
      <c r="G35" s="14">
        <f t="shared" si="7"/>
        <v>7.9560145957281954</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9.601043998978211</v>
      </c>
      <c r="E36" s="14">
        <f t="shared" si="7"/>
        <v>8.8992141219784973</v>
      </c>
      <c r="F36" s="14">
        <f t="shared" si="7"/>
        <v>8.3693039204784974</v>
      </c>
      <c r="G36" s="14">
        <f t="shared" si="7"/>
        <v>7.9560145957281954</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0.92282040300000001</v>
      </c>
      <c r="F37" s="14">
        <f>IF(F$25&lt;&gt;"",VLOOKUP(F35*1000000,'Powell-Elevation-Area'!$B$5:$D$689,3)*$B$21/1000000 + VLOOKUP(F36*1000000,'Mead-Elevation-Area'!$B$5:$D$676,3)*$C$21/1000000,"")</f>
        <v>0.88957864950059995</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0.45469635696921151</v>
      </c>
      <c r="E38" s="14">
        <f t="shared" si="8"/>
        <v>0.39625470964170584</v>
      </c>
      <c r="F38" s="14">
        <f t="shared" si="8"/>
        <v>0.3513599684294223</v>
      </c>
      <c r="G38" s="14">
        <f t="shared" si="8"/>
        <v>0.33787833714355547</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0.51196339703021554</v>
      </c>
      <c r="E39" s="14">
        <f t="shared" si="10"/>
        <v>0.52656569335829417</v>
      </c>
      <c r="F39" s="14">
        <f t="shared" si="10"/>
        <v>0.53821868107117754</v>
      </c>
      <c r="G39" s="14">
        <f t="shared" si="10"/>
        <v>0.52579660535761763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10.942560776680091</v>
      </c>
      <c r="E69" s="14">
        <f t="shared" si="27"/>
        <v>9.6113060670383863</v>
      </c>
      <c r="F69" s="14">
        <f t="shared" si="27"/>
        <v>9.0249460986089645</v>
      </c>
      <c r="G69" s="14">
        <f t="shared" si="27"/>
        <v>8.6520677614654087</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17.03683086430712</v>
      </c>
      <c r="D70" s="14">
        <f t="shared" si="29"/>
        <v>17.022867467276903</v>
      </c>
      <c r="E70" s="14">
        <f t="shared" si="29"/>
        <v>16.994301773918608</v>
      </c>
      <c r="F70" s="14">
        <f t="shared" si="29"/>
        <v>16.554083092847428</v>
      </c>
      <c r="G70" s="14">
        <f t="shared" si="29"/>
        <v>16.126286487489811</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1.5090143220436021</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7.6425607766800914</v>
      </c>
      <c r="E83" s="14">
        <f t="shared" si="34"/>
        <v>6.6113060670383863</v>
      </c>
      <c r="F83" s="14">
        <f t="shared" si="34"/>
        <v>6.2249460986089646</v>
      </c>
      <c r="G83" s="14">
        <f t="shared" si="34"/>
        <v>5.8520677614654089</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10.169830864307119</v>
      </c>
      <c r="D84" s="14">
        <f t="shared" si="36"/>
        <v>10.155867467276902</v>
      </c>
      <c r="E84" s="14">
        <f t="shared" si="36"/>
        <v>10.127301773918607</v>
      </c>
      <c r="F84" s="14">
        <f t="shared" si="36"/>
        <v>9.687083092847427</v>
      </c>
      <c r="G84" s="14">
        <f t="shared" si="36"/>
        <v>9.2592864874898098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19.202087997956422</v>
      </c>
      <c r="D89" s="14">
        <f t="shared" ref="D89:L89" si="37">IF(D$25&lt;&gt;"",SUM(D83:D88),"")</f>
        <v>17.798428243956995</v>
      </c>
      <c r="E89" s="14">
        <f t="shared" si="37"/>
        <v>16.738607840956995</v>
      </c>
      <c r="F89" s="14">
        <f t="shared" si="37"/>
        <v>15.912029191456391</v>
      </c>
      <c r="G89" s="14">
        <f t="shared" si="37"/>
        <v>15.11135424895522</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8.1662131346710911</v>
      </c>
      <c r="D90" s="14">
        <f t="shared" ref="D90:L90" si="38">IF(D25&lt;&gt;"",D35+D25-D38-D76-D89*$B$35,"")</f>
        <v>7.9471335200305031</v>
      </c>
      <c r="E90" s="14">
        <f t="shared" si="38"/>
        <v>8.133655491858292</v>
      </c>
      <c r="F90" s="14">
        <f t="shared" si="38"/>
        <v>8.2619293563208807</v>
      </c>
      <c r="G90" s="14">
        <f t="shared" si="38"/>
        <v>8.262459134107031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2" priority="65" operator="greaterThan">
      <formula>$C$70</formula>
    </cfRule>
  </conditionalFormatting>
  <conditionalFormatting sqref="C78">
    <cfRule type="cellIs" dxfId="371" priority="64" operator="greaterThan">
      <formula>$C$71</formula>
    </cfRule>
  </conditionalFormatting>
  <conditionalFormatting sqref="C79">
    <cfRule type="cellIs" dxfId="370" priority="63" operator="greaterThan">
      <formula>$C$72</formula>
    </cfRule>
  </conditionalFormatting>
  <conditionalFormatting sqref="C80">
    <cfRule type="cellIs" dxfId="369" priority="62" operator="greaterThan">
      <formula>$C$73</formula>
    </cfRule>
  </conditionalFormatting>
  <conditionalFormatting sqref="C81">
    <cfRule type="cellIs" dxfId="368" priority="61" operator="greaterThan">
      <formula>$C$74</formula>
    </cfRule>
  </conditionalFormatting>
  <conditionalFormatting sqref="D77">
    <cfRule type="cellIs" dxfId="367" priority="59" operator="greaterThan">
      <formula>$D$70</formula>
    </cfRule>
  </conditionalFormatting>
  <conditionalFormatting sqref="D78">
    <cfRule type="cellIs" dxfId="366" priority="58" operator="greaterThan">
      <formula>$D$71</formula>
    </cfRule>
  </conditionalFormatting>
  <conditionalFormatting sqref="D79">
    <cfRule type="cellIs" dxfId="365" priority="57" operator="greaterThan">
      <formula>$D$72</formula>
    </cfRule>
  </conditionalFormatting>
  <conditionalFormatting sqref="D80">
    <cfRule type="cellIs" dxfId="364" priority="56" operator="greaterThan">
      <formula>$D$73</formula>
    </cfRule>
  </conditionalFormatting>
  <conditionalFormatting sqref="D81">
    <cfRule type="cellIs" dxfId="363" priority="55" operator="greaterThan">
      <formula>$D$74</formula>
    </cfRule>
  </conditionalFormatting>
  <conditionalFormatting sqref="E77">
    <cfRule type="cellIs" dxfId="362" priority="53" operator="greaterThan">
      <formula>$E$70</formula>
    </cfRule>
  </conditionalFormatting>
  <conditionalFormatting sqref="E78">
    <cfRule type="cellIs" dxfId="361" priority="52" operator="greaterThan">
      <formula>$E$71</formula>
    </cfRule>
  </conditionalFormatting>
  <conditionalFormatting sqref="E79">
    <cfRule type="cellIs" dxfId="360" priority="51" operator="greaterThan">
      <formula>$E$72</formula>
    </cfRule>
  </conditionalFormatting>
  <conditionalFormatting sqref="E80">
    <cfRule type="cellIs" dxfId="359" priority="50" operator="greaterThan">
      <formula>$E$73</formula>
    </cfRule>
  </conditionalFormatting>
  <conditionalFormatting sqref="E81">
    <cfRule type="cellIs" dxfId="358" priority="49" operator="greaterThan">
      <formula>$E$74</formula>
    </cfRule>
  </conditionalFormatting>
  <conditionalFormatting sqref="F77">
    <cfRule type="cellIs" dxfId="357" priority="47" operator="greaterThan">
      <formula>$F$70</formula>
    </cfRule>
  </conditionalFormatting>
  <conditionalFormatting sqref="F78">
    <cfRule type="cellIs" dxfId="356" priority="46" operator="greaterThan">
      <formula>$F$71</formula>
    </cfRule>
  </conditionalFormatting>
  <conditionalFormatting sqref="F79">
    <cfRule type="cellIs" dxfId="355" priority="45" operator="greaterThan">
      <formula>$F$72</formula>
    </cfRule>
  </conditionalFormatting>
  <conditionalFormatting sqref="F80">
    <cfRule type="cellIs" dxfId="354" priority="44" operator="greaterThan">
      <formula>$F$73</formula>
    </cfRule>
  </conditionalFormatting>
  <conditionalFormatting sqref="F81">
    <cfRule type="cellIs" dxfId="353" priority="43" operator="greaterThan">
      <formula>$F$74</formula>
    </cfRule>
  </conditionalFormatting>
  <conditionalFormatting sqref="G77">
    <cfRule type="cellIs" dxfId="352" priority="41" operator="greaterThan">
      <formula>$G$70</formula>
    </cfRule>
  </conditionalFormatting>
  <conditionalFormatting sqref="G78">
    <cfRule type="cellIs" dxfId="351" priority="40" operator="greaterThan">
      <formula>$G$71</formula>
    </cfRule>
  </conditionalFormatting>
  <conditionalFormatting sqref="G79">
    <cfRule type="cellIs" dxfId="350" priority="39" operator="greaterThan">
      <formula>$G$72</formula>
    </cfRule>
  </conditionalFormatting>
  <conditionalFormatting sqref="G80">
    <cfRule type="cellIs" dxfId="349" priority="38" operator="greaterThan">
      <formula>$G$73</formula>
    </cfRule>
  </conditionalFormatting>
  <conditionalFormatting sqref="G81">
    <cfRule type="cellIs" dxfId="348" priority="37" operator="greaterThan">
      <formula>$G$74</formula>
    </cfRule>
  </conditionalFormatting>
  <conditionalFormatting sqref="H76">
    <cfRule type="cellIs" dxfId="347" priority="36" operator="greaterThan">
      <formula>$H$69</formula>
    </cfRule>
  </conditionalFormatting>
  <conditionalFormatting sqref="H77">
    <cfRule type="cellIs" dxfId="346" priority="35" operator="greaterThan">
      <formula>$H$70</formula>
    </cfRule>
  </conditionalFormatting>
  <conditionalFormatting sqref="H78">
    <cfRule type="cellIs" dxfId="345" priority="34" operator="greaterThan">
      <formula>$H$71</formula>
    </cfRule>
  </conditionalFormatting>
  <conditionalFormatting sqref="H79">
    <cfRule type="cellIs" dxfId="344" priority="33" operator="greaterThan">
      <formula>$H$72</formula>
    </cfRule>
  </conditionalFormatting>
  <conditionalFormatting sqref="H80">
    <cfRule type="cellIs" dxfId="343" priority="32" operator="greaterThan">
      <formula>$H$73</formula>
    </cfRule>
  </conditionalFormatting>
  <conditionalFormatting sqref="H81">
    <cfRule type="cellIs" dxfId="342" priority="31" operator="greaterThan">
      <formula>$H$74</formula>
    </cfRule>
  </conditionalFormatting>
  <conditionalFormatting sqref="I76">
    <cfRule type="cellIs" dxfId="341" priority="30" operator="greaterThan">
      <formula>$I$69</formula>
    </cfRule>
  </conditionalFormatting>
  <conditionalFormatting sqref="I77">
    <cfRule type="cellIs" dxfId="340" priority="29" operator="greaterThan">
      <formula>$I$70</formula>
    </cfRule>
  </conditionalFormatting>
  <conditionalFormatting sqref="I78">
    <cfRule type="cellIs" dxfId="339" priority="28" operator="greaterThan">
      <formula>$I$71</formula>
    </cfRule>
  </conditionalFormatting>
  <conditionalFormatting sqref="I79">
    <cfRule type="cellIs" dxfId="338" priority="27" operator="greaterThan">
      <formula>$I$72</formula>
    </cfRule>
  </conditionalFormatting>
  <conditionalFormatting sqref="I80">
    <cfRule type="cellIs" dxfId="337" priority="26" operator="greaterThan">
      <formula>$I$73</formula>
    </cfRule>
  </conditionalFormatting>
  <conditionalFormatting sqref="I81">
    <cfRule type="cellIs" dxfId="336" priority="25" operator="greaterThan">
      <formula>$I$74</formula>
    </cfRule>
  </conditionalFormatting>
  <conditionalFormatting sqref="J76">
    <cfRule type="cellIs" dxfId="335" priority="24" operator="greaterThan">
      <formula>$J$69</formula>
    </cfRule>
  </conditionalFormatting>
  <conditionalFormatting sqref="J77">
    <cfRule type="cellIs" dxfId="334" priority="23" operator="greaterThan">
      <formula>$J$70</formula>
    </cfRule>
  </conditionalFormatting>
  <conditionalFormatting sqref="J78">
    <cfRule type="cellIs" dxfId="333" priority="22" operator="greaterThan">
      <formula>$J$71</formula>
    </cfRule>
  </conditionalFormatting>
  <conditionalFormatting sqref="J79">
    <cfRule type="cellIs" dxfId="332" priority="21" operator="greaterThan">
      <formula>$J$72</formula>
    </cfRule>
  </conditionalFormatting>
  <conditionalFormatting sqref="J80">
    <cfRule type="cellIs" dxfId="331" priority="20" operator="greaterThan">
      <formula>$J$73</formula>
    </cfRule>
  </conditionalFormatting>
  <conditionalFormatting sqref="J81">
    <cfRule type="cellIs" dxfId="330" priority="19" operator="greaterThan">
      <formula>$J$74</formula>
    </cfRule>
  </conditionalFormatting>
  <conditionalFormatting sqref="K76">
    <cfRule type="cellIs" dxfId="329" priority="18" operator="greaterThan">
      <formula>$K$69</formula>
    </cfRule>
  </conditionalFormatting>
  <conditionalFormatting sqref="K77">
    <cfRule type="cellIs" dxfId="328" priority="17" operator="greaterThan">
      <formula>$K$70</formula>
    </cfRule>
  </conditionalFormatting>
  <conditionalFormatting sqref="K78">
    <cfRule type="cellIs" dxfId="327" priority="16" operator="greaterThan">
      <formula>$K$71</formula>
    </cfRule>
  </conditionalFormatting>
  <conditionalFormatting sqref="K79">
    <cfRule type="cellIs" dxfId="326" priority="15" operator="greaterThan">
      <formula>$K$72</formula>
    </cfRule>
  </conditionalFormatting>
  <conditionalFormatting sqref="K80">
    <cfRule type="cellIs" dxfId="325" priority="14" operator="greaterThan">
      <formula>$K$73</formula>
    </cfRule>
  </conditionalFormatting>
  <conditionalFormatting sqref="K81">
    <cfRule type="cellIs" dxfId="324" priority="13" operator="greaterThan">
      <formula>$K$74</formula>
    </cfRule>
  </conditionalFormatting>
  <conditionalFormatting sqref="L76">
    <cfRule type="cellIs" dxfId="323" priority="12" operator="greaterThan">
      <formula>$L$69</formula>
    </cfRule>
  </conditionalFormatting>
  <conditionalFormatting sqref="L77">
    <cfRule type="cellIs" dxfId="322" priority="11" operator="greaterThan">
      <formula>$L$70</formula>
    </cfRule>
  </conditionalFormatting>
  <conditionalFormatting sqref="L78">
    <cfRule type="cellIs" dxfId="321" priority="10" operator="greaterThan">
      <formula>$L$71</formula>
    </cfRule>
  </conditionalFormatting>
  <conditionalFormatting sqref="L79">
    <cfRule type="cellIs" dxfId="320" priority="9" operator="greaterThan">
      <formula>$L$72</formula>
    </cfRule>
  </conditionalFormatting>
  <conditionalFormatting sqref="L80">
    <cfRule type="cellIs" dxfId="319" priority="8" operator="greaterThan">
      <formula>$L$73</formula>
    </cfRule>
  </conditionalFormatting>
  <conditionalFormatting sqref="L81">
    <cfRule type="cellIs" dxfId="318" priority="7" operator="greaterThan">
      <formula>$L$74</formula>
    </cfRule>
  </conditionalFormatting>
  <conditionalFormatting sqref="D76:F76">
    <cfRule type="cellIs" dxfId="317" priority="3" operator="greaterThan">
      <formula>$D$69</formula>
    </cfRule>
  </conditionalFormatting>
  <conditionalFormatting sqref="G76">
    <cfRule type="cellIs" dxfId="316" priority="1" operator="greaterThan">
      <formula>$G$69</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7"/>
  <sheetViews>
    <sheetView topLeftCell="A21" zoomScale="150" zoomScaleNormal="150" workbookViewId="0">
      <selection activeCell="G73" sqref="G7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75"/>
      <c r="I3" s="75"/>
      <c r="J3" s="75"/>
      <c r="K3" s="75"/>
    </row>
    <row r="4" spans="1:11" x14ac:dyDescent="0.35">
      <c r="A4" s="64" t="s">
        <v>39</v>
      </c>
      <c r="B4" s="64" t="s">
        <v>43</v>
      </c>
      <c r="C4" s="99" t="s">
        <v>44</v>
      </c>
      <c r="D4" s="100"/>
      <c r="E4" s="100"/>
      <c r="F4" s="100"/>
      <c r="G4" s="101"/>
    </row>
    <row r="5" spans="1:11" x14ac:dyDescent="0.35">
      <c r="A5" s="76" t="s">
        <v>52</v>
      </c>
      <c r="B5" s="76"/>
      <c r="C5" s="102"/>
      <c r="D5" s="102"/>
      <c r="E5" s="102"/>
      <c r="F5" s="102"/>
      <c r="G5" s="102"/>
    </row>
    <row r="6" spans="1:11" x14ac:dyDescent="0.35">
      <c r="A6" s="74" t="s">
        <v>40</v>
      </c>
      <c r="B6" s="74" t="s">
        <v>184</v>
      </c>
      <c r="C6" s="103" t="s">
        <v>189</v>
      </c>
      <c r="D6" s="103"/>
      <c r="E6" s="103"/>
      <c r="F6" s="103"/>
      <c r="G6" s="103"/>
    </row>
    <row r="7" spans="1:11" x14ac:dyDescent="0.35">
      <c r="A7" s="74" t="s">
        <v>41</v>
      </c>
      <c r="B7" s="74" t="s">
        <v>184</v>
      </c>
      <c r="C7" s="103" t="s">
        <v>190</v>
      </c>
      <c r="D7" s="103"/>
      <c r="E7" s="103"/>
      <c r="F7" s="103"/>
      <c r="G7" s="103"/>
    </row>
    <row r="8" spans="1:11" x14ac:dyDescent="0.35">
      <c r="A8" s="74" t="s">
        <v>42</v>
      </c>
      <c r="B8" s="74" t="s">
        <v>184</v>
      </c>
      <c r="C8" s="103" t="s">
        <v>181</v>
      </c>
      <c r="D8" s="103"/>
      <c r="E8" s="103"/>
      <c r="F8" s="103"/>
      <c r="G8" s="103"/>
    </row>
    <row r="9" spans="1:11" x14ac:dyDescent="0.35">
      <c r="A9" s="74" t="s">
        <v>165</v>
      </c>
      <c r="B9" s="74" t="s">
        <v>184</v>
      </c>
      <c r="C9" s="103" t="s">
        <v>182</v>
      </c>
      <c r="D9" s="103"/>
      <c r="E9" s="103"/>
      <c r="F9" s="103"/>
      <c r="G9" s="103"/>
    </row>
    <row r="10" spans="1:11" x14ac:dyDescent="0.35">
      <c r="A10" s="74" t="s">
        <v>200</v>
      </c>
      <c r="B10" s="74" t="s">
        <v>184</v>
      </c>
      <c r="C10" s="97" t="s">
        <v>201</v>
      </c>
      <c r="D10" s="97"/>
      <c r="E10" s="97"/>
      <c r="F10" s="97"/>
      <c r="G10" s="97"/>
    </row>
    <row r="11" spans="1:11" x14ac:dyDescent="0.35">
      <c r="A11" s="74"/>
      <c r="B11" s="74"/>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226</v>
      </c>
      <c r="B23" s="107">
        <v>3525</v>
      </c>
      <c r="C23" s="10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IF(D$27&lt;&gt;"",C91,"")</f>
        <v>19.419925837338837</v>
      </c>
      <c r="E29" s="14">
        <f t="shared" ref="E29:L29" si="2">IF(E$27&lt;&gt;"",D91,"")</f>
        <v>18.811792655184497</v>
      </c>
      <c r="F29" s="14">
        <f t="shared" si="2"/>
        <v>18.530078575694919</v>
      </c>
      <c r="G29" s="14">
        <f t="shared" si="2"/>
        <v>18.461333377576072</v>
      </c>
      <c r="H29" s="14" t="str">
        <f t="shared" si="2"/>
        <v/>
      </c>
      <c r="I29" s="14" t="str">
        <f t="shared" si="2"/>
        <v/>
      </c>
      <c r="J29" s="14" t="str">
        <f t="shared" si="2"/>
        <v/>
      </c>
      <c r="K29" s="14" t="str">
        <f t="shared" si="2"/>
        <v/>
      </c>
      <c r="L29" s="14" t="str">
        <f t="shared" si="2"/>
        <v/>
      </c>
    </row>
    <row r="30" spans="1:14" x14ac:dyDescent="0.35">
      <c r="A30" t="str">
        <f>IF(A6="","","    "&amp;A6&amp;" Balance")</f>
        <v xml:space="preserve">    Upper Basin Balance</v>
      </c>
      <c r="B30" s="55">
        <f>B22-B24</f>
        <v>5.0734237499999999</v>
      </c>
      <c r="C30" s="14">
        <f>IF(OR(C$27="",$A30=""),"",B30)</f>
        <v>5.0734237499999999</v>
      </c>
      <c r="D30" s="14">
        <f>IF(OR(D$27="",$A30=""),"",C85)</f>
        <v>3.2624438809560035</v>
      </c>
      <c r="E30" s="14">
        <f t="shared" ref="E30:L30" si="3">IF(OR(E$27="",$A30=""),"",D85)</f>
        <v>2.6059121066952144</v>
      </c>
      <c r="F30" s="14">
        <f t="shared" si="3"/>
        <v>2.2851245093047288</v>
      </c>
      <c r="G30" s="14">
        <f t="shared" si="3"/>
        <v>2.5817095100952416</v>
      </c>
      <c r="H30" s="14" t="str">
        <f t="shared" si="3"/>
        <v/>
      </c>
      <c r="I30" s="14" t="str">
        <f t="shared" si="3"/>
        <v/>
      </c>
      <c r="J30" s="14" t="str">
        <f t="shared" si="3"/>
        <v/>
      </c>
      <c r="K30" s="14" t="str">
        <f t="shared" si="3"/>
        <v/>
      </c>
      <c r="L30" s="14" t="str">
        <f t="shared" si="3"/>
        <v/>
      </c>
      <c r="N30" t="s">
        <v>229</v>
      </c>
    </row>
    <row r="31" spans="1:14" x14ac:dyDescent="0.35">
      <c r="A31" t="str">
        <f>IF(A7="","","    "&amp;A7&amp;" Balance")</f>
        <v xml:space="preserve">    Lower Basin Balance</v>
      </c>
      <c r="B31" s="55">
        <f>C22-C24-B32</f>
        <v>4.3944069999999993</v>
      </c>
      <c r="C31" s="14">
        <f t="shared" ref="C31:C35" si="4">IF(OR(C$27="",$A31=""),"",B31)</f>
        <v>4.3944069999999993</v>
      </c>
      <c r="D31" s="14">
        <f t="shared" ref="D31:L35" si="5">IF(OR(D$27="",$A31=""),"",C86)</f>
        <v>4.566312706382833</v>
      </c>
      <c r="E31" s="14">
        <f t="shared" si="5"/>
        <v>4.6147112984892829</v>
      </c>
      <c r="F31" s="14">
        <f t="shared" si="5"/>
        <v>4.6537848163901909</v>
      </c>
      <c r="G31" s="14">
        <f t="shared" si="5"/>
        <v>4.2884546174808307</v>
      </c>
      <c r="H31" s="14" t="str">
        <f t="shared" si="5"/>
        <v/>
      </c>
      <c r="I31" s="14" t="str">
        <f t="shared" si="5"/>
        <v/>
      </c>
      <c r="J31" s="14" t="str">
        <f t="shared" si="5"/>
        <v/>
      </c>
      <c r="K31" s="14" t="str">
        <f t="shared" si="5"/>
        <v/>
      </c>
      <c r="L31" s="14" t="str">
        <f t="shared" si="5"/>
        <v/>
      </c>
      <c r="N31" t="s">
        <v>225</v>
      </c>
    </row>
    <row r="32" spans="1:14" x14ac:dyDescent="0.35">
      <c r="A32" t="str">
        <f>IF(A8="","","    "&amp;A8&amp;" Balance")</f>
        <v xml:space="preserve">    Mexico Balance</v>
      </c>
      <c r="B32" s="106">
        <v>4.1000000000000002E-2</v>
      </c>
      <c r="C32" s="59">
        <f t="shared" si="4"/>
        <v>4.1000000000000002E-2</v>
      </c>
      <c r="D32" s="59">
        <f t="shared" si="5"/>
        <v>0</v>
      </c>
      <c r="E32" s="59">
        <f t="shared" si="5"/>
        <v>0</v>
      </c>
      <c r="F32" s="59">
        <f t="shared" si="5"/>
        <v>0</v>
      </c>
      <c r="G32" s="59">
        <f t="shared" si="5"/>
        <v>0</v>
      </c>
      <c r="H32" s="14" t="str">
        <f t="shared" si="5"/>
        <v/>
      </c>
      <c r="I32" s="14" t="str">
        <f t="shared" si="5"/>
        <v/>
      </c>
      <c r="J32" s="14" t="str">
        <f t="shared" si="5"/>
        <v/>
      </c>
      <c r="K32" s="14" t="str">
        <f t="shared" si="5"/>
        <v/>
      </c>
      <c r="L32" s="14" t="str">
        <f t="shared" si="5"/>
        <v/>
      </c>
      <c r="N32" t="s">
        <v>224</v>
      </c>
    </row>
    <row r="33" spans="1:15" x14ac:dyDescent="0.35">
      <c r="A33" t="str">
        <f>IF(A9="","","    "&amp;A9&amp;" Balance")</f>
        <v xml:space="preserve">    Mohave &amp; Havasu Evap &amp; ET Balance</v>
      </c>
      <c r="B33" s="56">
        <v>0</v>
      </c>
      <c r="C33" s="14">
        <f t="shared" si="4"/>
        <v>0</v>
      </c>
      <c r="D33" s="14">
        <f t="shared" si="5"/>
        <v>0</v>
      </c>
      <c r="E33" s="14">
        <f t="shared" si="5"/>
        <v>0</v>
      </c>
      <c r="F33" s="14">
        <f t="shared" si="5"/>
        <v>0</v>
      </c>
      <c r="G33" s="14">
        <f t="shared" si="5"/>
        <v>0</v>
      </c>
      <c r="H33" s="14" t="str">
        <f t="shared" si="5"/>
        <v/>
      </c>
      <c r="I33" s="14" t="str">
        <f t="shared" si="5"/>
        <v/>
      </c>
      <c r="J33" s="14" t="str">
        <f t="shared" si="5"/>
        <v/>
      </c>
      <c r="K33" s="14" t="str">
        <f t="shared" si="5"/>
        <v/>
      </c>
      <c r="L33" s="14" t="str">
        <f t="shared" si="5"/>
        <v/>
      </c>
    </row>
    <row r="34" spans="1:15" x14ac:dyDescent="0.35">
      <c r="A34" t="str">
        <f>IF(A10="","","    "&amp;A10&amp;" Balance")</f>
        <v xml:space="preserve">    Shared, Reserve Balance</v>
      </c>
      <c r="B34" s="55">
        <f>SUM(B24:C24)</f>
        <v>11.59116925</v>
      </c>
      <c r="C34" s="14">
        <f t="shared" si="4"/>
        <v>11.59116925</v>
      </c>
      <c r="D34" s="14">
        <f t="shared" si="5"/>
        <v>11.59116925</v>
      </c>
      <c r="E34" s="14">
        <f t="shared" si="5"/>
        <v>11.59116925</v>
      </c>
      <c r="F34" s="14">
        <f t="shared" si="5"/>
        <v>11.59116925</v>
      </c>
      <c r="G34" s="14">
        <f t="shared" si="5"/>
        <v>11.59116925</v>
      </c>
      <c r="H34" s="14" t="str">
        <f t="shared" si="5"/>
        <v/>
      </c>
      <c r="I34" s="14" t="str">
        <f t="shared" si="5"/>
        <v/>
      </c>
      <c r="J34" s="14" t="str">
        <f t="shared" si="5"/>
        <v/>
      </c>
      <c r="K34" s="14" t="str">
        <f t="shared" si="5"/>
        <v/>
      </c>
      <c r="L34" s="14" t="str">
        <f t="shared" si="5"/>
        <v/>
      </c>
      <c r="N34" t="s">
        <v>228</v>
      </c>
    </row>
    <row r="35" spans="1:15" x14ac:dyDescent="0.35">
      <c r="A35" t="str">
        <f>IF(A11="","","    "&amp;A11&amp;" Balance")</f>
        <v/>
      </c>
      <c r="B35" s="56"/>
      <c r="C35" s="14" t="str">
        <f t="shared" si="4"/>
        <v/>
      </c>
      <c r="D35" s="14" t="str">
        <f t="shared" si="5"/>
        <v/>
      </c>
      <c r="E35" s="14" t="str">
        <f t="shared" si="5"/>
        <v/>
      </c>
      <c r="F35" s="14" t="str">
        <f t="shared" si="5"/>
        <v/>
      </c>
      <c r="G35" s="14" t="str">
        <f t="shared" si="5"/>
        <v/>
      </c>
      <c r="H35" s="14" t="str">
        <f t="shared" si="5"/>
        <v/>
      </c>
      <c r="I35" s="14" t="str">
        <f t="shared" si="5"/>
        <v/>
      </c>
      <c r="J35" s="14" t="str">
        <f t="shared" si="5"/>
        <v/>
      </c>
      <c r="K35" s="14" t="str">
        <f t="shared" si="5"/>
        <v/>
      </c>
      <c r="L35" s="14" t="str">
        <f t="shared" si="5"/>
        <v/>
      </c>
    </row>
    <row r="36" spans="1:15" x14ac:dyDescent="0.35">
      <c r="A36" s="1" t="s">
        <v>117</v>
      </c>
      <c r="C36"/>
    </row>
    <row r="37" spans="1:15" x14ac:dyDescent="0.35">
      <c r="A37" t="s">
        <v>115</v>
      </c>
      <c r="B37" s="35">
        <v>0.5</v>
      </c>
      <c r="C37" s="14">
        <f>IF(C$27&lt;&gt;"",B22,"")</f>
        <v>11</v>
      </c>
      <c r="D37" s="14">
        <f t="shared" ref="D37:L38" si="6">IF(D27&lt;&gt;"",$B37*D$29,"")</f>
        <v>9.7099629186694187</v>
      </c>
      <c r="E37" s="14">
        <f t="shared" si="6"/>
        <v>9.4058963275922487</v>
      </c>
      <c r="F37" s="14">
        <f t="shared" si="6"/>
        <v>9.2650392878474594</v>
      </c>
      <c r="G37" s="14">
        <f t="shared" si="6"/>
        <v>9.2306666887880358</v>
      </c>
      <c r="H37" s="14" t="str">
        <f t="shared" si="6"/>
        <v/>
      </c>
      <c r="I37" s="14" t="str">
        <f t="shared" si="6"/>
        <v/>
      </c>
      <c r="J37" s="14" t="str">
        <f t="shared" si="6"/>
        <v/>
      </c>
      <c r="K37" s="14" t="str">
        <f t="shared" si="6"/>
        <v/>
      </c>
      <c r="L37" s="14" t="str">
        <f t="shared" si="6"/>
        <v/>
      </c>
    </row>
    <row r="38" spans="1:15" x14ac:dyDescent="0.35">
      <c r="A38" t="s">
        <v>116</v>
      </c>
      <c r="B38" s="35">
        <f>1-B37</f>
        <v>0.5</v>
      </c>
      <c r="C38" s="14">
        <f>IF(C$27&lt;&gt;"",C22,"")</f>
        <v>10.1</v>
      </c>
      <c r="D38" s="14">
        <f t="shared" si="6"/>
        <v>9.7099629186694187</v>
      </c>
      <c r="E38" s="14">
        <f t="shared" si="6"/>
        <v>9.4058963275922487</v>
      </c>
      <c r="F38" s="14">
        <f t="shared" si="6"/>
        <v>9.2650392878474594</v>
      </c>
      <c r="G38" s="14">
        <f t="shared" si="6"/>
        <v>9.2306666887880358</v>
      </c>
      <c r="H38" s="14" t="str">
        <f t="shared" si="6"/>
        <v/>
      </c>
      <c r="I38" s="14" t="str">
        <f t="shared" si="6"/>
        <v/>
      </c>
      <c r="J38" s="14" t="str">
        <f t="shared" si="6"/>
        <v/>
      </c>
      <c r="K38" s="14" t="str">
        <f t="shared" si="6"/>
        <v/>
      </c>
      <c r="L38" s="14" t="str">
        <f t="shared" si="6"/>
        <v/>
      </c>
    </row>
    <row r="39" spans="1:15" x14ac:dyDescent="0.35">
      <c r="A39" s="1" t="s">
        <v>121</v>
      </c>
      <c r="B39" s="1"/>
      <c r="C39" s="14">
        <f>IF(C$27&lt;&gt;"",VLOOKUP(C37*1000000,'Powell-Elevation-Area'!$B$5:$D$689,3)*$B$21/1000000 + VLOOKUP(C38*1000000,'Mead-Elevation-Area'!$B$5:$D$676,3)*$C$21/1000000,"")</f>
        <v>1.0218976799999733</v>
      </c>
      <c r="D39" s="14">
        <f>IF(D$27&lt;&gt;"",VLOOKUP(D37*1000000,'Powell-Elevation-Area'!$B$5:$D$689,3)*$B$21/1000000 + VLOOKUP(D38*1000000,'Mead-Elevation-Area'!$B$5:$D$676,3)*$C$21/1000000,"")</f>
        <v>0.97147479300117312</v>
      </c>
      <c r="E39" s="14">
        <f>IF(E$27&lt;&gt;"",VLOOKUP(E37*1000000,'Powell-Elevation-Area'!$B$5:$D$689,3)*$B$21/1000000 + VLOOKUP(E38*1000000,'Mead-Elevation-Area'!$B$5:$D$676,3)*$C$21/1000000,"")</f>
        <v>0.95461615649940001</v>
      </c>
      <c r="F39" s="14">
        <f>IF(F$27&lt;&gt;"",VLOOKUP(F37*1000000,'Powell-Elevation-Area'!$B$5:$D$689,3)*$B$21/1000000 + VLOOKUP(F38*1000000,'Mead-Elevation-Area'!$B$5:$D$676,3)*$C$21/1000000,"")</f>
        <v>0.94498607849939997</v>
      </c>
      <c r="G39" s="14">
        <f>IF(G$27&lt;&gt;"",VLOOKUP(G37*1000000,'Powell-Elevation-Area'!$B$5:$D$689,3)*$B$21/1000000 + VLOOKUP(G38*1000000,'Mead-Elevation-Area'!$B$5:$D$676,3)*$C$21/1000000,"")</f>
        <v>0.94399007849999994</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5" x14ac:dyDescent="0.35">
      <c r="A40" t="str">
        <f>IF(A6="","","    "&amp;A6&amp;" Share")</f>
        <v xml:space="preserve">    Upper Basin Share</v>
      </c>
      <c r="B40" s="1"/>
      <c r="C40" s="14">
        <f>IF(OR(C$27="",$A40=""),"",C$39*C30/C$29)</f>
        <v>0.24571184643515467</v>
      </c>
      <c r="D40" s="14">
        <f t="shared" ref="D40:L40" si="7">IF(OR(D$27="",$A40=""),"",D$39*D30/D$29)</f>
        <v>0.16320257968420676</v>
      </c>
      <c r="E40" s="14">
        <f t="shared" si="7"/>
        <v>0.13223863589539667</v>
      </c>
      <c r="F40" s="14">
        <f t="shared" si="7"/>
        <v>0.11653543939976295</v>
      </c>
      <c r="G40" s="14">
        <f t="shared" si="7"/>
        <v>0.13201149197918824</v>
      </c>
      <c r="H40" s="14" t="str">
        <f t="shared" si="7"/>
        <v/>
      </c>
      <c r="I40" s="14" t="str">
        <f t="shared" si="7"/>
        <v/>
      </c>
      <c r="J40" s="14" t="str">
        <f t="shared" si="7"/>
        <v/>
      </c>
      <c r="K40" s="14" t="str">
        <f t="shared" si="7"/>
        <v/>
      </c>
      <c r="L40" s="14" t="str">
        <f t="shared" si="7"/>
        <v/>
      </c>
    </row>
    <row r="41" spans="1:15" x14ac:dyDescent="0.35">
      <c r="A41" t="str">
        <f>IF(A7="","","    "&amp;A7&amp;" Share")</f>
        <v xml:space="preserve">    Lower Basin Share</v>
      </c>
      <c r="B41" s="1"/>
      <c r="C41" s="14">
        <f t="shared" ref="C41:L45" si="8">IF(OR(C$27="",$A41=""),"",C$39*C31/C$29)</f>
        <v>0.21282627100832421</v>
      </c>
      <c r="D41" s="14">
        <f t="shared" si="8"/>
        <v>0.22842814789141203</v>
      </c>
      <c r="E41" s="14">
        <f t="shared" si="8"/>
        <v>0.23417640433667591</v>
      </c>
      <c r="F41" s="14">
        <f t="shared" si="8"/>
        <v>0.23733098841733816</v>
      </c>
      <c r="G41" s="14">
        <f t="shared" si="8"/>
        <v>0.21928311071596843</v>
      </c>
      <c r="H41" s="14" t="str">
        <f t="shared" si="8"/>
        <v/>
      </c>
      <c r="I41" s="14" t="str">
        <f t="shared" si="8"/>
        <v/>
      </c>
      <c r="J41" s="14" t="str">
        <f t="shared" si="8"/>
        <v/>
      </c>
      <c r="K41" s="14" t="str">
        <f t="shared" si="8"/>
        <v/>
      </c>
      <c r="L41" s="14" t="str">
        <f t="shared" si="8"/>
        <v/>
      </c>
    </row>
    <row r="42" spans="1:15" x14ac:dyDescent="0.35">
      <c r="A42" t="str">
        <f>IF(A8="","","    "&amp;A8&amp;" Share")</f>
        <v xml:space="preserve">    Mexico Share</v>
      </c>
      <c r="B42" s="1"/>
      <c r="C42" s="14">
        <f t="shared" si="8"/>
        <v>1.9856779563980523E-3</v>
      </c>
      <c r="D42" s="14">
        <f t="shared" si="8"/>
        <v>0</v>
      </c>
      <c r="E42" s="14">
        <f t="shared" si="8"/>
        <v>0</v>
      </c>
      <c r="F42" s="14">
        <f t="shared" si="8"/>
        <v>0</v>
      </c>
      <c r="G42" s="14">
        <f t="shared" si="8"/>
        <v>0</v>
      </c>
      <c r="H42" s="14" t="str">
        <f t="shared" si="8"/>
        <v/>
      </c>
      <c r="I42" s="14" t="str">
        <f t="shared" si="8"/>
        <v/>
      </c>
      <c r="J42" s="14" t="str">
        <f t="shared" si="8"/>
        <v/>
      </c>
      <c r="K42" s="14" t="str">
        <f t="shared" si="8"/>
        <v/>
      </c>
      <c r="L42" s="14" t="str">
        <f t="shared" si="8"/>
        <v/>
      </c>
    </row>
    <row r="43" spans="1:15" x14ac:dyDescent="0.35">
      <c r="A43" t="str">
        <f>IF(A9="","","    "&amp;A9&amp;" Share")</f>
        <v xml:space="preserve">    Mohave &amp; Havasu Evap &amp; ET Share</v>
      </c>
      <c r="B43" s="1"/>
      <c r="C43" s="14">
        <f t="shared" si="8"/>
        <v>0</v>
      </c>
      <c r="D43" s="14">
        <f t="shared" si="8"/>
        <v>0</v>
      </c>
      <c r="E43" s="14">
        <f t="shared" si="8"/>
        <v>0</v>
      </c>
      <c r="F43" s="14">
        <f t="shared" si="8"/>
        <v>0</v>
      </c>
      <c r="G43" s="14">
        <f t="shared" si="8"/>
        <v>0</v>
      </c>
      <c r="H43" s="14" t="str">
        <f t="shared" si="8"/>
        <v/>
      </c>
      <c r="I43" s="14" t="str">
        <f t="shared" si="8"/>
        <v/>
      </c>
      <c r="J43" s="14" t="str">
        <f t="shared" si="8"/>
        <v/>
      </c>
      <c r="K43" s="14" t="str">
        <f t="shared" si="8"/>
        <v/>
      </c>
      <c r="L43" s="14" t="str">
        <f t="shared" si="8"/>
        <v/>
      </c>
    </row>
    <row r="44" spans="1:15" x14ac:dyDescent="0.35">
      <c r="A44" t="str">
        <f>IF(A10="","","    "&amp;A10&amp;" Share")</f>
        <v xml:space="preserve">    Shared, Reserve Share</v>
      </c>
      <c r="B44" s="1"/>
      <c r="C44" s="14">
        <f t="shared" si="8"/>
        <v>0.56137388460009618</v>
      </c>
      <c r="D44" s="14">
        <f t="shared" si="8"/>
        <v>0.57984406542555433</v>
      </c>
      <c r="E44" s="14">
        <f t="shared" si="8"/>
        <v>0.58820111626732741</v>
      </c>
      <c r="F44" s="14">
        <f t="shared" si="8"/>
        <v>0.59111965068229888</v>
      </c>
      <c r="G44" s="14">
        <f t="shared" si="8"/>
        <v>0.59269547580484339</v>
      </c>
      <c r="H44" s="14" t="str">
        <f t="shared" si="8"/>
        <v/>
      </c>
      <c r="I44" s="14" t="str">
        <f t="shared" si="8"/>
        <v/>
      </c>
      <c r="J44" s="14" t="str">
        <f t="shared" si="8"/>
        <v/>
      </c>
      <c r="K44" s="14" t="str">
        <f t="shared" si="8"/>
        <v/>
      </c>
      <c r="L44" s="14" t="str">
        <f t="shared" si="8"/>
        <v/>
      </c>
    </row>
    <row r="45" spans="1:15" x14ac:dyDescent="0.35">
      <c r="A45" t="str">
        <f>IF(A11="","","    "&amp;A11&amp;" Share")</f>
        <v/>
      </c>
      <c r="B45" s="1"/>
      <c r="C45" s="14" t="str">
        <f t="shared" si="8"/>
        <v/>
      </c>
      <c r="D45" s="14" t="str">
        <f t="shared" si="8"/>
        <v/>
      </c>
      <c r="E45" s="14" t="str">
        <f t="shared" si="8"/>
        <v/>
      </c>
      <c r="F45" s="14" t="str">
        <f t="shared" si="8"/>
        <v/>
      </c>
      <c r="G45" s="14" t="str">
        <f t="shared" si="8"/>
        <v/>
      </c>
      <c r="H45" s="14" t="str">
        <f t="shared" si="8"/>
        <v/>
      </c>
      <c r="I45" s="14" t="str">
        <f t="shared" si="8"/>
        <v/>
      </c>
      <c r="J45" s="14" t="str">
        <f t="shared" si="8"/>
        <v/>
      </c>
      <c r="K45" s="14" t="str">
        <f t="shared" si="8"/>
        <v/>
      </c>
      <c r="L45" s="14" t="str">
        <f t="shared" si="8"/>
        <v/>
      </c>
    </row>
    <row r="46" spans="1:15" x14ac:dyDescent="0.35">
      <c r="A46" s="1" t="s">
        <v>161</v>
      </c>
      <c r="B46" s="1"/>
      <c r="C46" s="50">
        <f>IF(C$27&lt;&gt;"",1.5-$B$52/9/2-IF(C$31&lt;$O$80,$Q$80,IF(C$31&lt;=$O$87,VLOOKUP(C$31,$O$80:$Q$87,3),0)),"")</f>
        <v>1.35</v>
      </c>
      <c r="D46" s="50">
        <f t="shared" ref="D46:L46" si="9">IF(D$27&lt;&gt;"",1.5-$B$52/9-IF(D$31&lt;$O$80,$Q$80,IF(D$31&lt;=$O$87,VLOOKUP(D$31,$O$80:$Q$87,3),0)),"")</f>
        <v>1.35</v>
      </c>
      <c r="E46" s="50">
        <f t="shared" si="9"/>
        <v>1.35</v>
      </c>
      <c r="F46" s="50">
        <f t="shared" si="9"/>
        <v>1.35</v>
      </c>
      <c r="G46" s="50">
        <f t="shared" si="9"/>
        <v>1.35</v>
      </c>
      <c r="H46" s="50" t="str">
        <f t="shared" si="9"/>
        <v/>
      </c>
      <c r="I46" s="50" t="str">
        <f t="shared" si="9"/>
        <v/>
      </c>
      <c r="J46" s="50" t="str">
        <f t="shared" si="9"/>
        <v/>
      </c>
      <c r="K46" s="50" t="str">
        <f t="shared" si="9"/>
        <v/>
      </c>
      <c r="L46" s="50" t="str">
        <f t="shared" si="9"/>
        <v/>
      </c>
    </row>
    <row r="47" spans="1:15" x14ac:dyDescent="0.35">
      <c r="A47" s="1" t="s">
        <v>162</v>
      </c>
      <c r="B47" s="1"/>
      <c r="C47" s="46"/>
    </row>
    <row r="48" spans="1:15" x14ac:dyDescent="0.35">
      <c r="A48" t="str">
        <f>IF(A6="","","    To "&amp;A6)</f>
        <v xml:space="preserve">    To Upper Basin</v>
      </c>
      <c r="B48" s="24" t="s">
        <v>164</v>
      </c>
      <c r="C48" s="14">
        <f>IF(OR(C$27="",$A4=""),"",MAX(0,C$27-SUM(C49:C52)))</f>
        <v>2.6347319773911586</v>
      </c>
      <c r="D48" s="14">
        <f t="shared" ref="D48:L48" si="10">IF(OR(D$27="",$A4=""),"",MAX(0,D$27-SUM(D49:D50)))</f>
        <v>3.2066708054234176</v>
      </c>
      <c r="E48" s="14">
        <f t="shared" si="10"/>
        <v>3.2114510385049115</v>
      </c>
      <c r="F48" s="14">
        <f t="shared" si="10"/>
        <v>3.2131204401902753</v>
      </c>
      <c r="G48" s="14">
        <f t="shared" si="10"/>
        <v>3.2140218121603699</v>
      </c>
      <c r="H48" s="14" t="str">
        <f t="shared" si="10"/>
        <v/>
      </c>
      <c r="I48" s="14" t="str">
        <f t="shared" si="10"/>
        <v/>
      </c>
      <c r="J48" s="14" t="str">
        <f t="shared" si="10"/>
        <v/>
      </c>
      <c r="K48" s="14" t="str">
        <f t="shared" si="10"/>
        <v/>
      </c>
      <c r="L48" s="14" t="str">
        <f t="shared" si="10"/>
        <v/>
      </c>
      <c r="N48" s="78"/>
      <c r="O48" s="78"/>
    </row>
    <row r="49" spans="1:15" x14ac:dyDescent="0.35">
      <c r="A49" t="str">
        <f>IF(A7="","","    To "&amp;A7)</f>
        <v xml:space="preserve">    To Lower Basin</v>
      </c>
      <c r="B49" s="44">
        <f>7.5-$B$52</f>
        <v>7.5</v>
      </c>
      <c r="C49" s="14">
        <f>IF(OR(C$27="",$A49=""),"",IF(C$27&lt;SUM(C50:C52),0,IF(C$27&lt;SUM(C50:C52)+$B49-C52*(1-0.144)/2,C$27-SUM(C50:C52),$B49-C52*(1-0.144)/2)))</f>
        <v>7.2597319773911586</v>
      </c>
      <c r="D49" s="14">
        <f t="shared" ref="D49:G49" si="11">IF(OR(D$27="",$A49=""),"",IF(D$27&lt;SUM(D50:D52),0,IF(D$27&lt;SUM(D50:D52)+$B49-D52*(1-0.144)/2,D$27-SUM(D50:D52),$B49-D52*(1-0.144)/2)))</f>
        <v>7.2518267399978624</v>
      </c>
      <c r="E49" s="14">
        <f t="shared" si="11"/>
        <v>7.2482499222375836</v>
      </c>
      <c r="F49" s="14">
        <f t="shared" si="11"/>
        <v>7.2470007895079762</v>
      </c>
      <c r="G49" s="14">
        <f t="shared" si="11"/>
        <v>7.2463263363555273</v>
      </c>
      <c r="H49" s="14" t="str">
        <f t="shared" ref="H49:L49" si="12">IF(OR(H$27="",$A49=""),"",IF(H$27&lt;$B50,0,IF(H$27&gt;$B49,$B49,H$27)))</f>
        <v/>
      </c>
      <c r="I49" s="14" t="str">
        <f t="shared" si="12"/>
        <v/>
      </c>
      <c r="J49" s="14" t="str">
        <f t="shared" si="12"/>
        <v/>
      </c>
      <c r="K49" s="14" t="str">
        <f t="shared" si="12"/>
        <v/>
      </c>
      <c r="L49" s="14" t="str">
        <f t="shared" si="12"/>
        <v/>
      </c>
      <c r="N49" s="78"/>
      <c r="O49" s="78"/>
    </row>
    <row r="50" spans="1:15" x14ac:dyDescent="0.35">
      <c r="A50" t="str">
        <f>IF(A8="","","    To "&amp;A8)</f>
        <v xml:space="preserve">    To Mexico</v>
      </c>
      <c r="B50" s="44">
        <f>C46/2-0.05</f>
        <v>0.625</v>
      </c>
      <c r="C50" s="14">
        <f>IF(OR(C$27="",$A50=""),"",IF(C$27&gt;C52,$B50-C$44*0.144,C$27-C52))</f>
        <v>0.54416216061758615</v>
      </c>
      <c r="D50" s="14">
        <f t="shared" ref="D50:G50" si="13">IF(OR(D$27="",$A50=""),"",IF(D$27&gt;D52,$B50-D$44*0.144,D$27-D52))</f>
        <v>0.54150245457872015</v>
      </c>
      <c r="E50" s="14">
        <f t="shared" si="13"/>
        <v>0.54029903925750489</v>
      </c>
      <c r="F50" s="14">
        <f t="shared" si="13"/>
        <v>0.53987877030174891</v>
      </c>
      <c r="G50" s="14">
        <f t="shared" si="13"/>
        <v>0.53965185148410255</v>
      </c>
      <c r="H50" s="14" t="str">
        <f t="shared" ref="H50:L50" si="14">IF(OR(H$27="",$A50=""),"",IF(H$27&gt;$B50,$B50,H$27))</f>
        <v/>
      </c>
      <c r="I50" s="14" t="str">
        <f t="shared" si="14"/>
        <v/>
      </c>
      <c r="J50" s="14" t="str">
        <f t="shared" si="14"/>
        <v/>
      </c>
      <c r="K50" s="14" t="str">
        <f t="shared" si="14"/>
        <v/>
      </c>
      <c r="L50" s="14" t="str">
        <f t="shared" si="14"/>
        <v/>
      </c>
      <c r="N50" s="78"/>
      <c r="O50" s="78"/>
    </row>
    <row r="51" spans="1:15" x14ac:dyDescent="0.35">
      <c r="A51" t="str">
        <f>IF(A9="","","    To "&amp;A9)</f>
        <v xml:space="preserve">    To Mohave &amp; Havasu Evap &amp; ET</v>
      </c>
      <c r="B51" s="44">
        <v>0</v>
      </c>
      <c r="C51" s="14">
        <f t="shared" ref="C51:L53" si="15">IF(OR(C$27="",$A51=""),"",IF(C$27&gt;$B51,$B51,C$27))</f>
        <v>0</v>
      </c>
      <c r="D51" s="14">
        <f t="shared" si="15"/>
        <v>0</v>
      </c>
      <c r="E51" s="14">
        <f t="shared" si="15"/>
        <v>0</v>
      </c>
      <c r="F51" s="14">
        <f t="shared" si="15"/>
        <v>0</v>
      </c>
      <c r="G51" s="14">
        <f t="shared" si="15"/>
        <v>0</v>
      </c>
      <c r="H51" s="14" t="str">
        <f t="shared" si="15"/>
        <v/>
      </c>
      <c r="I51" s="14" t="str">
        <f t="shared" si="15"/>
        <v/>
      </c>
      <c r="J51" s="14" t="str">
        <f t="shared" si="15"/>
        <v/>
      </c>
      <c r="K51" s="14" t="str">
        <f t="shared" si="15"/>
        <v/>
      </c>
      <c r="L51" s="14" t="str">
        <f t="shared" si="15"/>
        <v/>
      </c>
    </row>
    <row r="52" spans="1:15" x14ac:dyDescent="0.35">
      <c r="A52" t="str">
        <f>IF(A10="","","    To "&amp;A10)</f>
        <v xml:space="preserve">    To Shared, Reserve</v>
      </c>
      <c r="B52" s="44"/>
      <c r="C52" s="14">
        <f>IF(OR(C$27="",$A52=""),"",IF(C$27&gt;C44,C44,C$27))</f>
        <v>0.56137388460009618</v>
      </c>
      <c r="D52" s="14">
        <f t="shared" ref="D52:G52" si="16">IF(OR(D$27="",$A52=""),"",IF(D$27&gt;D44,D44,D$27))</f>
        <v>0.57984406542555433</v>
      </c>
      <c r="E52" s="14">
        <f t="shared" si="16"/>
        <v>0.58820111626732741</v>
      </c>
      <c r="F52" s="14">
        <f t="shared" si="16"/>
        <v>0.59111965068229888</v>
      </c>
      <c r="G52" s="14">
        <f t="shared" si="16"/>
        <v>0.59269547580484339</v>
      </c>
      <c r="H52" s="59" t="str">
        <f t="shared" si="15"/>
        <v/>
      </c>
      <c r="I52" s="59" t="str">
        <f t="shared" si="15"/>
        <v/>
      </c>
      <c r="J52" s="59" t="str">
        <f t="shared" si="15"/>
        <v/>
      </c>
      <c r="K52" s="59" t="str">
        <f t="shared" si="15"/>
        <v/>
      </c>
      <c r="L52" s="59" t="str">
        <f t="shared" si="15"/>
        <v/>
      </c>
    </row>
    <row r="53" spans="1:15" x14ac:dyDescent="0.35">
      <c r="A53" t="str">
        <f>IF(A11="","","    To "&amp;A11)</f>
        <v/>
      </c>
      <c r="B53" s="44"/>
      <c r="C53" s="14" t="str">
        <f t="shared" si="15"/>
        <v/>
      </c>
      <c r="D53" s="14" t="str">
        <f t="shared" si="15"/>
        <v/>
      </c>
      <c r="E53" s="14" t="str">
        <f t="shared" si="15"/>
        <v/>
      </c>
      <c r="F53" s="14" t="str">
        <f t="shared" si="15"/>
        <v/>
      </c>
      <c r="G53" s="14" t="str">
        <f t="shared" si="15"/>
        <v/>
      </c>
      <c r="H53" s="14" t="str">
        <f t="shared" si="15"/>
        <v/>
      </c>
      <c r="I53" s="14" t="str">
        <f t="shared" si="15"/>
        <v/>
      </c>
      <c r="J53" s="14" t="str">
        <f t="shared" si="15"/>
        <v/>
      </c>
      <c r="K53" s="14" t="str">
        <f t="shared" si="15"/>
        <v/>
      </c>
      <c r="L53" s="14" t="str">
        <f t="shared" si="15"/>
        <v/>
      </c>
    </row>
    <row r="54" spans="1:15" x14ac:dyDescent="0.35">
      <c r="A54" s="1" t="s">
        <v>163</v>
      </c>
      <c r="B54" s="1"/>
      <c r="C54"/>
    </row>
    <row r="55" spans="1:15" x14ac:dyDescent="0.35">
      <c r="A55" t="str">
        <f>IF(A6="","","    To "&amp;A6)</f>
        <v xml:space="preserve">    To Upper Basin</v>
      </c>
      <c r="B55" s="24">
        <v>0</v>
      </c>
      <c r="C55" s="14">
        <f>IF(OR($A55="",C$27=""),"",IF(C$28&gt;$B55,$B55,C$28))</f>
        <v>0</v>
      </c>
      <c r="D55" s="14">
        <f t="shared" ref="D55:L55" si="17">IF(OR($A55="",D$27=""),"",IF(D$28&gt;$B55,$B55,D$28))</f>
        <v>0</v>
      </c>
      <c r="E55" s="14">
        <f t="shared" si="17"/>
        <v>0</v>
      </c>
      <c r="F55" s="14">
        <f t="shared" si="17"/>
        <v>0</v>
      </c>
      <c r="G55" s="14">
        <f t="shared" si="17"/>
        <v>0</v>
      </c>
      <c r="H55" s="14" t="str">
        <f t="shared" si="17"/>
        <v/>
      </c>
      <c r="I55" s="14" t="str">
        <f t="shared" si="17"/>
        <v/>
      </c>
      <c r="J55" s="14" t="str">
        <f t="shared" si="17"/>
        <v/>
      </c>
      <c r="K55" s="14" t="str">
        <f t="shared" si="17"/>
        <v/>
      </c>
      <c r="L55" s="14" t="str">
        <f t="shared" si="17"/>
        <v/>
      </c>
    </row>
    <row r="56" spans="1:15" x14ac:dyDescent="0.35">
      <c r="A56" t="str">
        <f>IF(A7="","","    To "&amp;A7)</f>
        <v xml:space="preserve">    To Lower Basin</v>
      </c>
      <c r="B56" s="44" t="s">
        <v>164</v>
      </c>
      <c r="C56" s="14">
        <f>IF(OR(C$27="",$A56=""),"",C$28-SUM(C57:C58))</f>
        <v>-0.47499999999999987</v>
      </c>
      <c r="D56" s="14">
        <f t="shared" ref="D56:L56" si="18">IF(OR(D$27="",$A56=""),"",D$28-SUM(D57:D58))</f>
        <v>-0.47499999999999987</v>
      </c>
      <c r="E56" s="14">
        <f t="shared" si="18"/>
        <v>-0.47499999999999987</v>
      </c>
      <c r="F56" s="14">
        <f t="shared" si="18"/>
        <v>-0.47499999999999987</v>
      </c>
      <c r="G56" s="14">
        <f t="shared" si="18"/>
        <v>-0.47499999999999987</v>
      </c>
      <c r="H56" s="14" t="str">
        <f t="shared" si="18"/>
        <v/>
      </c>
      <c r="I56" s="14" t="str">
        <f t="shared" si="18"/>
        <v/>
      </c>
      <c r="J56" s="14" t="str">
        <f t="shared" si="18"/>
        <v/>
      </c>
      <c r="K56" s="14" t="str">
        <f t="shared" si="18"/>
        <v/>
      </c>
      <c r="L56" s="14" t="str">
        <f t="shared" si="18"/>
        <v/>
      </c>
    </row>
    <row r="57" spans="1:15" x14ac:dyDescent="0.35">
      <c r="A57" t="str">
        <f>IF(A8="","","    To "&amp;A8)</f>
        <v xml:space="preserve">    To Mexico</v>
      </c>
      <c r="B57" s="44">
        <f>C46/2</f>
        <v>0.67500000000000004</v>
      </c>
      <c r="C57" s="14">
        <f>IF(OR(C$27="",$A57=""),"",C46/2)</f>
        <v>0.67500000000000004</v>
      </c>
      <c r="D57" s="14">
        <f t="shared" ref="D57:L57" si="19">IF(OR(D$27="",$A57=""),"",D46/2)</f>
        <v>0.67500000000000004</v>
      </c>
      <c r="E57" s="14">
        <f t="shared" si="19"/>
        <v>0.67500000000000004</v>
      </c>
      <c r="F57" s="14">
        <f t="shared" si="19"/>
        <v>0.67500000000000004</v>
      </c>
      <c r="G57" s="14">
        <f t="shared" si="19"/>
        <v>0.67500000000000004</v>
      </c>
      <c r="H57" s="14" t="str">
        <f t="shared" si="19"/>
        <v/>
      </c>
      <c r="I57" s="14" t="str">
        <f t="shared" si="19"/>
        <v/>
      </c>
      <c r="J57" s="14" t="str">
        <f t="shared" si="19"/>
        <v/>
      </c>
      <c r="K57" s="14" t="str">
        <f t="shared" si="19"/>
        <v/>
      </c>
      <c r="L57" s="14" t="str">
        <f t="shared" si="19"/>
        <v/>
      </c>
    </row>
    <row r="58" spans="1:15" x14ac:dyDescent="0.35">
      <c r="A58" t="str">
        <f>IF(A9="","","    To "&amp;A9)</f>
        <v xml:space="preserve">    To Mohave &amp; Havasu Evap &amp; ET</v>
      </c>
      <c r="B58" s="44">
        <v>0.6</v>
      </c>
      <c r="C58" s="14">
        <f>IF(OR($A58="",C$27=""),"",IF(C$28&gt;$B58,$B58,C$28))</f>
        <v>0.6</v>
      </c>
      <c r="D58" s="14">
        <f t="shared" ref="D58:L58" si="20">IF(OR($A58="",D$27=""),"",IF(D$28&gt;$B58,$B58,D$28))</f>
        <v>0.6</v>
      </c>
      <c r="E58" s="14">
        <f t="shared" si="20"/>
        <v>0.6</v>
      </c>
      <c r="F58" s="14">
        <f t="shared" si="20"/>
        <v>0.6</v>
      </c>
      <c r="G58" s="14">
        <f t="shared" si="20"/>
        <v>0.6</v>
      </c>
      <c r="H58" s="14" t="str">
        <f t="shared" si="20"/>
        <v/>
      </c>
      <c r="I58" s="14" t="str">
        <f t="shared" si="20"/>
        <v/>
      </c>
      <c r="J58" s="14" t="str">
        <f t="shared" si="20"/>
        <v/>
      </c>
      <c r="K58" s="14" t="str">
        <f t="shared" si="20"/>
        <v/>
      </c>
      <c r="L58" s="14" t="str">
        <f t="shared" si="20"/>
        <v/>
      </c>
    </row>
    <row r="59" spans="1:15" x14ac:dyDescent="0.35">
      <c r="A59" t="str">
        <f>IF(A10="","","    To "&amp;A10)</f>
        <v xml:space="preserve">    To Shared, Reserve</v>
      </c>
      <c r="B59" s="61"/>
      <c r="C59" s="14">
        <f t="shared" ref="C59:L60" si="21">IF(OR($A59="",C$27=""),"",IF(C$28&gt;$B59,$B59,C$28))</f>
        <v>0</v>
      </c>
      <c r="D59" s="14">
        <f t="shared" si="21"/>
        <v>0</v>
      </c>
      <c r="E59" s="14">
        <f t="shared" si="21"/>
        <v>0</v>
      </c>
      <c r="F59" s="14">
        <f t="shared" si="21"/>
        <v>0</v>
      </c>
      <c r="G59" s="14">
        <f t="shared" si="21"/>
        <v>0</v>
      </c>
      <c r="H59" s="14" t="str">
        <f t="shared" si="21"/>
        <v/>
      </c>
      <c r="I59" s="14" t="str">
        <f t="shared" si="21"/>
        <v/>
      </c>
      <c r="J59" s="14" t="str">
        <f t="shared" si="21"/>
        <v/>
      </c>
      <c r="K59" s="14" t="str">
        <f t="shared" si="21"/>
        <v/>
      </c>
      <c r="L59" s="14" t="str">
        <f t="shared" si="21"/>
        <v/>
      </c>
    </row>
    <row r="60" spans="1:15" x14ac:dyDescent="0.35">
      <c r="A60" t="str">
        <f>IF(A11="","","    To "&amp;A11)</f>
        <v/>
      </c>
      <c r="B60" s="44"/>
      <c r="C60" s="14" t="str">
        <f t="shared" si="21"/>
        <v/>
      </c>
      <c r="D60" s="14" t="str">
        <f t="shared" si="21"/>
        <v/>
      </c>
      <c r="E60" s="14" t="str">
        <f t="shared" si="21"/>
        <v/>
      </c>
      <c r="F60" s="14" t="str">
        <f t="shared" si="21"/>
        <v/>
      </c>
      <c r="G60" s="14" t="str">
        <f t="shared" si="21"/>
        <v/>
      </c>
      <c r="H60" s="14" t="str">
        <f t="shared" si="21"/>
        <v/>
      </c>
      <c r="I60" s="14" t="str">
        <f t="shared" si="21"/>
        <v/>
      </c>
      <c r="J60" s="14" t="str">
        <f t="shared" si="21"/>
        <v/>
      </c>
      <c r="K60" s="14" t="str">
        <f t="shared" si="21"/>
        <v/>
      </c>
      <c r="L60" s="14" t="str">
        <f t="shared" si="21"/>
        <v/>
      </c>
    </row>
    <row r="61" spans="1:15" x14ac:dyDescent="0.35">
      <c r="A61" s="1" t="s">
        <v>167</v>
      </c>
      <c r="C61"/>
      <c r="M61" t="s">
        <v>168</v>
      </c>
    </row>
    <row r="62" spans="1:15" x14ac:dyDescent="0.35">
      <c r="A62" t="str">
        <f>IF(A6="","","    "&amp;A6)</f>
        <v xml:space="preserve">    Upper Basin</v>
      </c>
      <c r="B62" s="1"/>
      <c r="C62" s="25">
        <v>0.5</v>
      </c>
      <c r="D62" s="25">
        <v>0.4</v>
      </c>
      <c r="E62" s="25">
        <v>0.4</v>
      </c>
      <c r="F62" s="50"/>
      <c r="G62" s="50"/>
      <c r="H62" s="50"/>
      <c r="I62" s="50"/>
      <c r="J62" s="50"/>
      <c r="K62" s="50"/>
      <c r="L62" s="50"/>
      <c r="M62" s="54">
        <f>SUMPRODUCT(C62:L62,C$69:L$69)</f>
        <v>455</v>
      </c>
    </row>
    <row r="63" spans="1:15" x14ac:dyDescent="0.35">
      <c r="A63" t="str">
        <f>IF(A7="","","    "&amp;A7)</f>
        <v xml:space="preserve">    Lower Basin</v>
      </c>
      <c r="B63" s="1"/>
      <c r="C63" s="70">
        <f>-C62</f>
        <v>-0.5</v>
      </c>
      <c r="D63" s="70">
        <f t="shared" ref="D63:E63" si="22">-D62</f>
        <v>-0.4</v>
      </c>
      <c r="E63" s="70">
        <f t="shared" si="22"/>
        <v>-0.4</v>
      </c>
      <c r="F63" s="62"/>
      <c r="G63" s="62"/>
      <c r="H63" s="62"/>
      <c r="I63" s="62"/>
      <c r="J63" s="62"/>
      <c r="K63" s="67"/>
      <c r="L63" s="62"/>
      <c r="M63" s="54">
        <f t="shared" ref="M63:M67" si="23">SUMPRODUCT(C63:L63,C$69:L$69)</f>
        <v>-455</v>
      </c>
    </row>
    <row r="64" spans="1:15" x14ac:dyDescent="0.35">
      <c r="A64" t="str">
        <f>IF(A8="","","    "&amp;A8)</f>
        <v xml:space="preserve">    Mexico</v>
      </c>
      <c r="B64" s="1"/>
      <c r="C64" s="50"/>
      <c r="D64" s="50"/>
      <c r="E64" s="68"/>
      <c r="F64" s="50"/>
      <c r="G64" s="50"/>
      <c r="H64" s="68"/>
      <c r="I64" s="50"/>
      <c r="J64" s="50"/>
      <c r="K64" s="68"/>
      <c r="L64" s="50"/>
      <c r="M64" s="54">
        <f t="shared" si="23"/>
        <v>0</v>
      </c>
    </row>
    <row r="65" spans="1:21" x14ac:dyDescent="0.35">
      <c r="A65" t="str">
        <f>IF(A9="","","    "&amp;A9)</f>
        <v xml:space="preserve">    Mohave &amp; Havasu Evap &amp; ET</v>
      </c>
      <c r="B65" s="1"/>
      <c r="C65" s="50"/>
      <c r="D65" s="50"/>
      <c r="E65" s="68"/>
      <c r="F65" s="50"/>
      <c r="G65" s="50"/>
      <c r="H65" s="68"/>
      <c r="I65" s="50"/>
      <c r="J65" s="50"/>
      <c r="K65" s="68"/>
      <c r="L65" s="50"/>
      <c r="M65" s="54">
        <f t="shared" si="23"/>
        <v>0</v>
      </c>
    </row>
    <row r="66" spans="1:21" x14ac:dyDescent="0.35">
      <c r="A66" t="str">
        <f>IF(A10="","","    "&amp;A10)</f>
        <v xml:space="preserve">    Shared, Reserve</v>
      </c>
      <c r="B66" s="1"/>
      <c r="C66" s="50"/>
      <c r="D66" s="50"/>
      <c r="E66" s="68"/>
      <c r="F66" s="50"/>
      <c r="G66" s="50"/>
      <c r="H66" s="68"/>
      <c r="I66" s="50"/>
      <c r="J66" s="50"/>
      <c r="K66" s="68"/>
      <c r="L66" s="50"/>
      <c r="M66" s="54">
        <f t="shared" si="23"/>
        <v>0</v>
      </c>
    </row>
    <row r="67" spans="1:21" x14ac:dyDescent="0.35">
      <c r="A67" t="str">
        <f>IF(A11="","","    "&amp;A11)</f>
        <v/>
      </c>
      <c r="B67" s="1"/>
      <c r="C67" s="50"/>
      <c r="D67" s="50"/>
      <c r="E67" s="50"/>
      <c r="F67" s="50"/>
      <c r="G67" s="50"/>
      <c r="H67" s="50"/>
      <c r="I67" s="50"/>
      <c r="J67" s="50"/>
      <c r="K67" s="50"/>
      <c r="L67" s="50"/>
      <c r="M67" s="54">
        <f t="shared" si="23"/>
        <v>0</v>
      </c>
    </row>
    <row r="68" spans="1:21" x14ac:dyDescent="0.35">
      <c r="A68" t="s">
        <v>159</v>
      </c>
      <c r="B68" s="1"/>
      <c r="C68" s="53">
        <f>IF(C$27&lt;&gt;"",SUM(C62:C67),"")</f>
        <v>0</v>
      </c>
      <c r="D68" s="53">
        <f t="shared" ref="D68:L68" si="24">IF(D$27&lt;&gt;"",SUM(D62:D67),"")</f>
        <v>0</v>
      </c>
      <c r="E68" s="53">
        <f t="shared" si="24"/>
        <v>0</v>
      </c>
      <c r="F68" s="53">
        <f t="shared" si="24"/>
        <v>0</v>
      </c>
      <c r="G68" s="53">
        <f t="shared" si="24"/>
        <v>0</v>
      </c>
      <c r="H68" s="53" t="str">
        <f t="shared" si="24"/>
        <v/>
      </c>
      <c r="I68" s="53" t="str">
        <f t="shared" si="24"/>
        <v/>
      </c>
      <c r="J68" s="53" t="str">
        <f t="shared" si="24"/>
        <v/>
      </c>
      <c r="K68" s="53" t="str">
        <f t="shared" si="24"/>
        <v/>
      </c>
      <c r="L68" s="53" t="str">
        <f t="shared" si="24"/>
        <v/>
      </c>
      <c r="M68" s="34"/>
    </row>
    <row r="69" spans="1:21" x14ac:dyDescent="0.35">
      <c r="A69" t="s">
        <v>160</v>
      </c>
      <c r="B69" s="1"/>
      <c r="C69" s="31">
        <v>350</v>
      </c>
      <c r="D69" s="31">
        <v>350</v>
      </c>
      <c r="E69" s="31">
        <v>350</v>
      </c>
      <c r="F69" s="31"/>
      <c r="G69" s="31"/>
      <c r="H69" s="31"/>
      <c r="I69" s="31"/>
      <c r="J69" s="31"/>
      <c r="K69" s="31"/>
      <c r="L69" s="31"/>
    </row>
    <row r="70" spans="1:21" x14ac:dyDescent="0.35">
      <c r="A70" s="1" t="s">
        <v>186</v>
      </c>
      <c r="B70" s="1"/>
      <c r="C70"/>
    </row>
    <row r="71" spans="1:21" x14ac:dyDescent="0.35">
      <c r="A71" t="str">
        <f>IF(A6="","","    "&amp;A6)</f>
        <v xml:space="preserve">    Upper Basin</v>
      </c>
      <c r="C71" s="14">
        <f>IF(OR(C$27="",$A71=""),"",C30+C48+C55-C40-C62)</f>
        <v>6.9624438809560036</v>
      </c>
      <c r="D71" s="14">
        <f t="shared" ref="D71:L71" si="25">IF(OR(D$27="",$A71=""),"",D30+D48+D55-D40-D62)</f>
        <v>5.9059121066952143</v>
      </c>
      <c r="E71" s="14">
        <f t="shared" si="25"/>
        <v>5.2851245093047288</v>
      </c>
      <c r="F71" s="14">
        <f t="shared" si="25"/>
        <v>5.3817095100952415</v>
      </c>
      <c r="G71" s="14">
        <f t="shared" si="25"/>
        <v>5.6637198302764231</v>
      </c>
      <c r="H71" s="14" t="str">
        <f t="shared" si="25"/>
        <v/>
      </c>
      <c r="I71" s="14" t="str">
        <f t="shared" si="25"/>
        <v/>
      </c>
      <c r="J71" s="14" t="str">
        <f t="shared" si="25"/>
        <v/>
      </c>
      <c r="K71" s="14" t="str">
        <f t="shared" si="25"/>
        <v/>
      </c>
      <c r="L71" s="14" t="str">
        <f t="shared" si="25"/>
        <v/>
      </c>
    </row>
    <row r="72" spans="1:21" x14ac:dyDescent="0.35">
      <c r="A72" t="str">
        <f>IF(A7="","","    "&amp;A7)</f>
        <v xml:space="preserve">    Lower Basin</v>
      </c>
      <c r="C72" s="14">
        <f t="shared" ref="C72:L76" si="26">IF(OR(C$27="",$A72=""),"",C31+C49+C56-C41-C63)</f>
        <v>11.466312706382833</v>
      </c>
      <c r="D72" s="14">
        <f t="shared" si="26"/>
        <v>11.514711298489283</v>
      </c>
      <c r="E72" s="14">
        <f t="shared" si="26"/>
        <v>11.553784816390191</v>
      </c>
      <c r="F72" s="14">
        <f t="shared" si="26"/>
        <v>11.188454617480831</v>
      </c>
      <c r="G72" s="14">
        <f t="shared" si="26"/>
        <v>10.840497843120389</v>
      </c>
      <c r="H72" s="14" t="str">
        <f t="shared" si="26"/>
        <v/>
      </c>
      <c r="I72" s="14" t="str">
        <f t="shared" si="26"/>
        <v/>
      </c>
      <c r="J72" s="14" t="str">
        <f t="shared" si="26"/>
        <v/>
      </c>
      <c r="K72" s="14" t="str">
        <f t="shared" si="26"/>
        <v/>
      </c>
      <c r="L72" s="14" t="str">
        <f t="shared" si="26"/>
        <v/>
      </c>
    </row>
    <row r="73" spans="1:21" x14ac:dyDescent="0.35">
      <c r="A73" t="str">
        <f>IF(A8="","","    "&amp;A8)</f>
        <v xml:space="preserve">    Mexico</v>
      </c>
      <c r="C73" s="60">
        <f t="shared" si="26"/>
        <v>1.2581764826611881</v>
      </c>
      <c r="D73" s="14">
        <f t="shared" si="26"/>
        <v>1.2165024545787202</v>
      </c>
      <c r="E73" s="14">
        <f t="shared" si="26"/>
        <v>1.2152990392575049</v>
      </c>
      <c r="F73" s="14">
        <f t="shared" si="26"/>
        <v>1.214878770301749</v>
      </c>
      <c r="G73" s="14">
        <f t="shared" si="26"/>
        <v>1.2146518514841027</v>
      </c>
      <c r="H73" s="14" t="str">
        <f t="shared" si="26"/>
        <v/>
      </c>
      <c r="I73" s="14" t="str">
        <f t="shared" si="26"/>
        <v/>
      </c>
      <c r="J73" s="14" t="str">
        <f t="shared" si="26"/>
        <v/>
      </c>
      <c r="K73" s="14" t="str">
        <f t="shared" si="26"/>
        <v/>
      </c>
      <c r="L73" s="14" t="str">
        <f t="shared" si="26"/>
        <v/>
      </c>
    </row>
    <row r="74" spans="1:21" x14ac:dyDescent="0.35">
      <c r="A74" t="str">
        <f>IF(A9="","","    "&amp;A9)</f>
        <v xml:space="preserve">    Mohave &amp; Havasu Evap &amp; ET</v>
      </c>
      <c r="C74" s="14">
        <f t="shared" si="26"/>
        <v>0.6</v>
      </c>
      <c r="D74" s="14">
        <f t="shared" si="26"/>
        <v>0.6</v>
      </c>
      <c r="E74" s="14">
        <f t="shared" si="26"/>
        <v>0.6</v>
      </c>
      <c r="F74" s="14">
        <f t="shared" si="26"/>
        <v>0.6</v>
      </c>
      <c r="G74" s="14">
        <f t="shared" si="26"/>
        <v>0.6</v>
      </c>
      <c r="H74" s="14" t="str">
        <f t="shared" si="26"/>
        <v/>
      </c>
      <c r="I74" s="14" t="str">
        <f t="shared" si="26"/>
        <v/>
      </c>
      <c r="J74" s="14" t="str">
        <f t="shared" si="26"/>
        <v/>
      </c>
      <c r="K74" s="14" t="str">
        <f t="shared" si="26"/>
        <v/>
      </c>
      <c r="L74" s="14" t="str">
        <f t="shared" si="26"/>
        <v/>
      </c>
    </row>
    <row r="75" spans="1:21" x14ac:dyDescent="0.35">
      <c r="A75" t="str">
        <f>IF(A10="","","    "&amp;A10)</f>
        <v xml:space="preserve">    Shared, Reserve</v>
      </c>
      <c r="C75" s="14">
        <f t="shared" si="26"/>
        <v>11.59116925</v>
      </c>
      <c r="D75" s="14">
        <f t="shared" si="26"/>
        <v>11.59116925</v>
      </c>
      <c r="E75" s="14">
        <f t="shared" si="26"/>
        <v>11.59116925</v>
      </c>
      <c r="F75" s="14">
        <f t="shared" si="26"/>
        <v>11.59116925</v>
      </c>
      <c r="G75" s="14">
        <f t="shared" si="26"/>
        <v>11.59116925</v>
      </c>
      <c r="H75" s="60" t="str">
        <f t="shared" si="26"/>
        <v/>
      </c>
      <c r="I75" s="60" t="str">
        <f t="shared" si="26"/>
        <v/>
      </c>
      <c r="J75" s="60" t="str">
        <f t="shared" si="26"/>
        <v/>
      </c>
      <c r="K75" s="60" t="str">
        <f t="shared" si="26"/>
        <v/>
      </c>
      <c r="L75" s="60" t="str">
        <f t="shared" si="26"/>
        <v/>
      </c>
    </row>
    <row r="76" spans="1:21" x14ac:dyDescent="0.35">
      <c r="A76" t="str">
        <f>IF(A11="","","    "&amp;A11)</f>
        <v/>
      </c>
      <c r="C76" s="14" t="str">
        <f t="shared" si="26"/>
        <v/>
      </c>
      <c r="D76" s="14" t="str">
        <f t="shared" si="26"/>
        <v/>
      </c>
      <c r="E76" s="14" t="str">
        <f t="shared" si="26"/>
        <v/>
      </c>
      <c r="F76" s="14" t="str">
        <f t="shared" si="26"/>
        <v/>
      </c>
      <c r="G76" s="14" t="str">
        <f t="shared" si="26"/>
        <v/>
      </c>
      <c r="H76" s="14" t="str">
        <f t="shared" si="26"/>
        <v/>
      </c>
      <c r="I76" s="14" t="str">
        <f t="shared" si="26"/>
        <v/>
      </c>
      <c r="J76" s="14" t="str">
        <f t="shared" si="26"/>
        <v/>
      </c>
      <c r="K76" s="14" t="str">
        <f t="shared" si="26"/>
        <v/>
      </c>
      <c r="L76" s="14" t="str">
        <f t="shared" si="26"/>
        <v/>
      </c>
    </row>
    <row r="77" spans="1:21" x14ac:dyDescent="0.35">
      <c r="A77" s="1" t="s">
        <v>136</v>
      </c>
      <c r="B77" s="1"/>
      <c r="C77" s="69"/>
      <c r="D77" s="2"/>
      <c r="E77" s="69"/>
      <c r="F77" s="2"/>
      <c r="G77" s="2"/>
      <c r="H77" s="2"/>
      <c r="I77" s="2"/>
      <c r="J77" s="2"/>
      <c r="K77" s="2"/>
      <c r="L77" s="2"/>
    </row>
    <row r="78" spans="1:21" x14ac:dyDescent="0.35">
      <c r="A78" t="str">
        <f>IF(A6="","","    "&amp;A6&amp;" - Consumptive Use and Headwaters Losses")</f>
        <v xml:space="preserve">    Upper Basin - Consumptive Use and Headwaters Losses</v>
      </c>
      <c r="C78" s="43">
        <v>3.7</v>
      </c>
      <c r="D78" s="43">
        <v>3.3</v>
      </c>
      <c r="E78" s="43">
        <v>3</v>
      </c>
      <c r="F78" s="43">
        <v>2.8</v>
      </c>
      <c r="G78" s="43">
        <v>2.8</v>
      </c>
      <c r="H78" s="43"/>
      <c r="I78" s="43"/>
      <c r="J78" s="43"/>
      <c r="K78" s="43"/>
      <c r="L78" s="43"/>
      <c r="N78" s="1" t="s">
        <v>129</v>
      </c>
    </row>
    <row r="79" spans="1:21" x14ac:dyDescent="0.35">
      <c r="A79" t="str">
        <f>IF(A7="","","    "&amp;A7&amp;" - Release from Mead")</f>
        <v xml:space="preserve">    Lower Basin - Release from Mead</v>
      </c>
      <c r="C79" s="43">
        <v>6.9</v>
      </c>
      <c r="D79" s="43">
        <v>6.9</v>
      </c>
      <c r="E79" s="43">
        <v>6.9</v>
      </c>
      <c r="F79" s="43">
        <v>6.9</v>
      </c>
      <c r="G79" s="43">
        <f t="shared" ref="G79" si="27">F79</f>
        <v>6.9</v>
      </c>
      <c r="H79" s="43"/>
      <c r="I79" s="43"/>
      <c r="J79" s="43"/>
      <c r="K79" s="43"/>
      <c r="L79" s="43"/>
      <c r="N79" s="37" t="s">
        <v>130</v>
      </c>
      <c r="O79" s="37" t="s">
        <v>131</v>
      </c>
      <c r="P79" s="38" t="s">
        <v>132</v>
      </c>
      <c r="Q79" s="38" t="s">
        <v>133</v>
      </c>
      <c r="R79" s="37" t="s">
        <v>134</v>
      </c>
      <c r="S79" s="37" t="s">
        <v>134</v>
      </c>
      <c r="T79" s="51" t="s">
        <v>157</v>
      </c>
      <c r="U79" s="51" t="s">
        <v>158</v>
      </c>
    </row>
    <row r="80" spans="1:21" x14ac:dyDescent="0.35">
      <c r="A80" t="str">
        <f>IF(A8="","","    "&amp;A8&amp;" - Release from Mead")</f>
        <v xml:space="preserve">    Mexico - Release from Mead</v>
      </c>
      <c r="C80" s="50">
        <f>C73</f>
        <v>1.2581764826611881</v>
      </c>
      <c r="D80" s="50">
        <f>D73</f>
        <v>1.2165024545787202</v>
      </c>
      <c r="E80" s="50">
        <f>E73</f>
        <v>1.2152990392575049</v>
      </c>
      <c r="F80" s="50">
        <f>F73</f>
        <v>1.214878770301749</v>
      </c>
      <c r="G80" s="50">
        <f>G73</f>
        <v>1.2146518514841027</v>
      </c>
      <c r="H80" s="50"/>
      <c r="I80" s="50"/>
      <c r="J80" s="50"/>
      <c r="K80" s="50"/>
      <c r="L80" s="50"/>
      <c r="N80" s="39">
        <v>1025</v>
      </c>
      <c r="O80" s="40">
        <v>5.981122</v>
      </c>
      <c r="P80" s="41">
        <f>S80-Q80</f>
        <v>1.2000000000000002</v>
      </c>
      <c r="Q80" s="49">
        <v>0.15</v>
      </c>
      <c r="R80" s="41">
        <v>1.325</v>
      </c>
      <c r="S80" s="41">
        <f t="shared" ref="S80:S87" si="28">U80/1000000</f>
        <v>1.35</v>
      </c>
      <c r="T80" s="42">
        <v>0.125</v>
      </c>
      <c r="U80" s="52">
        <v>1350000</v>
      </c>
    </row>
    <row r="81" spans="1:21" x14ac:dyDescent="0.35">
      <c r="A81" t="str">
        <f>IF(A9="","","    "&amp;A9&amp;" - Release from Mead")</f>
        <v xml:space="preserve">    Mohave &amp; Havasu Evap &amp; ET - Release from Mead</v>
      </c>
      <c r="C81" s="43">
        <v>0.6</v>
      </c>
      <c r="D81" s="43">
        <v>0.6</v>
      </c>
      <c r="E81" s="43">
        <v>0.6</v>
      </c>
      <c r="F81" s="43">
        <v>0.6</v>
      </c>
      <c r="G81" s="43">
        <v>0.6</v>
      </c>
      <c r="H81" s="43"/>
      <c r="I81" s="43"/>
      <c r="J81" s="43"/>
      <c r="K81" s="43"/>
      <c r="L81" s="43"/>
      <c r="N81" s="39">
        <v>1030</v>
      </c>
      <c r="O81" s="40">
        <v>6.305377</v>
      </c>
      <c r="P81" s="41">
        <f t="shared" ref="P81:P87" si="29">S81-Q81</f>
        <v>1.117</v>
      </c>
      <c r="Q81" s="49">
        <v>0.10100000000000001</v>
      </c>
      <c r="R81" s="41">
        <v>1.1870000000000001</v>
      </c>
      <c r="S81" s="41">
        <f t="shared" si="28"/>
        <v>1.218</v>
      </c>
      <c r="T81" s="42">
        <v>7.0000000000000007E-2</v>
      </c>
      <c r="U81" s="52">
        <v>1218000</v>
      </c>
    </row>
    <row r="82" spans="1:21" x14ac:dyDescent="0.35">
      <c r="A82" t="str">
        <f>IF(A10="","","    "&amp;A10&amp;" - Release from Mead")</f>
        <v xml:space="preserve">    Shared, Reserve - Release from Mead</v>
      </c>
      <c r="C82" s="68"/>
      <c r="D82" s="68"/>
      <c r="E82" s="50"/>
      <c r="F82" s="50"/>
      <c r="G82" s="50"/>
      <c r="H82" s="50" t="str">
        <f>H75</f>
        <v/>
      </c>
      <c r="I82" s="50"/>
      <c r="J82" s="50"/>
      <c r="K82" s="50" t="str">
        <f>K75</f>
        <v/>
      </c>
      <c r="L82" s="50"/>
      <c r="N82" s="39">
        <v>1035</v>
      </c>
      <c r="O82" s="40">
        <v>6.6375080000000004</v>
      </c>
      <c r="P82" s="41">
        <f t="shared" si="29"/>
        <v>1.0669999999999999</v>
      </c>
      <c r="Q82" s="49">
        <v>9.1999999999999998E-2</v>
      </c>
      <c r="R82" s="41">
        <v>1.137</v>
      </c>
      <c r="S82" s="41">
        <f t="shared" si="28"/>
        <v>1.159</v>
      </c>
      <c r="T82" s="42">
        <v>7.0000000000000007E-2</v>
      </c>
      <c r="U82" s="52">
        <v>1159000</v>
      </c>
    </row>
    <row r="83" spans="1:21" x14ac:dyDescent="0.35">
      <c r="A83" t="str">
        <f>IF(A11="","","    "&amp;A11&amp;" - Release from Mead")</f>
        <v/>
      </c>
      <c r="C83" s="43"/>
      <c r="D83" s="43"/>
      <c r="E83" s="43"/>
      <c r="F83" s="43"/>
      <c r="G83" s="43"/>
      <c r="H83" s="43"/>
      <c r="I83" s="43"/>
      <c r="J83" s="43"/>
      <c r="K83" s="43"/>
      <c r="L83" s="43"/>
      <c r="N83" s="39">
        <v>1040</v>
      </c>
      <c r="O83" s="40">
        <v>6.977665</v>
      </c>
      <c r="P83" s="41">
        <f t="shared" si="29"/>
        <v>1.0169999999999999</v>
      </c>
      <c r="Q83" s="49">
        <v>8.4000000000000005E-2</v>
      </c>
      <c r="R83" s="41">
        <v>1.087</v>
      </c>
      <c r="S83" s="41">
        <f t="shared" si="28"/>
        <v>1.101</v>
      </c>
      <c r="T83" s="42">
        <v>7.0000000000000007E-2</v>
      </c>
      <c r="U83" s="52">
        <v>1101000</v>
      </c>
    </row>
    <row r="84" spans="1:21" x14ac:dyDescent="0.35">
      <c r="A84" s="1" t="s">
        <v>141</v>
      </c>
      <c r="B84" s="1"/>
      <c r="D84" s="2"/>
      <c r="E84" s="2"/>
      <c r="F84" s="2"/>
      <c r="G84" s="2"/>
      <c r="H84" s="2"/>
      <c r="I84" s="2"/>
      <c r="J84" s="2"/>
      <c r="K84" s="2"/>
      <c r="L84" s="2"/>
      <c r="N84" s="39">
        <v>1045</v>
      </c>
      <c r="O84" s="40">
        <v>7.3260519999999998</v>
      </c>
      <c r="P84" s="41">
        <f t="shared" si="29"/>
        <v>0.96699999999999997</v>
      </c>
      <c r="Q84" s="49">
        <v>7.5999999999999998E-2</v>
      </c>
      <c r="R84" s="41">
        <v>1.0369999999999999</v>
      </c>
      <c r="S84" s="41">
        <f t="shared" si="28"/>
        <v>1.0429999999999999</v>
      </c>
      <c r="T84" s="42">
        <v>7.0000000000000007E-2</v>
      </c>
      <c r="U84" s="52">
        <v>1043000</v>
      </c>
    </row>
    <row r="85" spans="1:21" x14ac:dyDescent="0.35">
      <c r="A85" t="str">
        <f>IF(A6="","","    "&amp;A6)</f>
        <v xml:space="preserve">    Upper Basin</v>
      </c>
      <c r="C85" s="14">
        <f>IF(OR(C$27="",$A85=""),"",C71-C78)</f>
        <v>3.2624438809560035</v>
      </c>
      <c r="D85" s="14">
        <f t="shared" ref="D85:L85" si="30">IF(OR(D$27="",$A85=""),"",D71-D78)</f>
        <v>2.6059121066952144</v>
      </c>
      <c r="E85" s="14">
        <f t="shared" si="30"/>
        <v>2.2851245093047288</v>
      </c>
      <c r="F85" s="14">
        <f t="shared" si="30"/>
        <v>2.5817095100952416</v>
      </c>
      <c r="G85" s="14">
        <f t="shared" si="30"/>
        <v>2.8637198302764233</v>
      </c>
      <c r="H85" s="14" t="str">
        <f t="shared" si="30"/>
        <v/>
      </c>
      <c r="I85" s="14" t="str">
        <f t="shared" si="30"/>
        <v/>
      </c>
      <c r="J85" s="14" t="str">
        <f t="shared" si="30"/>
        <v/>
      </c>
      <c r="K85" s="14" t="str">
        <f t="shared" si="30"/>
        <v/>
      </c>
      <c r="L85" s="14" t="str">
        <f t="shared" si="30"/>
        <v/>
      </c>
      <c r="N85" s="39">
        <v>1050</v>
      </c>
      <c r="O85" s="40">
        <v>7.6828779999999997</v>
      </c>
      <c r="P85" s="41">
        <f t="shared" si="29"/>
        <v>0.71699999999999997</v>
      </c>
      <c r="Q85" s="49">
        <v>3.4000000000000002E-2</v>
      </c>
      <c r="R85" s="41">
        <v>0.78700000000000003</v>
      </c>
      <c r="S85" s="41">
        <f t="shared" si="28"/>
        <v>0.751</v>
      </c>
      <c r="T85" s="42">
        <v>7.0000000000000007E-2</v>
      </c>
      <c r="U85" s="52">
        <v>751000</v>
      </c>
    </row>
    <row r="86" spans="1:21" x14ac:dyDescent="0.35">
      <c r="A86" t="str">
        <f>IF(A7="","","    "&amp;A7)</f>
        <v xml:space="preserve">    Lower Basin</v>
      </c>
      <c r="C86" s="14">
        <f t="shared" ref="C86:L90" si="31">IF(OR(C$27="",$A86=""),"",C72-C79)</f>
        <v>4.566312706382833</v>
      </c>
      <c r="D86" s="14">
        <f t="shared" si="31"/>
        <v>4.6147112984892829</v>
      </c>
      <c r="E86" s="14">
        <f t="shared" si="31"/>
        <v>4.6537848163901909</v>
      </c>
      <c r="F86" s="14">
        <f t="shared" si="31"/>
        <v>4.2884546174808307</v>
      </c>
      <c r="G86" s="14">
        <f t="shared" si="31"/>
        <v>3.9404978431203883</v>
      </c>
      <c r="H86" s="14" t="str">
        <f t="shared" si="31"/>
        <v/>
      </c>
      <c r="I86" s="14" t="str">
        <f t="shared" si="31"/>
        <v/>
      </c>
      <c r="J86" s="14" t="str">
        <f t="shared" si="31"/>
        <v/>
      </c>
      <c r="K86" s="14" t="str">
        <f t="shared" si="31"/>
        <v/>
      </c>
      <c r="L86" s="14" t="str">
        <f t="shared" si="31"/>
        <v/>
      </c>
      <c r="N86" s="39">
        <v>1075</v>
      </c>
      <c r="O86" s="40">
        <v>9.6009879999900001</v>
      </c>
      <c r="P86" s="41">
        <f t="shared" si="29"/>
        <v>0.63300000000000001</v>
      </c>
      <c r="Q86" s="49">
        <v>0.03</v>
      </c>
      <c r="R86" s="41">
        <v>0.68300000000000005</v>
      </c>
      <c r="S86" s="41">
        <f t="shared" si="28"/>
        <v>0.66300000000000003</v>
      </c>
      <c r="T86" s="42">
        <v>0.05</v>
      </c>
      <c r="U86" s="52">
        <v>663000</v>
      </c>
    </row>
    <row r="87" spans="1:21" x14ac:dyDescent="0.35">
      <c r="A87" t="str">
        <f>IF(A8="","","    "&amp;A8)</f>
        <v xml:space="preserve">    Mexico</v>
      </c>
      <c r="C87" s="14">
        <f t="shared" si="31"/>
        <v>0</v>
      </c>
      <c r="D87" s="14">
        <f t="shared" si="31"/>
        <v>0</v>
      </c>
      <c r="E87" s="14">
        <f t="shared" si="31"/>
        <v>0</v>
      </c>
      <c r="F87" s="14">
        <f t="shared" si="31"/>
        <v>0</v>
      </c>
      <c r="G87" s="14">
        <f t="shared" si="31"/>
        <v>0</v>
      </c>
      <c r="H87" s="14" t="str">
        <f t="shared" si="31"/>
        <v/>
      </c>
      <c r="I87" s="14" t="str">
        <f t="shared" si="31"/>
        <v/>
      </c>
      <c r="J87" s="14" t="str">
        <f t="shared" si="31"/>
        <v/>
      </c>
      <c r="K87" s="14" t="str">
        <f t="shared" si="31"/>
        <v/>
      </c>
      <c r="L87" s="14" t="str">
        <f t="shared" si="31"/>
        <v/>
      </c>
      <c r="N87" s="39">
        <v>1090</v>
      </c>
      <c r="O87" s="40">
        <v>10.857008</v>
      </c>
      <c r="P87" s="41">
        <f t="shared" si="29"/>
        <v>0.30000000000000004</v>
      </c>
      <c r="Q87" s="49">
        <v>4.1000000000000002E-2</v>
      </c>
      <c r="R87" s="41">
        <v>0.3</v>
      </c>
      <c r="S87" s="41">
        <f t="shared" si="28"/>
        <v>0.34100000000000003</v>
      </c>
      <c r="T87" s="38"/>
      <c r="U87" s="52">
        <v>341000</v>
      </c>
    </row>
    <row r="88" spans="1:21" x14ac:dyDescent="0.35">
      <c r="A88" t="str">
        <f>IF(A9="","","    "&amp;A9)</f>
        <v xml:space="preserve">    Mohave &amp; Havasu Evap &amp; ET</v>
      </c>
      <c r="C88" s="14">
        <f t="shared" si="31"/>
        <v>0</v>
      </c>
      <c r="D88" s="14">
        <f t="shared" si="31"/>
        <v>0</v>
      </c>
      <c r="E88" s="14">
        <f t="shared" si="31"/>
        <v>0</v>
      </c>
      <c r="F88" s="14">
        <f t="shared" si="31"/>
        <v>0</v>
      </c>
      <c r="G88" s="14">
        <f t="shared" si="31"/>
        <v>0</v>
      </c>
      <c r="H88" s="14" t="str">
        <f t="shared" si="31"/>
        <v/>
      </c>
      <c r="I88" s="14" t="str">
        <f t="shared" si="31"/>
        <v/>
      </c>
      <c r="J88" s="14" t="str">
        <f t="shared" si="31"/>
        <v/>
      </c>
      <c r="K88" s="14" t="str">
        <f t="shared" si="31"/>
        <v/>
      </c>
      <c r="L88" s="14" t="str">
        <f t="shared" si="31"/>
        <v/>
      </c>
    </row>
    <row r="89" spans="1:21" x14ac:dyDescent="0.35">
      <c r="A89" t="str">
        <f>IF(A10="","","    "&amp;A10)</f>
        <v xml:space="preserve">    Shared, Reserve</v>
      </c>
      <c r="C89" s="14">
        <f>IF(OR(C$27="",$A89=""),"",C75-C82)</f>
        <v>11.59116925</v>
      </c>
      <c r="D89" s="14">
        <f t="shared" si="31"/>
        <v>11.59116925</v>
      </c>
      <c r="E89" s="14">
        <f t="shared" si="31"/>
        <v>11.59116925</v>
      </c>
      <c r="F89" s="14">
        <f t="shared" si="31"/>
        <v>11.59116925</v>
      </c>
      <c r="G89" s="14">
        <f t="shared" si="31"/>
        <v>11.59116925</v>
      </c>
      <c r="H89" s="59" t="str">
        <f t="shared" si="31"/>
        <v/>
      </c>
      <c r="I89" s="59" t="str">
        <f t="shared" si="31"/>
        <v/>
      </c>
      <c r="J89" s="59" t="str">
        <f t="shared" si="31"/>
        <v/>
      </c>
      <c r="K89" s="59" t="str">
        <f t="shared" si="31"/>
        <v/>
      </c>
      <c r="L89" s="59" t="str">
        <f t="shared" si="31"/>
        <v/>
      </c>
    </row>
    <row r="90" spans="1:21" x14ac:dyDescent="0.35">
      <c r="A90" t="str">
        <f>IF(A11="","","    "&amp;A11)</f>
        <v/>
      </c>
      <c r="C90" s="14" t="str">
        <f t="shared" si="31"/>
        <v/>
      </c>
      <c r="D90" s="14" t="str">
        <f t="shared" si="31"/>
        <v/>
      </c>
      <c r="E90" s="14" t="str">
        <f t="shared" si="31"/>
        <v/>
      </c>
      <c r="F90" s="14" t="str">
        <f t="shared" si="31"/>
        <v/>
      </c>
      <c r="G90" s="14" t="str">
        <f t="shared" si="31"/>
        <v/>
      </c>
      <c r="H90" s="14" t="str">
        <f t="shared" si="31"/>
        <v/>
      </c>
      <c r="I90" s="14" t="str">
        <f t="shared" si="31"/>
        <v/>
      </c>
      <c r="J90" s="14" t="str">
        <f t="shared" si="31"/>
        <v/>
      </c>
      <c r="K90" s="14" t="str">
        <f t="shared" si="31"/>
        <v/>
      </c>
      <c r="L90" s="14" t="str">
        <f t="shared" si="31"/>
        <v/>
      </c>
    </row>
    <row r="91" spans="1:21" x14ac:dyDescent="0.35">
      <c r="A91" s="1" t="s">
        <v>125</v>
      </c>
      <c r="B91" s="1"/>
      <c r="C91" s="14">
        <f>IF(C$27&lt;&gt;"",SUM(C85:C90),"")</f>
        <v>19.419925837338837</v>
      </c>
      <c r="D91" s="14">
        <f t="shared" ref="D91:L91" si="32">IF(D$27&lt;&gt;"",SUM(D85:D90),"")</f>
        <v>18.811792655184497</v>
      </c>
      <c r="E91" s="14">
        <f t="shared" si="32"/>
        <v>18.530078575694919</v>
      </c>
      <c r="F91" s="14">
        <f t="shared" si="32"/>
        <v>18.461333377576072</v>
      </c>
      <c r="G91" s="14">
        <f t="shared" si="32"/>
        <v>18.395386923396813</v>
      </c>
      <c r="H91" s="14" t="str">
        <f t="shared" si="32"/>
        <v/>
      </c>
      <c r="I91" s="14" t="str">
        <f t="shared" si="32"/>
        <v/>
      </c>
      <c r="J91" s="14" t="str">
        <f t="shared" si="32"/>
        <v/>
      </c>
      <c r="K91" s="14" t="str">
        <f t="shared" si="32"/>
        <v/>
      </c>
      <c r="L91" s="14" t="str">
        <f t="shared" si="32"/>
        <v/>
      </c>
    </row>
    <row r="92" spans="1:21" x14ac:dyDescent="0.35">
      <c r="A92" s="1" t="s">
        <v>147</v>
      </c>
      <c r="B92" s="1"/>
      <c r="C92" s="14">
        <f>IF(C27&lt;&gt;"",C37+C27-C40-C78-C91*$B$37,"")</f>
        <v>8.3443252348954289</v>
      </c>
      <c r="D92" s="14">
        <f t="shared" ref="D92:L92" si="33">IF(D27&lt;&gt;"",D37+D27-D40-D78-D91*$B$37,"")</f>
        <v>7.8408640113929629</v>
      </c>
      <c r="E92" s="14">
        <f t="shared" si="33"/>
        <v>8.0086184038493915</v>
      </c>
      <c r="F92" s="14">
        <f t="shared" si="33"/>
        <v>8.1178371596596595</v>
      </c>
      <c r="G92" s="14">
        <f t="shared" si="33"/>
        <v>8.1009617351104382</v>
      </c>
      <c r="H92" s="14" t="str">
        <f t="shared" si="33"/>
        <v/>
      </c>
      <c r="I92" s="14" t="str">
        <f t="shared" si="33"/>
        <v/>
      </c>
      <c r="J92" s="14" t="str">
        <f t="shared" si="33"/>
        <v/>
      </c>
      <c r="K92" s="14" t="str">
        <f t="shared" si="33"/>
        <v/>
      </c>
      <c r="L92" s="14" t="str">
        <f t="shared" si="33"/>
        <v/>
      </c>
    </row>
    <row r="94" spans="1:21" x14ac:dyDescent="0.35">
      <c r="A94" s="1" t="s">
        <v>127</v>
      </c>
      <c r="C94" s="12">
        <f>IF(C$27&lt;&gt;"",0.2,"")</f>
        <v>0.2</v>
      </c>
      <c r="D94" s="12">
        <f t="shared" ref="D94:L94" si="34">IF(D$27&lt;&gt;"",0.2,"")</f>
        <v>0.2</v>
      </c>
      <c r="E94" s="12">
        <f t="shared" si="34"/>
        <v>0.2</v>
      </c>
      <c r="F94" s="12">
        <f t="shared" si="34"/>
        <v>0.2</v>
      </c>
      <c r="G94" s="12">
        <f t="shared" si="34"/>
        <v>0.2</v>
      </c>
      <c r="H94" s="12" t="str">
        <f t="shared" si="34"/>
        <v/>
      </c>
      <c r="I94" s="12" t="str">
        <f t="shared" si="34"/>
        <v/>
      </c>
      <c r="J94" s="12" t="str">
        <f t="shared" si="34"/>
        <v/>
      </c>
      <c r="K94" s="12" t="str">
        <f t="shared" si="34"/>
        <v/>
      </c>
      <c r="L94" s="12" t="str">
        <f t="shared" si="34"/>
        <v/>
      </c>
    </row>
    <row r="95" spans="1:21" x14ac:dyDescent="0.35">
      <c r="A95" t="s">
        <v>128</v>
      </c>
      <c r="C95" s="14">
        <f t="shared" ref="C95:L95" si="35">IF(C$27&lt;&gt;"",C79+C94,"")</f>
        <v>7.1000000000000005</v>
      </c>
      <c r="D95" s="14">
        <f t="shared" si="35"/>
        <v>7.1000000000000005</v>
      </c>
      <c r="E95" s="14">
        <f t="shared" si="35"/>
        <v>7.1000000000000005</v>
      </c>
      <c r="F95" s="14">
        <f t="shared" si="35"/>
        <v>7.1000000000000005</v>
      </c>
      <c r="G95" s="14">
        <f t="shared" si="35"/>
        <v>7.1000000000000005</v>
      </c>
      <c r="H95" s="14" t="str">
        <f t="shared" si="35"/>
        <v/>
      </c>
      <c r="I95" s="14" t="str">
        <f t="shared" si="35"/>
        <v/>
      </c>
      <c r="J95" s="14" t="str">
        <f t="shared" si="35"/>
        <v/>
      </c>
      <c r="K95" s="14" t="str">
        <f t="shared" si="35"/>
        <v/>
      </c>
      <c r="L95" s="14" t="str">
        <f t="shared" si="35"/>
        <v/>
      </c>
    </row>
    <row r="97" spans="4:4" x14ac:dyDescent="0.35">
      <c r="D97" s="18"/>
    </row>
  </sheetData>
  <mergeCells count="9">
    <mergeCell ref="C9:G9"/>
    <mergeCell ref="C10:G10"/>
    <mergeCell ref="C11:G11"/>
    <mergeCell ref="A3:G3"/>
    <mergeCell ref="C4:G4"/>
    <mergeCell ref="C5:G5"/>
    <mergeCell ref="C6:G6"/>
    <mergeCell ref="C7:G7"/>
    <mergeCell ref="C8:G8"/>
  </mergeCells>
  <conditionalFormatting sqref="C79">
    <cfRule type="cellIs" dxfId="315" priority="57" operator="greaterThan">
      <formula>$C$72</formula>
    </cfRule>
  </conditionalFormatting>
  <conditionalFormatting sqref="C80">
    <cfRule type="cellIs" dxfId="314" priority="56" operator="greaterThan">
      <formula>$C$73</formula>
    </cfRule>
  </conditionalFormatting>
  <conditionalFormatting sqref="C81">
    <cfRule type="cellIs" dxfId="313" priority="55" operator="greaterThan">
      <formula>$C$74</formula>
    </cfRule>
  </conditionalFormatting>
  <conditionalFormatting sqref="C82">
    <cfRule type="cellIs" dxfId="312" priority="54" operator="greaterThan">
      <formula>$C$75</formula>
    </cfRule>
  </conditionalFormatting>
  <conditionalFormatting sqref="C83">
    <cfRule type="cellIs" dxfId="311" priority="53" operator="greaterThan">
      <formula>$C$76</formula>
    </cfRule>
  </conditionalFormatting>
  <conditionalFormatting sqref="D79:G79">
    <cfRule type="cellIs" dxfId="310" priority="52" operator="greaterThan">
      <formula>$D$72</formula>
    </cfRule>
  </conditionalFormatting>
  <conditionalFormatting sqref="D80">
    <cfRule type="cellIs" dxfId="309" priority="51" operator="greaterThan">
      <formula>$D$73</formula>
    </cfRule>
  </conditionalFormatting>
  <conditionalFormatting sqref="D81">
    <cfRule type="cellIs" dxfId="308" priority="50" operator="greaterThan">
      <formula>$D$74</formula>
    </cfRule>
  </conditionalFormatting>
  <conditionalFormatting sqref="D82">
    <cfRule type="cellIs" dxfId="307" priority="49" operator="greaterThan">
      <formula>$D$75</formula>
    </cfRule>
  </conditionalFormatting>
  <conditionalFormatting sqref="D83">
    <cfRule type="cellIs" dxfId="306" priority="48" operator="greaterThan">
      <formula>$D$76</formula>
    </cfRule>
  </conditionalFormatting>
  <conditionalFormatting sqref="E80">
    <cfRule type="cellIs" dxfId="305" priority="46" operator="greaterThan">
      <formula>$E$73</formula>
    </cfRule>
  </conditionalFormatting>
  <conditionalFormatting sqref="E81">
    <cfRule type="cellIs" dxfId="304" priority="45" operator="greaterThan">
      <formula>$E$74</formula>
    </cfRule>
  </conditionalFormatting>
  <conditionalFormatting sqref="E82">
    <cfRule type="cellIs" dxfId="303" priority="44" operator="greaterThan">
      <formula>$E$75</formula>
    </cfRule>
  </conditionalFormatting>
  <conditionalFormatting sqref="E83">
    <cfRule type="cellIs" dxfId="302" priority="43" operator="greaterThan">
      <formula>$E$76</formula>
    </cfRule>
  </conditionalFormatting>
  <conditionalFormatting sqref="F80">
    <cfRule type="cellIs" dxfId="301" priority="41" operator="greaterThan">
      <formula>$F$73</formula>
    </cfRule>
  </conditionalFormatting>
  <conditionalFormatting sqref="F81">
    <cfRule type="cellIs" dxfId="300" priority="40" operator="greaterThan">
      <formula>$F$74</formula>
    </cfRule>
  </conditionalFormatting>
  <conditionalFormatting sqref="F82">
    <cfRule type="cellIs" dxfId="299" priority="39" operator="greaterThan">
      <formula>$F$75</formula>
    </cfRule>
  </conditionalFormatting>
  <conditionalFormatting sqref="F83">
    <cfRule type="cellIs" dxfId="298" priority="38" operator="greaterThan">
      <formula>$F$76</formula>
    </cfRule>
  </conditionalFormatting>
  <conditionalFormatting sqref="G80">
    <cfRule type="cellIs" dxfId="297" priority="36" operator="greaterThan">
      <formula>$G$73</formula>
    </cfRule>
  </conditionalFormatting>
  <conditionalFormatting sqref="G81">
    <cfRule type="cellIs" dxfId="296" priority="35" operator="greaterThan">
      <formula>$G$74</formula>
    </cfRule>
  </conditionalFormatting>
  <conditionalFormatting sqref="G82">
    <cfRule type="cellIs" dxfId="295" priority="34" operator="greaterThan">
      <formula>$G$75</formula>
    </cfRule>
  </conditionalFormatting>
  <conditionalFormatting sqref="G83">
    <cfRule type="cellIs" dxfId="294" priority="33" operator="greaterThan">
      <formula>$G$76</formula>
    </cfRule>
  </conditionalFormatting>
  <conditionalFormatting sqref="H78">
    <cfRule type="cellIs" dxfId="293" priority="32" operator="greaterThan">
      <formula>$H$71</formula>
    </cfRule>
  </conditionalFormatting>
  <conditionalFormatting sqref="H79">
    <cfRule type="cellIs" dxfId="292" priority="31" operator="greaterThan">
      <formula>$H$72</formula>
    </cfRule>
  </conditionalFormatting>
  <conditionalFormatting sqref="H80">
    <cfRule type="cellIs" dxfId="291" priority="30" operator="greaterThan">
      <formula>$H$73</formula>
    </cfRule>
  </conditionalFormatting>
  <conditionalFormatting sqref="H81">
    <cfRule type="cellIs" dxfId="290" priority="29" operator="greaterThan">
      <formula>$H$74</formula>
    </cfRule>
  </conditionalFormatting>
  <conditionalFormatting sqref="H82">
    <cfRule type="cellIs" dxfId="289" priority="28" operator="greaterThan">
      <formula>$H$75</formula>
    </cfRule>
  </conditionalFormatting>
  <conditionalFormatting sqref="H83">
    <cfRule type="cellIs" dxfId="288" priority="27" operator="greaterThan">
      <formula>$H$76</formula>
    </cfRule>
  </conditionalFormatting>
  <conditionalFormatting sqref="I78">
    <cfRule type="cellIs" dxfId="287" priority="26" operator="greaterThan">
      <formula>$I$71</formula>
    </cfRule>
  </conditionalFormatting>
  <conditionalFormatting sqref="I79">
    <cfRule type="cellIs" dxfId="286" priority="25" operator="greaterThan">
      <formula>$I$72</formula>
    </cfRule>
  </conditionalFormatting>
  <conditionalFormatting sqref="I80">
    <cfRule type="cellIs" dxfId="285" priority="24" operator="greaterThan">
      <formula>$I$73</formula>
    </cfRule>
  </conditionalFormatting>
  <conditionalFormatting sqref="I81">
    <cfRule type="cellIs" dxfId="284" priority="23" operator="greaterThan">
      <formula>$I$74</formula>
    </cfRule>
  </conditionalFormatting>
  <conditionalFormatting sqref="I82">
    <cfRule type="cellIs" dxfId="283" priority="22" operator="greaterThan">
      <formula>$I$75</formula>
    </cfRule>
  </conditionalFormatting>
  <conditionalFormatting sqref="I83">
    <cfRule type="cellIs" dxfId="282" priority="21" operator="greaterThan">
      <formula>$I$76</formula>
    </cfRule>
  </conditionalFormatting>
  <conditionalFormatting sqref="J78">
    <cfRule type="cellIs" dxfId="281" priority="20" operator="greaterThan">
      <formula>$J$71</formula>
    </cfRule>
  </conditionalFormatting>
  <conditionalFormatting sqref="J79">
    <cfRule type="cellIs" dxfId="280" priority="19" operator="greaterThan">
      <formula>$J$72</formula>
    </cfRule>
  </conditionalFormatting>
  <conditionalFormatting sqref="J80">
    <cfRule type="cellIs" dxfId="279" priority="18" operator="greaterThan">
      <formula>$J$73</formula>
    </cfRule>
  </conditionalFormatting>
  <conditionalFormatting sqref="J81">
    <cfRule type="cellIs" dxfId="278" priority="17" operator="greaterThan">
      <formula>$J$74</formula>
    </cfRule>
  </conditionalFormatting>
  <conditionalFormatting sqref="J82">
    <cfRule type="cellIs" dxfId="277" priority="16" operator="greaterThan">
      <formula>$J$75</formula>
    </cfRule>
  </conditionalFormatting>
  <conditionalFormatting sqref="J83">
    <cfRule type="cellIs" dxfId="276" priority="15" operator="greaterThan">
      <formula>$J$76</formula>
    </cfRule>
  </conditionalFormatting>
  <conditionalFormatting sqref="K78">
    <cfRule type="cellIs" dxfId="275" priority="14" operator="greaterThan">
      <formula>$K$71</formula>
    </cfRule>
  </conditionalFormatting>
  <conditionalFormatting sqref="K79">
    <cfRule type="cellIs" dxfId="274" priority="13" operator="greaterThan">
      <formula>$K$72</formula>
    </cfRule>
  </conditionalFormatting>
  <conditionalFormatting sqref="K80">
    <cfRule type="cellIs" dxfId="273" priority="12" operator="greaterThan">
      <formula>$K$73</formula>
    </cfRule>
  </conditionalFormatting>
  <conditionalFormatting sqref="K81">
    <cfRule type="cellIs" dxfId="272" priority="11" operator="greaterThan">
      <formula>$K$74</formula>
    </cfRule>
  </conditionalFormatting>
  <conditionalFormatting sqref="K82">
    <cfRule type="cellIs" dxfId="271" priority="10" operator="greaterThan">
      <formula>$K$75</formula>
    </cfRule>
  </conditionalFormatting>
  <conditionalFormatting sqref="K83">
    <cfRule type="cellIs" dxfId="270" priority="9" operator="greaterThan">
      <formula>$K$76</formula>
    </cfRule>
  </conditionalFormatting>
  <conditionalFormatting sqref="L78">
    <cfRule type="cellIs" dxfId="269" priority="8" operator="greaterThan">
      <formula>$L$71</formula>
    </cfRule>
  </conditionalFormatting>
  <conditionalFormatting sqref="L79">
    <cfRule type="cellIs" dxfId="268" priority="7" operator="greaterThan">
      <formula>$L$72</formula>
    </cfRule>
  </conditionalFormatting>
  <conditionalFormatting sqref="L80">
    <cfRule type="cellIs" dxfId="267" priority="6" operator="greaterThan">
      <formula>$L$73</formula>
    </cfRule>
  </conditionalFormatting>
  <conditionalFormatting sqref="L81">
    <cfRule type="cellIs" dxfId="266" priority="5" operator="greaterThan">
      <formula>$L$74</formula>
    </cfRule>
  </conditionalFormatting>
  <conditionalFormatting sqref="L82">
    <cfRule type="cellIs" dxfId="265" priority="4" operator="greaterThan">
      <formula>$L$75</formula>
    </cfRule>
  </conditionalFormatting>
  <conditionalFormatting sqref="L83">
    <cfRule type="cellIs" dxfId="264" priority="3" operator="greaterThan">
      <formula>$L$76</formula>
    </cfRule>
  </conditionalFormatting>
  <conditionalFormatting sqref="D78:F78">
    <cfRule type="cellIs" dxfId="263" priority="2" operator="greaterThan">
      <formula>$D$71</formula>
    </cfRule>
  </conditionalFormatting>
  <conditionalFormatting sqref="G78">
    <cfRule type="cellIs" dxfId="262" priority="1" operator="greaterThan">
      <formula>$G$71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63"/>
      <c r="I3" s="63"/>
      <c r="J3" s="63"/>
      <c r="K3" s="63"/>
    </row>
    <row r="4" spans="1:11" x14ac:dyDescent="0.35">
      <c r="A4" s="64" t="s">
        <v>39</v>
      </c>
      <c r="B4" s="64" t="s">
        <v>43</v>
      </c>
      <c r="C4" s="99" t="s">
        <v>44</v>
      </c>
      <c r="D4" s="100"/>
      <c r="E4" s="100"/>
      <c r="F4" s="100"/>
      <c r="G4" s="101"/>
    </row>
    <row r="5" spans="1:11" x14ac:dyDescent="0.35">
      <c r="A5" s="65" t="s">
        <v>52</v>
      </c>
      <c r="B5" s="65"/>
      <c r="C5" s="102"/>
      <c r="D5" s="102"/>
      <c r="E5" s="102"/>
      <c r="F5" s="102"/>
      <c r="G5" s="102"/>
    </row>
    <row r="6" spans="1:11" x14ac:dyDescent="0.35">
      <c r="A6" s="66" t="s">
        <v>40</v>
      </c>
      <c r="B6" s="66" t="s">
        <v>184</v>
      </c>
      <c r="C6" s="103" t="s">
        <v>183</v>
      </c>
      <c r="D6" s="103"/>
      <c r="E6" s="103"/>
      <c r="F6" s="103"/>
      <c r="G6" s="103"/>
    </row>
    <row r="7" spans="1:11" x14ac:dyDescent="0.35">
      <c r="A7" s="66" t="s">
        <v>41</v>
      </c>
      <c r="B7" s="66" t="s">
        <v>184</v>
      </c>
      <c r="C7" s="97" t="s">
        <v>181</v>
      </c>
      <c r="D7" s="97"/>
      <c r="E7" s="97"/>
      <c r="F7" s="97"/>
      <c r="G7" s="97"/>
    </row>
    <row r="8" spans="1:11" x14ac:dyDescent="0.35">
      <c r="A8" s="66" t="s">
        <v>42</v>
      </c>
      <c r="B8" s="66" t="s">
        <v>184</v>
      </c>
      <c r="C8" s="103" t="s">
        <v>183</v>
      </c>
      <c r="D8" s="103"/>
      <c r="E8" s="103"/>
      <c r="F8" s="103"/>
      <c r="G8" s="103"/>
    </row>
    <row r="9" spans="1:11" x14ac:dyDescent="0.35">
      <c r="A9" s="66" t="s">
        <v>165</v>
      </c>
      <c r="B9" s="66" t="s">
        <v>184</v>
      </c>
      <c r="C9" s="97" t="s">
        <v>182</v>
      </c>
      <c r="D9" s="97"/>
      <c r="E9" s="97"/>
      <c r="F9" s="97"/>
      <c r="G9" s="97"/>
    </row>
    <row r="10" spans="1:11" x14ac:dyDescent="0.35">
      <c r="A10" s="66"/>
      <c r="B10" s="66"/>
      <c r="C10" s="97"/>
      <c r="D10" s="97"/>
      <c r="E10" s="97"/>
      <c r="F10" s="97"/>
      <c r="G10" s="97"/>
    </row>
    <row r="11" spans="1:11" x14ac:dyDescent="0.35">
      <c r="A11" s="66"/>
      <c r="B11" s="66"/>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18.702087997956422</v>
      </c>
      <c r="E27" s="14">
        <f t="shared" ref="E27:L27" si="2">IF(E$25&lt;&gt;"",D89,"")</f>
        <v>16.415286880456996</v>
      </c>
      <c r="F27" s="14">
        <f t="shared" si="2"/>
        <v>15.064095076101138</v>
      </c>
      <c r="G27" s="14">
        <f t="shared" si="2"/>
        <v>14.750680962076862</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7.1385464313993898</v>
      </c>
      <c r="F28" s="14">
        <f t="shared" si="3"/>
        <v>6.1</v>
      </c>
      <c r="G28" s="14">
        <f t="shared" si="3"/>
        <v>6.1</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9.2767404490576055</v>
      </c>
      <c r="F29" s="14">
        <f t="shared" si="6"/>
        <v>8.9640950761011382</v>
      </c>
      <c r="G29" s="14">
        <f t="shared" si="6"/>
        <v>8.6506809620768621</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10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9.351043998978211</v>
      </c>
      <c r="E35" s="14">
        <f t="shared" si="7"/>
        <v>8.2076434402284981</v>
      </c>
      <c r="F35" s="14">
        <f t="shared" si="7"/>
        <v>7.5320475380505689</v>
      </c>
      <c r="G35" s="14">
        <f t="shared" si="7"/>
        <v>7.3753404810384309</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9.351043998978211</v>
      </c>
      <c r="E36" s="14">
        <f t="shared" si="7"/>
        <v>8.2076434402284981</v>
      </c>
      <c r="F36" s="14">
        <f t="shared" si="7"/>
        <v>7.5320475380505689</v>
      </c>
      <c r="G36" s="14">
        <f t="shared" si="7"/>
        <v>7.3753404810384309</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0.94980111749942708</v>
      </c>
      <c r="E37" s="14">
        <f>IF(E$25&lt;&gt;"",VLOOKUP(E35*1000000,'Powell-Elevation-Area'!$B$5:$D$689,3)*$B$21/1000000 + VLOOKUP(E36*1000000,'Mead-Elevation-Area'!$B$5:$D$676,3)*$C$21/1000000,"")</f>
        <v>0.87881905500117308</v>
      </c>
      <c r="F37" s="14">
        <f>IF(F$25&lt;&gt;"",VLOOKUP(F35*1000000,'Powell-Elevation-Area'!$B$5:$D$689,3)*$B$21/1000000 + VLOOKUP(F36*1000000,'Mead-Elevation-Area'!$B$5:$D$676,3)*$C$21/1000000,"")</f>
        <v>0.83590071750057304</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0.45871070224991406</v>
      </c>
      <c r="E38" s="14">
        <f t="shared" si="8"/>
        <v>0.38217368204470614</v>
      </c>
      <c r="F38" s="14">
        <f t="shared" si="8"/>
        <v>0.33848660347629778</v>
      </c>
      <c r="G38" s="14">
        <f t="shared" si="8"/>
        <v>0.3419269071179345</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0.49109041524951297</v>
      </c>
      <c r="E39" s="14">
        <f t="shared" si="10"/>
        <v>0.49664537295646694</v>
      </c>
      <c r="F39" s="14">
        <f t="shared" si="10"/>
        <v>0.49741411402427532</v>
      </c>
      <c r="G39" s="14">
        <f t="shared" si="10"/>
        <v>0.48490173538146553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11.33854643139939</v>
      </c>
      <c r="E69" s="14">
        <f t="shared" si="26"/>
        <v>9.5213727493546845</v>
      </c>
      <c r="F69" s="14">
        <f t="shared" si="26"/>
        <v>8.5265133965237023</v>
      </c>
      <c r="G69" s="14">
        <f t="shared" si="26"/>
        <v>8.5230730928820648</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16.53683086430712</v>
      </c>
      <c r="D70" s="14">
        <f t="shared" si="28"/>
        <v>16.143740449057606</v>
      </c>
      <c r="E70" s="14">
        <f t="shared" si="28"/>
        <v>15.747095076101138</v>
      </c>
      <c r="F70" s="14">
        <f t="shared" si="28"/>
        <v>15.433680962076863</v>
      </c>
      <c r="G70" s="14">
        <f t="shared" si="28"/>
        <v>15.132779226695398</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3.4213727493546848</v>
      </c>
      <c r="F76" s="43">
        <f t="shared" si="29"/>
        <v>2.4265133965237027</v>
      </c>
      <c r="G76" s="43">
        <f t="shared" si="29"/>
        <v>2.4230730928820652</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E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7.1385464313993898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9.6698308643071194</v>
      </c>
      <c r="D84" s="14">
        <f t="shared" si="36"/>
        <v>9.2767404490576055</v>
      </c>
      <c r="E84" s="14">
        <f t="shared" si="36"/>
        <v>8.9640950761011382</v>
      </c>
      <c r="F84" s="14">
        <f t="shared" si="36"/>
        <v>8.6506809620768621</v>
      </c>
      <c r="G84" s="14">
        <f t="shared" si="36"/>
        <v>8.3497792266953965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18.702087997956422</v>
      </c>
      <c r="D89" s="14">
        <f t="shared" ref="D89:L89" si="37">IF(D$25&lt;&gt;"",SUM(D83:D88),"")</f>
        <v>16.415286880456996</v>
      </c>
      <c r="E89" s="14">
        <f t="shared" si="37"/>
        <v>15.064095076101138</v>
      </c>
      <c r="F89" s="14">
        <f t="shared" si="37"/>
        <v>14.750680962076862</v>
      </c>
      <c r="G89" s="14">
        <f t="shared" si="37"/>
        <v>14.449779226695396</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7.9162131346710911</v>
      </c>
      <c r="D90" s="14">
        <f t="shared" ref="D90:L90" si="38">IF(D25&lt;&gt;"",D35+D25-D38-D76-D89*$B$35,"")</f>
        <v>7.4846898564998021</v>
      </c>
      <c r="E90" s="14">
        <f t="shared" si="38"/>
        <v>7.8720494707785393</v>
      </c>
      <c r="F90" s="14">
        <f t="shared" si="38"/>
        <v>8.3917070570121375</v>
      </c>
      <c r="G90" s="14">
        <f t="shared" si="38"/>
        <v>8.3854508676907358</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1" priority="60" operator="greaterThan">
      <formula>$C$69</formula>
    </cfRule>
  </conditionalFormatting>
  <conditionalFormatting sqref="C77:D77">
    <cfRule type="cellIs" dxfId="260" priority="59" operator="greaterThan">
      <formula>$C$70</formula>
    </cfRule>
  </conditionalFormatting>
  <conditionalFormatting sqref="C78">
    <cfRule type="cellIs" dxfId="259" priority="58" operator="greaterThan">
      <formula>$C$71</formula>
    </cfRule>
  </conditionalFormatting>
  <conditionalFormatting sqref="C79">
    <cfRule type="cellIs" dxfId="258" priority="57" operator="greaterThan">
      <formula>$C$72</formula>
    </cfRule>
  </conditionalFormatting>
  <conditionalFormatting sqref="C80">
    <cfRule type="cellIs" dxfId="257" priority="56" operator="greaterThan">
      <formula>$C$73</formula>
    </cfRule>
  </conditionalFormatting>
  <conditionalFormatting sqref="C81">
    <cfRule type="cellIs" dxfId="256" priority="55" operator="greaterThan">
      <formula>$C$74</formula>
    </cfRule>
  </conditionalFormatting>
  <conditionalFormatting sqref="D76">
    <cfRule type="cellIs" dxfId="255"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72"/>
      <c r="I3" s="72"/>
      <c r="J3" s="72"/>
      <c r="K3" s="72"/>
    </row>
    <row r="4" spans="1:11" x14ac:dyDescent="0.35">
      <c r="A4" s="64" t="s">
        <v>39</v>
      </c>
      <c r="B4" s="64" t="s">
        <v>43</v>
      </c>
      <c r="C4" s="99" t="s">
        <v>44</v>
      </c>
      <c r="D4" s="100"/>
      <c r="E4" s="100"/>
      <c r="F4" s="100"/>
      <c r="G4" s="101"/>
    </row>
    <row r="5" spans="1:11" x14ac:dyDescent="0.35">
      <c r="A5" s="73" t="s">
        <v>52</v>
      </c>
      <c r="B5" s="73"/>
      <c r="C5" s="102"/>
      <c r="D5" s="102"/>
      <c r="E5" s="102"/>
      <c r="F5" s="102"/>
      <c r="G5" s="102"/>
    </row>
    <row r="6" spans="1:11" x14ac:dyDescent="0.35">
      <c r="A6" s="71" t="s">
        <v>40</v>
      </c>
      <c r="B6" s="71" t="s">
        <v>184</v>
      </c>
      <c r="C6" s="103" t="s">
        <v>183</v>
      </c>
      <c r="D6" s="103"/>
      <c r="E6" s="103"/>
      <c r="F6" s="103"/>
      <c r="G6" s="103"/>
    </row>
    <row r="7" spans="1:11" x14ac:dyDescent="0.35">
      <c r="A7" s="71" t="s">
        <v>41</v>
      </c>
      <c r="B7" s="71" t="s">
        <v>184</v>
      </c>
      <c r="C7" s="97" t="s">
        <v>181</v>
      </c>
      <c r="D7" s="97"/>
      <c r="E7" s="97"/>
      <c r="F7" s="97"/>
      <c r="G7" s="97"/>
    </row>
    <row r="8" spans="1:11" x14ac:dyDescent="0.35">
      <c r="A8" s="71" t="s">
        <v>42</v>
      </c>
      <c r="B8" s="71" t="s">
        <v>184</v>
      </c>
      <c r="C8" s="103" t="s">
        <v>183</v>
      </c>
      <c r="D8" s="103"/>
      <c r="E8" s="103"/>
      <c r="F8" s="103"/>
      <c r="G8" s="103"/>
    </row>
    <row r="9" spans="1:11" x14ac:dyDescent="0.35">
      <c r="A9" s="71" t="s">
        <v>165</v>
      </c>
      <c r="B9" s="71" t="s">
        <v>184</v>
      </c>
      <c r="C9" s="97" t="s">
        <v>182</v>
      </c>
      <c r="D9" s="97"/>
      <c r="E9" s="97"/>
      <c r="F9" s="97"/>
      <c r="G9" s="97"/>
    </row>
    <row r="10" spans="1:11" x14ac:dyDescent="0.35">
      <c r="A10" s="71"/>
      <c r="B10" s="71"/>
      <c r="C10" s="97"/>
      <c r="D10" s="97"/>
      <c r="E10" s="97"/>
      <c r="F10" s="97"/>
      <c r="G10" s="97"/>
    </row>
    <row r="11" spans="1:11" x14ac:dyDescent="0.35">
      <c r="A11" s="71"/>
      <c r="B11" s="71"/>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147</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63"/>
      <c r="I3" s="63"/>
      <c r="J3" s="63"/>
      <c r="K3" s="63"/>
    </row>
    <row r="4" spans="1:11" x14ac:dyDescent="0.35">
      <c r="A4" s="64" t="s">
        <v>39</v>
      </c>
      <c r="B4" s="64" t="s">
        <v>43</v>
      </c>
      <c r="C4" s="99" t="s">
        <v>44</v>
      </c>
      <c r="D4" s="100"/>
      <c r="E4" s="100"/>
      <c r="F4" s="100"/>
      <c r="G4" s="101"/>
    </row>
    <row r="5" spans="1:11" x14ac:dyDescent="0.35">
      <c r="A5" s="65" t="s">
        <v>52</v>
      </c>
      <c r="B5" s="65"/>
      <c r="C5" s="102"/>
      <c r="D5" s="102"/>
      <c r="E5" s="102"/>
      <c r="F5" s="102"/>
      <c r="G5" s="102"/>
    </row>
    <row r="6" spans="1:11" x14ac:dyDescent="0.35">
      <c r="A6" s="66" t="s">
        <v>40</v>
      </c>
      <c r="B6" s="66" t="s">
        <v>184</v>
      </c>
      <c r="C6" s="103" t="s">
        <v>183</v>
      </c>
      <c r="D6" s="103"/>
      <c r="E6" s="103"/>
      <c r="F6" s="103"/>
      <c r="G6" s="103"/>
    </row>
    <row r="7" spans="1:11" x14ac:dyDescent="0.35">
      <c r="A7" s="66" t="s">
        <v>41</v>
      </c>
      <c r="B7" s="66" t="s">
        <v>184</v>
      </c>
      <c r="C7" s="97" t="s">
        <v>181</v>
      </c>
      <c r="D7" s="97"/>
      <c r="E7" s="97"/>
      <c r="F7" s="97"/>
      <c r="G7" s="97"/>
    </row>
    <row r="8" spans="1:11" x14ac:dyDescent="0.35">
      <c r="A8" s="66" t="s">
        <v>42</v>
      </c>
      <c r="B8" s="66" t="s">
        <v>184</v>
      </c>
      <c r="C8" s="103" t="s">
        <v>183</v>
      </c>
      <c r="D8" s="103"/>
      <c r="E8" s="103"/>
      <c r="F8" s="103"/>
      <c r="G8" s="103"/>
    </row>
    <row r="9" spans="1:11" x14ac:dyDescent="0.35">
      <c r="A9" s="66" t="s">
        <v>165</v>
      </c>
      <c r="B9" s="66" t="s">
        <v>184</v>
      </c>
      <c r="C9" s="97" t="s">
        <v>182</v>
      </c>
      <c r="D9" s="97"/>
      <c r="E9" s="97"/>
      <c r="F9" s="97"/>
      <c r="G9" s="97"/>
    </row>
    <row r="10" spans="1:11" x14ac:dyDescent="0.35">
      <c r="A10" s="66"/>
      <c r="B10" s="66"/>
      <c r="C10" s="97"/>
      <c r="D10" s="97"/>
      <c r="E10" s="97"/>
      <c r="F10" s="97"/>
      <c r="G10" s="97"/>
    </row>
    <row r="11" spans="1:11" x14ac:dyDescent="0.35">
      <c r="A11" s="66"/>
      <c r="B11" s="66"/>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223</v>
      </c>
    </row>
    <row r="30" spans="1:14" x14ac:dyDescent="0.35">
      <c r="A30" t="str">
        <f t="shared" si="4"/>
        <v xml:space="preserve">    Mexico Balance</v>
      </c>
      <c r="B30" s="10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147</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04" t="s">
        <v>41</v>
      </c>
      <c r="Q1" s="104"/>
      <c r="R1" s="104"/>
      <c r="S1" s="104"/>
      <c r="T1" s="104"/>
      <c r="U1" s="104"/>
      <c r="V1" s="104"/>
      <c r="W1" s="104"/>
      <c r="X1" s="104"/>
      <c r="Y1" s="104"/>
    </row>
  </sheetData>
  <mergeCells count="1">
    <mergeCell ref="P1:Y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25"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8" t="s">
        <v>169</v>
      </c>
      <c r="B3" s="98"/>
      <c r="C3" s="98"/>
      <c r="D3" s="98"/>
      <c r="E3" s="98"/>
      <c r="F3" s="98"/>
      <c r="G3" s="98"/>
      <c r="H3" s="63"/>
      <c r="I3" s="63"/>
      <c r="J3" s="63"/>
      <c r="K3" s="63"/>
    </row>
    <row r="4" spans="1:11" x14ac:dyDescent="0.35">
      <c r="A4" s="64" t="s">
        <v>39</v>
      </c>
      <c r="B4" s="64" t="s">
        <v>43</v>
      </c>
      <c r="C4" s="99" t="s">
        <v>44</v>
      </c>
      <c r="D4" s="100"/>
      <c r="E4" s="100"/>
      <c r="F4" s="100"/>
      <c r="G4" s="101"/>
    </row>
    <row r="5" spans="1:11" x14ac:dyDescent="0.35">
      <c r="A5" s="65" t="s">
        <v>52</v>
      </c>
      <c r="B5" s="65"/>
      <c r="C5" s="102"/>
      <c r="D5" s="102"/>
      <c r="E5" s="102"/>
      <c r="F5" s="102"/>
      <c r="G5" s="102"/>
    </row>
    <row r="6" spans="1:11" x14ac:dyDescent="0.35">
      <c r="A6" s="66" t="s">
        <v>40</v>
      </c>
      <c r="B6" s="66" t="s">
        <v>184</v>
      </c>
      <c r="C6" s="103" t="s">
        <v>183</v>
      </c>
      <c r="D6" s="103"/>
      <c r="E6" s="103"/>
      <c r="F6" s="103"/>
      <c r="G6" s="103"/>
    </row>
    <row r="7" spans="1:11" x14ac:dyDescent="0.35">
      <c r="A7" s="66" t="s">
        <v>41</v>
      </c>
      <c r="B7" s="66" t="s">
        <v>184</v>
      </c>
      <c r="C7" s="97" t="s">
        <v>181</v>
      </c>
      <c r="D7" s="97"/>
      <c r="E7" s="97"/>
      <c r="F7" s="97"/>
      <c r="G7" s="97"/>
    </row>
    <row r="8" spans="1:11" x14ac:dyDescent="0.35">
      <c r="A8" s="66" t="s">
        <v>42</v>
      </c>
      <c r="B8" s="66" t="s">
        <v>184</v>
      </c>
      <c r="C8" s="103" t="s">
        <v>183</v>
      </c>
      <c r="D8" s="103"/>
      <c r="E8" s="103"/>
      <c r="F8" s="103"/>
      <c r="G8" s="103"/>
    </row>
    <row r="9" spans="1:11" x14ac:dyDescent="0.35">
      <c r="A9" s="66" t="s">
        <v>165</v>
      </c>
      <c r="B9" s="66" t="s">
        <v>184</v>
      </c>
      <c r="C9" s="97" t="s">
        <v>182</v>
      </c>
      <c r="D9" s="97"/>
      <c r="E9" s="97"/>
      <c r="F9" s="97"/>
      <c r="G9" s="97"/>
    </row>
    <row r="10" spans="1:11" x14ac:dyDescent="0.35">
      <c r="A10" s="66" t="s">
        <v>166</v>
      </c>
      <c r="B10" s="66" t="s">
        <v>184</v>
      </c>
      <c r="C10" s="97" t="s">
        <v>180</v>
      </c>
      <c r="D10" s="97"/>
      <c r="E10" s="97"/>
      <c r="F10" s="97"/>
      <c r="G10" s="97"/>
    </row>
    <row r="11" spans="1:11" x14ac:dyDescent="0.35">
      <c r="A11" s="66"/>
      <c r="B11" s="66"/>
      <c r="C11" s="97"/>
      <c r="D11" s="97"/>
      <c r="E11" s="97"/>
      <c r="F11" s="97"/>
      <c r="G11" s="9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223</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116</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147</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5"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05"/>
      <c r="D5" s="105"/>
      <c r="E5" s="105"/>
      <c r="F5" s="105"/>
      <c r="G5" s="105"/>
      <c r="H5" s="105"/>
    </row>
    <row r="6" spans="1:11" x14ac:dyDescent="0.35">
      <c r="A6" s="16" t="s">
        <v>40</v>
      </c>
      <c r="B6" s="47"/>
      <c r="C6" s="105"/>
      <c r="D6" s="105"/>
      <c r="E6" s="105"/>
      <c r="F6" s="105"/>
      <c r="G6" s="105"/>
      <c r="H6" s="105"/>
    </row>
    <row r="7" spans="1:11" x14ac:dyDescent="0.35">
      <c r="A7" s="16" t="s">
        <v>41</v>
      </c>
      <c r="B7" s="47"/>
      <c r="C7" s="105"/>
      <c r="D7" s="105"/>
      <c r="E7" s="105"/>
      <c r="F7" s="105"/>
      <c r="G7" s="105"/>
      <c r="H7" s="105"/>
    </row>
    <row r="8" spans="1:11" x14ac:dyDescent="0.35">
      <c r="A8" s="16" t="s">
        <v>42</v>
      </c>
      <c r="B8" s="47"/>
      <c r="C8" s="105"/>
      <c r="D8" s="105"/>
      <c r="E8" s="105"/>
      <c r="F8" s="105"/>
      <c r="G8" s="105"/>
      <c r="H8" s="105"/>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ReadMe-Directions</vt:lpstr>
      <vt:lpstr>Versions</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2021-06-30T17:28:46Z</dcterms:modified>
</cp:coreProperties>
</file>