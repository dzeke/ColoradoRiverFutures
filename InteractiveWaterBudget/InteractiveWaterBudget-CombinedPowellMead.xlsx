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9D78CF94-C671-49A9-B3A7-4E011477BAB2}" xr6:coauthVersionLast="36" xr6:coauthVersionMax="36" xr10:uidLastSave="{00000000-0000-0000-0000-000000000000}"/>
  <bookViews>
    <workbookView xWindow="0" yWindow="0" windowWidth="19200" windowHeight="6640" firstSheet="1" activeTab="1" xr2:uid="{5373AB19-D84C-490D-97DC-C516D358024A}"/>
  </bookViews>
  <sheets>
    <sheet name="ReadMe-Directions" sheetId="6" r:id="rId1"/>
    <sheet name="Master" sheetId="5" r:id="rId2"/>
    <sheet name="11.0-Trade" sheetId="12" r:id="rId3"/>
    <sheet name="11.0-LawOfRiver" sheetId="13" r:id="rId4"/>
    <sheet name="11.0-Plots" sheetId="19" r:id="rId5"/>
    <sheet name="MillenniumRecovers-LawOfRiver" sheetId="11" r:id="rId6"/>
    <sheet name="Millennium-Plots" sheetId="20" r:id="rId7"/>
    <sheet name="HydrologicScenarios" sheetId="7" r:id="rId8"/>
    <sheet name="Powell-Elevation-Area" sheetId="2" r:id="rId9"/>
    <sheet name="Mead-Elevation-Area" sheetId="10" r:id="rId10"/>
    <sheet name="11.0-LawOfRiverShort" sheetId="16"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7" i="5" l="1"/>
  <c r="C44" i="5"/>
  <c r="C55" i="5" s="1"/>
  <c r="D44" i="5"/>
  <c r="F44" i="5"/>
  <c r="G44" i="5"/>
  <c r="H44" i="5"/>
  <c r="I44" i="5"/>
  <c r="J44" i="5"/>
  <c r="K44" i="5"/>
  <c r="L44" i="5"/>
  <c r="B47" i="5"/>
  <c r="M60" i="5"/>
  <c r="D48" i="5"/>
  <c r="E48" i="5"/>
  <c r="F48" i="5"/>
  <c r="G48" i="5"/>
  <c r="H48" i="5"/>
  <c r="I48" i="5"/>
  <c r="J48" i="5"/>
  <c r="K48" i="5"/>
  <c r="L48" i="5"/>
  <c r="D49" i="5"/>
  <c r="E49" i="5"/>
  <c r="F49" i="5"/>
  <c r="G49" i="5"/>
  <c r="H49" i="5"/>
  <c r="I49" i="5"/>
  <c r="J49" i="5"/>
  <c r="K49" i="5"/>
  <c r="L49" i="5"/>
  <c r="D51" i="5"/>
  <c r="E51" i="5"/>
  <c r="F51" i="5"/>
  <c r="G51" i="5"/>
  <c r="H51" i="5"/>
  <c r="I51" i="5"/>
  <c r="J51" i="5"/>
  <c r="K51" i="5"/>
  <c r="L51" i="5"/>
  <c r="C49" i="5"/>
  <c r="C51" i="5"/>
  <c r="E33" i="5"/>
  <c r="F33" i="5"/>
  <c r="G33" i="5"/>
  <c r="H33" i="5"/>
  <c r="I33" i="5"/>
  <c r="J33" i="5"/>
  <c r="K33" i="5"/>
  <c r="L33" i="5"/>
  <c r="D29" i="5"/>
  <c r="D30" i="5"/>
  <c r="D33" i="5"/>
  <c r="A84" i="5"/>
  <c r="A85" i="5"/>
  <c r="A86" i="5"/>
  <c r="A87" i="5"/>
  <c r="A88" i="5"/>
  <c r="L88" i="5" s="1"/>
  <c r="F88" i="5"/>
  <c r="D74" i="5"/>
  <c r="D88" i="5" s="1"/>
  <c r="E74" i="5"/>
  <c r="E88" i="5" s="1"/>
  <c r="F74" i="5"/>
  <c r="G74" i="5"/>
  <c r="H74" i="5"/>
  <c r="I74" i="5"/>
  <c r="J74" i="5"/>
  <c r="J88" i="5" s="1"/>
  <c r="K74" i="5"/>
  <c r="K88" i="5" s="1"/>
  <c r="L74" i="5"/>
  <c r="C74" i="5"/>
  <c r="F53" i="5"/>
  <c r="G53" i="5"/>
  <c r="H53" i="5"/>
  <c r="I53" i="5"/>
  <c r="J53" i="5"/>
  <c r="K53" i="5"/>
  <c r="L53" i="5"/>
  <c r="F56" i="5"/>
  <c r="G56" i="5"/>
  <c r="H56" i="5"/>
  <c r="I56" i="5"/>
  <c r="J56" i="5"/>
  <c r="K56" i="5"/>
  <c r="L56" i="5"/>
  <c r="D58" i="5"/>
  <c r="E58" i="5"/>
  <c r="F58" i="5"/>
  <c r="G58" i="5"/>
  <c r="H58" i="5"/>
  <c r="I58" i="5"/>
  <c r="J58" i="5"/>
  <c r="K58" i="5"/>
  <c r="L58" i="5"/>
  <c r="C58" i="5"/>
  <c r="D47" i="5"/>
  <c r="E47" i="5"/>
  <c r="F47" i="5"/>
  <c r="G47" i="5"/>
  <c r="H47" i="5"/>
  <c r="I47" i="5"/>
  <c r="J47" i="5"/>
  <c r="K47" i="5"/>
  <c r="L47" i="5"/>
  <c r="D46" i="5"/>
  <c r="D43" i="5"/>
  <c r="E43" i="5"/>
  <c r="F43" i="5"/>
  <c r="G43" i="5"/>
  <c r="H43" i="5"/>
  <c r="I43" i="5"/>
  <c r="J43" i="5"/>
  <c r="K43" i="5"/>
  <c r="L43" i="5"/>
  <c r="C43" i="5"/>
  <c r="C29" i="5"/>
  <c r="C30" i="5"/>
  <c r="C31" i="5"/>
  <c r="C33" i="5"/>
  <c r="C28" i="5"/>
  <c r="A83" i="5"/>
  <c r="A80" i="5"/>
  <c r="A81" i="5"/>
  <c r="A78" i="5"/>
  <c r="A79" i="5"/>
  <c r="A77" i="5"/>
  <c r="A76" i="5"/>
  <c r="A70" i="5"/>
  <c r="A71" i="5"/>
  <c r="A72" i="5"/>
  <c r="A73" i="5"/>
  <c r="A74" i="5"/>
  <c r="A69" i="5"/>
  <c r="A61" i="5"/>
  <c r="A62" i="5"/>
  <c r="A63" i="5"/>
  <c r="A64" i="5"/>
  <c r="A65" i="5"/>
  <c r="A60" i="5"/>
  <c r="A54" i="5"/>
  <c r="A55" i="5"/>
  <c r="A56" i="5"/>
  <c r="A57" i="5"/>
  <c r="H57" i="5" s="1"/>
  <c r="A58" i="5"/>
  <c r="A53" i="5"/>
  <c r="A47" i="5"/>
  <c r="A48" i="5"/>
  <c r="A49" i="5"/>
  <c r="A50" i="5"/>
  <c r="I50" i="5" s="1"/>
  <c r="A51" i="5"/>
  <c r="A46" i="5"/>
  <c r="A39" i="5"/>
  <c r="A40" i="5"/>
  <c r="A41" i="5"/>
  <c r="A42" i="5"/>
  <c r="A43" i="5"/>
  <c r="A38" i="5"/>
  <c r="A29" i="5"/>
  <c r="A30" i="5"/>
  <c r="A31" i="5"/>
  <c r="A32" i="5"/>
  <c r="A33" i="5"/>
  <c r="A28" i="5"/>
  <c r="I26" i="5"/>
  <c r="G26" i="5"/>
  <c r="P79" i="5"/>
  <c r="P80" i="5"/>
  <c r="P81" i="5"/>
  <c r="P82" i="5"/>
  <c r="P83" i="5"/>
  <c r="P84" i="5"/>
  <c r="P85" i="5"/>
  <c r="P78" i="5"/>
  <c r="S85" i="5"/>
  <c r="S84" i="5"/>
  <c r="S83" i="5"/>
  <c r="S82" i="5"/>
  <c r="S81" i="5"/>
  <c r="S80" i="5"/>
  <c r="S79" i="5"/>
  <c r="S78" i="5"/>
  <c r="C35" i="11"/>
  <c r="D66" i="5"/>
  <c r="E66" i="5"/>
  <c r="G66" i="5"/>
  <c r="C27" i="5"/>
  <c r="B27" i="5"/>
  <c r="C46" i="12"/>
  <c r="C47" i="12"/>
  <c r="C66" i="5"/>
  <c r="C36" i="5"/>
  <c r="C35" i="5"/>
  <c r="C37" i="5" s="1"/>
  <c r="C39" i="5" s="1"/>
  <c r="B29" i="5"/>
  <c r="B28" i="5"/>
  <c r="M61" i="5"/>
  <c r="M62" i="5"/>
  <c r="M63" i="5"/>
  <c r="M64" i="5"/>
  <c r="M65" i="5"/>
  <c r="C41" i="5" l="1"/>
  <c r="C38" i="5"/>
  <c r="C40" i="5"/>
  <c r="K50" i="5"/>
  <c r="J50" i="5"/>
  <c r="C32" i="5"/>
  <c r="H50" i="5"/>
  <c r="C50" i="5"/>
  <c r="C42" i="5"/>
  <c r="E50" i="5"/>
  <c r="G50" i="5"/>
  <c r="F50" i="5"/>
  <c r="L50" i="5"/>
  <c r="D50" i="5"/>
  <c r="E46" i="5"/>
  <c r="G57" i="5"/>
  <c r="L57" i="5"/>
  <c r="K57" i="5"/>
  <c r="J57" i="5"/>
  <c r="F57" i="5"/>
  <c r="I57" i="5"/>
  <c r="I88" i="5"/>
  <c r="C88" i="5"/>
  <c r="H88" i="5"/>
  <c r="G88" i="5"/>
  <c r="G46" i="5"/>
  <c r="I66" i="5"/>
  <c r="F66" i="5"/>
  <c r="F26" i="5"/>
  <c r="B55" i="5"/>
  <c r="B48" i="5"/>
  <c r="C78" i="5"/>
  <c r="C48" i="5" l="1"/>
  <c r="C71" i="5" s="1"/>
  <c r="C85" i="5" s="1"/>
  <c r="C47" i="5"/>
  <c r="K46" i="5"/>
  <c r="F46" i="5"/>
  <c r="J26" i="5"/>
  <c r="J66" i="5"/>
  <c r="H66" i="5"/>
  <c r="H26" i="5"/>
  <c r="C46" i="5" l="1"/>
  <c r="I46" i="5"/>
  <c r="H46" i="5"/>
  <c r="K26" i="5"/>
  <c r="K66" i="5"/>
  <c r="L46" i="5" l="1"/>
  <c r="J46" i="5"/>
  <c r="L26" i="5"/>
  <c r="L66" i="5"/>
  <c r="R58" i="12" l="1"/>
  <c r="P58" i="12" s="1"/>
  <c r="R57" i="12"/>
  <c r="P57" i="12" s="1"/>
  <c r="R56" i="12"/>
  <c r="P56" i="12"/>
  <c r="R55" i="12"/>
  <c r="P55" i="12"/>
  <c r="R54" i="12"/>
  <c r="P54" i="12" s="1"/>
  <c r="R53" i="12"/>
  <c r="P53" i="12"/>
  <c r="R52" i="12"/>
  <c r="P52" i="12"/>
  <c r="R51" i="12"/>
  <c r="P51" i="12"/>
  <c r="R58" i="13"/>
  <c r="P58" i="13" s="1"/>
  <c r="R57" i="13"/>
  <c r="P57" i="13"/>
  <c r="R56" i="13"/>
  <c r="P56" i="13"/>
  <c r="R55" i="13"/>
  <c r="P55" i="13"/>
  <c r="R54" i="13"/>
  <c r="P54" i="13" s="1"/>
  <c r="R53" i="13"/>
  <c r="P53" i="13"/>
  <c r="R52" i="13"/>
  <c r="P52" i="13"/>
  <c r="R51" i="13"/>
  <c r="P51" i="13"/>
  <c r="R52" i="11"/>
  <c r="R53" i="11"/>
  <c r="R54" i="11"/>
  <c r="R55" i="11"/>
  <c r="R56" i="11"/>
  <c r="R57" i="11"/>
  <c r="R58" i="11"/>
  <c r="R51" i="11"/>
  <c r="P51" i="11" l="1"/>
  <c r="N60" i="11" l="1"/>
  <c r="O60" i="11"/>
  <c r="C46" i="16" l="1"/>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38" i="16" l="1"/>
  <c r="D37" i="16" s="1"/>
  <c r="C37" i="16"/>
  <c r="C32" i="16"/>
  <c r="C33" i="16"/>
  <c r="C55" i="16" s="1"/>
  <c r="D26" i="16" s="1"/>
  <c r="C34" i="16"/>
  <c r="C47" i="16" s="1"/>
  <c r="C56" i="16" s="1"/>
  <c r="D51" i="16"/>
  <c r="E22" i="16"/>
  <c r="D50" i="16" l="1"/>
  <c r="D60" i="16" s="1"/>
  <c r="E59" i="16"/>
  <c r="E23" i="16"/>
  <c r="E35" i="16"/>
  <c r="E36" i="16" s="1"/>
  <c r="F22" i="16"/>
  <c r="E51" i="16"/>
  <c r="E41" i="12"/>
  <c r="F41" i="12"/>
  <c r="G41" i="12"/>
  <c r="D22" i="12"/>
  <c r="D22" i="13"/>
  <c r="C60" i="13"/>
  <c r="C51" i="13"/>
  <c r="M43" i="13"/>
  <c r="M41" i="13"/>
  <c r="B30" i="13"/>
  <c r="C27" i="13"/>
  <c r="C26" i="13"/>
  <c r="C25" i="13"/>
  <c r="C23" i="13"/>
  <c r="C60" i="12"/>
  <c r="C51" i="12"/>
  <c r="M43" i="12"/>
  <c r="D41" i="12"/>
  <c r="C41" i="12"/>
  <c r="B30" i="12"/>
  <c r="C27" i="12"/>
  <c r="C26" i="12"/>
  <c r="C25" i="12"/>
  <c r="C23" i="12"/>
  <c r="C30" i="13" l="1"/>
  <c r="C35" i="13"/>
  <c r="C30" i="12"/>
  <c r="C35" i="12"/>
  <c r="C49" i="16"/>
  <c r="C54" i="16" s="1"/>
  <c r="E38" i="16"/>
  <c r="E37" i="16" s="1"/>
  <c r="F35" i="16"/>
  <c r="G22" i="16"/>
  <c r="F51" i="16"/>
  <c r="F23" i="16"/>
  <c r="F36" i="16"/>
  <c r="F38" i="16" s="1"/>
  <c r="F59" i="16"/>
  <c r="C50" i="12"/>
  <c r="D50" i="12" s="1"/>
  <c r="E50" i="12" s="1"/>
  <c r="F50" i="12" s="1"/>
  <c r="G50" i="12" s="1"/>
  <c r="H50" i="12" s="1"/>
  <c r="I50" i="12" s="1"/>
  <c r="J50" i="12" s="1"/>
  <c r="K50" i="12" s="1"/>
  <c r="L50" i="12" s="1"/>
  <c r="E22" i="12"/>
  <c r="F22" i="12" s="1"/>
  <c r="C50" i="13"/>
  <c r="C61" i="13" s="1"/>
  <c r="M41" i="12"/>
  <c r="D51" i="12"/>
  <c r="D23" i="12"/>
  <c r="D60" i="12"/>
  <c r="C24" i="12"/>
  <c r="D23" i="13"/>
  <c r="E22" i="13"/>
  <c r="D51" i="13"/>
  <c r="D60" i="13"/>
  <c r="C24" i="13"/>
  <c r="C29" i="13"/>
  <c r="C31" i="13" s="1"/>
  <c r="C29" i="12"/>
  <c r="C31" i="12" s="1"/>
  <c r="C52" i="13" l="1"/>
  <c r="C36" i="13"/>
  <c r="C38" i="13" s="1"/>
  <c r="C37" i="13" s="1"/>
  <c r="C52" i="12"/>
  <c r="C36" i="12"/>
  <c r="C38" i="12" s="1"/>
  <c r="C37" i="12" s="1"/>
  <c r="D25" i="16"/>
  <c r="C57" i="16"/>
  <c r="D24" i="16" s="1"/>
  <c r="D29" i="16" s="1"/>
  <c r="F37" i="16"/>
  <c r="G51" i="16"/>
  <c r="H22" i="16"/>
  <c r="G35" i="16"/>
  <c r="G23" i="16"/>
  <c r="G36" i="16"/>
  <c r="G59" i="16"/>
  <c r="E23" i="12"/>
  <c r="G22" i="12"/>
  <c r="F23" i="12"/>
  <c r="F60" i="12"/>
  <c r="F61" i="12" s="1"/>
  <c r="E51" i="12"/>
  <c r="D61" i="12"/>
  <c r="E60" i="12"/>
  <c r="E61" i="12" s="1"/>
  <c r="F51" i="12"/>
  <c r="C61" i="12"/>
  <c r="F22" i="13"/>
  <c r="E60" i="13"/>
  <c r="E51" i="13"/>
  <c r="E23" i="13"/>
  <c r="C34" i="13"/>
  <c r="C47" i="13" s="1"/>
  <c r="C56" i="13" s="1"/>
  <c r="C33" i="13"/>
  <c r="C46" i="13" s="1"/>
  <c r="C55" i="13" s="1"/>
  <c r="D26" i="13" s="1"/>
  <c r="C32" i="13"/>
  <c r="C34" i="12"/>
  <c r="C33" i="12"/>
  <c r="C32" i="12"/>
  <c r="C45" i="13" l="1"/>
  <c r="C49" i="13" s="1"/>
  <c r="D50" i="13"/>
  <c r="D61" i="13" s="1"/>
  <c r="D35" i="13"/>
  <c r="C45" i="12"/>
  <c r="C54" i="12" s="1"/>
  <c r="C55" i="12"/>
  <c r="D26" i="12" s="1"/>
  <c r="D35" i="12" s="1"/>
  <c r="C56" i="12"/>
  <c r="D30" i="16"/>
  <c r="D31" i="16" s="1"/>
  <c r="D27" i="16"/>
  <c r="G38" i="16"/>
  <c r="G37" i="16" s="1"/>
  <c r="I22" i="16"/>
  <c r="H59" i="16"/>
  <c r="H23" i="16"/>
  <c r="H35" i="16"/>
  <c r="H36" i="16" s="1"/>
  <c r="H51" i="16"/>
  <c r="G60" i="12"/>
  <c r="G61" i="12" s="1"/>
  <c r="G23" i="12"/>
  <c r="G51" i="12"/>
  <c r="H22" i="12"/>
  <c r="F23" i="13"/>
  <c r="F51" i="13"/>
  <c r="G22" i="13"/>
  <c r="F60" i="13"/>
  <c r="C54" i="13"/>
  <c r="L60" i="11"/>
  <c r="K60" i="11"/>
  <c r="J60" i="11"/>
  <c r="I60" i="11"/>
  <c r="H60" i="11"/>
  <c r="G60" i="11"/>
  <c r="F60" i="11"/>
  <c r="E60" i="11"/>
  <c r="D60" i="11"/>
  <c r="C60" i="11"/>
  <c r="P58" i="11"/>
  <c r="P57" i="11"/>
  <c r="P56" i="11"/>
  <c r="P55" i="11"/>
  <c r="P54" i="11"/>
  <c r="P53" i="11"/>
  <c r="P52" i="11"/>
  <c r="L51" i="11"/>
  <c r="K51" i="11"/>
  <c r="J51" i="11"/>
  <c r="I51" i="11"/>
  <c r="H51" i="11"/>
  <c r="G51" i="11"/>
  <c r="F51" i="11"/>
  <c r="E51" i="11"/>
  <c r="D51" i="11"/>
  <c r="C51" i="11"/>
  <c r="M43" i="11"/>
  <c r="M41" i="11"/>
  <c r="B30" i="11"/>
  <c r="C27" i="11"/>
  <c r="C26" i="11"/>
  <c r="C25" i="11"/>
  <c r="C29" i="11" s="1"/>
  <c r="L23" i="11"/>
  <c r="K23" i="11"/>
  <c r="J23" i="11"/>
  <c r="I23" i="11"/>
  <c r="H23" i="11"/>
  <c r="G23" i="11"/>
  <c r="F23" i="11"/>
  <c r="E23" i="11"/>
  <c r="D23" i="11"/>
  <c r="C23" i="11"/>
  <c r="C77" i="5"/>
  <c r="D26" i="5"/>
  <c r="D92" i="5"/>
  <c r="C92" i="5"/>
  <c r="C26"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6" i="5"/>
  <c r="D53" i="5" l="1"/>
  <c r="D56" i="5"/>
  <c r="D57" i="5"/>
  <c r="C56" i="5"/>
  <c r="C53" i="5"/>
  <c r="C69" i="5" s="1"/>
  <c r="C57" i="5"/>
  <c r="C73" i="5" s="1"/>
  <c r="C87" i="5" s="1"/>
  <c r="D32" i="5" s="1"/>
  <c r="C57" i="12"/>
  <c r="C50" i="11"/>
  <c r="C61" i="11" s="1"/>
  <c r="D36" i="13"/>
  <c r="D38" i="13" s="1"/>
  <c r="D37" i="13" s="1"/>
  <c r="D52" i="13"/>
  <c r="D52" i="12"/>
  <c r="D36" i="12"/>
  <c r="D38" i="12" s="1"/>
  <c r="D37" i="12" s="1"/>
  <c r="D25" i="12"/>
  <c r="C31" i="11"/>
  <c r="C36" i="11"/>
  <c r="D32" i="16"/>
  <c r="D45" i="16" s="1"/>
  <c r="D49" i="16" s="1"/>
  <c r="D54" i="16" s="1"/>
  <c r="D34" i="16"/>
  <c r="D47" i="16" s="1"/>
  <c r="D56" i="16" s="1"/>
  <c r="D33" i="16"/>
  <c r="D46" i="16" s="1"/>
  <c r="D55" i="16" s="1"/>
  <c r="E26" i="16" s="1"/>
  <c r="E50" i="16" s="1"/>
  <c r="E60" i="16" s="1"/>
  <c r="H38" i="16"/>
  <c r="H37" i="16" s="1"/>
  <c r="I23" i="16"/>
  <c r="I59" i="16"/>
  <c r="I51" i="16"/>
  <c r="I35" i="16"/>
  <c r="I36" i="16" s="1"/>
  <c r="J22" i="16"/>
  <c r="H51" i="12"/>
  <c r="I22" i="12"/>
  <c r="H60" i="12"/>
  <c r="H61" i="12" s="1"/>
  <c r="H23" i="12"/>
  <c r="H22" i="13"/>
  <c r="G23" i="13"/>
  <c r="G60" i="13"/>
  <c r="G51" i="13"/>
  <c r="C57" i="13"/>
  <c r="D24" i="13" s="1"/>
  <c r="D29" i="13" s="1"/>
  <c r="D25" i="13"/>
  <c r="L92" i="5"/>
  <c r="K92" i="5"/>
  <c r="E26" i="5"/>
  <c r="J92" i="5"/>
  <c r="I92" i="5"/>
  <c r="H92" i="5"/>
  <c r="G92" i="5"/>
  <c r="F92" i="5"/>
  <c r="E92" i="5"/>
  <c r="C24" i="11"/>
  <c r="C30" i="11"/>
  <c r="C93" i="5"/>
  <c r="E56" i="5" l="1"/>
  <c r="E53" i="5"/>
  <c r="E57" i="5"/>
  <c r="C54" i="5"/>
  <c r="C70" i="5" s="1"/>
  <c r="C84" i="5" s="1"/>
  <c r="C72" i="5"/>
  <c r="C86" i="5" s="1"/>
  <c r="D31" i="5" s="1"/>
  <c r="C76" i="5"/>
  <c r="C83" i="5" s="1"/>
  <c r="D24" i="12"/>
  <c r="C58" i="12"/>
  <c r="C58" i="13"/>
  <c r="C52" i="11"/>
  <c r="C33" i="11"/>
  <c r="C32" i="11"/>
  <c r="I38" i="16"/>
  <c r="I37" i="16" s="1"/>
  <c r="D57" i="16"/>
  <c r="E24" i="16" s="1"/>
  <c r="E25" i="16"/>
  <c r="J36" i="16"/>
  <c r="J38" i="16" s="1"/>
  <c r="J23" i="16"/>
  <c r="J35" i="16"/>
  <c r="J59" i="16"/>
  <c r="K22" i="16"/>
  <c r="J51" i="16"/>
  <c r="J22" i="12"/>
  <c r="I51" i="12"/>
  <c r="I23" i="12"/>
  <c r="I60" i="12"/>
  <c r="I61" i="12" s="1"/>
  <c r="I22" i="13"/>
  <c r="H23" i="13"/>
  <c r="H51" i="13"/>
  <c r="H60" i="13"/>
  <c r="D31" i="13"/>
  <c r="D33" i="13" s="1"/>
  <c r="D46" i="13" s="1"/>
  <c r="D55" i="13" s="1"/>
  <c r="E26" i="13" s="1"/>
  <c r="D30" i="13"/>
  <c r="D27" i="13"/>
  <c r="C34" i="11"/>
  <c r="C47" i="11" s="1"/>
  <c r="D28" i="5" l="1"/>
  <c r="C89" i="5"/>
  <c r="C56" i="11"/>
  <c r="D27" i="12"/>
  <c r="D29" i="12"/>
  <c r="D30" i="12"/>
  <c r="C38" i="11"/>
  <c r="E50" i="13"/>
  <c r="E61" i="13" s="1"/>
  <c r="E35" i="13"/>
  <c r="J37" i="16"/>
  <c r="K36" i="16"/>
  <c r="K59" i="16"/>
  <c r="K23" i="16"/>
  <c r="K35" i="16"/>
  <c r="L22" i="16"/>
  <c r="K51" i="16"/>
  <c r="E27" i="16"/>
  <c r="E29" i="16"/>
  <c r="E31" i="16" s="1"/>
  <c r="E30" i="16"/>
  <c r="J23" i="12"/>
  <c r="J51" i="12"/>
  <c r="K22" i="12"/>
  <c r="J60" i="12"/>
  <c r="J61" i="12" s="1"/>
  <c r="I23" i="13"/>
  <c r="I60" i="13"/>
  <c r="J22" i="13"/>
  <c r="I51" i="13"/>
  <c r="D32" i="13"/>
  <c r="D34" i="13"/>
  <c r="D47" i="13" s="1"/>
  <c r="D56" i="13" s="1"/>
  <c r="C46" i="11" l="1"/>
  <c r="C55" i="11" s="1"/>
  <c r="D26" i="11" s="1"/>
  <c r="D50" i="11" s="1"/>
  <c r="C37" i="11"/>
  <c r="D31" i="12"/>
  <c r="D45" i="13"/>
  <c r="D49" i="13" s="1"/>
  <c r="E36" i="13"/>
  <c r="E38" i="13" s="1"/>
  <c r="E37" i="13" s="1"/>
  <c r="E52" i="13"/>
  <c r="D35" i="11"/>
  <c r="D52" i="11" s="1"/>
  <c r="C45" i="11"/>
  <c r="L36" i="16"/>
  <c r="L59" i="16"/>
  <c r="L23" i="16"/>
  <c r="L35" i="16"/>
  <c r="L38" i="16"/>
  <c r="L51" i="16"/>
  <c r="L37" i="16"/>
  <c r="K38" i="16"/>
  <c r="K37" i="16" s="1"/>
  <c r="E33" i="16"/>
  <c r="E46" i="16" s="1"/>
  <c r="E55" i="16" s="1"/>
  <c r="F26" i="16" s="1"/>
  <c r="E32" i="16"/>
  <c r="E45" i="16" s="1"/>
  <c r="E34" i="16"/>
  <c r="E47" i="16" s="1"/>
  <c r="E56" i="16" s="1"/>
  <c r="K23" i="12"/>
  <c r="K51" i="12"/>
  <c r="K60" i="12"/>
  <c r="K61" i="12" s="1"/>
  <c r="L22" i="12"/>
  <c r="K22" i="13"/>
  <c r="J51" i="13"/>
  <c r="J60" i="13"/>
  <c r="J23" i="13"/>
  <c r="D54" i="13"/>
  <c r="D77" i="5" l="1"/>
  <c r="D32" i="12"/>
  <c r="D33" i="12"/>
  <c r="D46" i="12" s="1"/>
  <c r="D55" i="12" s="1"/>
  <c r="E26" i="12" s="1"/>
  <c r="E35" i="12" s="1"/>
  <c r="E52" i="12" s="1"/>
  <c r="D34" i="12"/>
  <c r="D47" i="12" s="1"/>
  <c r="D56" i="12" s="1"/>
  <c r="C49" i="11"/>
  <c r="D36" i="11"/>
  <c r="D38" i="11" s="1"/>
  <c r="D37" i="11" s="1"/>
  <c r="E49" i="16"/>
  <c r="E54" i="16" s="1"/>
  <c r="F50" i="16"/>
  <c r="F60" i="16" s="1"/>
  <c r="L23" i="12"/>
  <c r="L60" i="12"/>
  <c r="L61" i="12" s="1"/>
  <c r="L51" i="12"/>
  <c r="L22" i="13"/>
  <c r="K51" i="13"/>
  <c r="K60" i="13"/>
  <c r="K23" i="13"/>
  <c r="D57" i="13"/>
  <c r="E24" i="13" s="1"/>
  <c r="E25" i="13"/>
  <c r="E36" i="12" l="1"/>
  <c r="E38" i="12" s="1"/>
  <c r="E37" i="12" s="1"/>
  <c r="D45" i="12"/>
  <c r="D54" i="12" s="1"/>
  <c r="D58" i="13"/>
  <c r="C54" i="11"/>
  <c r="D25" i="11" s="1"/>
  <c r="E57" i="16"/>
  <c r="F24" i="16" s="1"/>
  <c r="F25" i="16"/>
  <c r="L23" i="13"/>
  <c r="L60" i="13"/>
  <c r="L51" i="13"/>
  <c r="E27" i="13"/>
  <c r="E29" i="13"/>
  <c r="E30" i="13"/>
  <c r="E25" i="12" l="1"/>
  <c r="D57" i="12"/>
  <c r="E31" i="13"/>
  <c r="E33" i="13" s="1"/>
  <c r="E46" i="13" s="1"/>
  <c r="E55" i="13" s="1"/>
  <c r="F26" i="13" s="1"/>
  <c r="F35" i="13" s="1"/>
  <c r="C57" i="11"/>
  <c r="D24" i="11" s="1"/>
  <c r="D29" i="11" s="1"/>
  <c r="F27" i="16"/>
  <c r="F29" i="16"/>
  <c r="F31" i="16" s="1"/>
  <c r="F30" i="16"/>
  <c r="E24" i="12" l="1"/>
  <c r="D58" i="12"/>
  <c r="E32" i="13"/>
  <c r="E34" i="13"/>
  <c r="E47" i="13" s="1"/>
  <c r="E56" i="13" s="1"/>
  <c r="D30" i="11"/>
  <c r="B32" i="11" s="1"/>
  <c r="D27" i="11"/>
  <c r="C58" i="11"/>
  <c r="D31" i="11"/>
  <c r="D32" i="11" s="1"/>
  <c r="D61" i="11"/>
  <c r="F36" i="13"/>
  <c r="F38" i="13" s="1"/>
  <c r="F37" i="13" s="1"/>
  <c r="F52" i="13"/>
  <c r="F32" i="16"/>
  <c r="F45" i="16" s="1"/>
  <c r="F34" i="16"/>
  <c r="F47" i="16" s="1"/>
  <c r="F56" i="16" s="1"/>
  <c r="F33" i="16"/>
  <c r="F46" i="16" s="1"/>
  <c r="F55" i="16" s="1"/>
  <c r="G26" i="16" s="1"/>
  <c r="F50" i="13"/>
  <c r="F61" i="13" s="1"/>
  <c r="E27" i="12" l="1"/>
  <c r="E29" i="12"/>
  <c r="E31" i="12" s="1"/>
  <c r="E30" i="12"/>
  <c r="E45" i="13"/>
  <c r="D45" i="11"/>
  <c r="D33" i="11"/>
  <c r="D46" i="11" s="1"/>
  <c r="D55" i="11" s="1"/>
  <c r="E26" i="11" s="1"/>
  <c r="D34" i="11"/>
  <c r="D47" i="11" s="1"/>
  <c r="D56" i="11" s="1"/>
  <c r="D49" i="11"/>
  <c r="D54" i="11" s="1"/>
  <c r="G50" i="16"/>
  <c r="F49" i="16"/>
  <c r="F54" i="16" s="1"/>
  <c r="E33" i="12" l="1"/>
  <c r="E46" i="12" s="1"/>
  <c r="E55" i="12" s="1"/>
  <c r="F26" i="12" s="1"/>
  <c r="F35" i="12" s="1"/>
  <c r="E34" i="12"/>
  <c r="E47" i="12" s="1"/>
  <c r="E56" i="12" s="1"/>
  <c r="E32" i="12"/>
  <c r="E49" i="13"/>
  <c r="E54" i="13"/>
  <c r="E35" i="11"/>
  <c r="E52" i="11" s="1"/>
  <c r="E50" i="11"/>
  <c r="E25" i="11"/>
  <c r="D57" i="11"/>
  <c r="F57" i="16"/>
  <c r="G24" i="16" s="1"/>
  <c r="G25" i="16"/>
  <c r="H50" i="16"/>
  <c r="G60" i="16"/>
  <c r="E45" i="12" l="1"/>
  <c r="E54" i="12" s="1"/>
  <c r="F52" i="12"/>
  <c r="F36" i="12"/>
  <c r="F38" i="12" s="1"/>
  <c r="F37" i="12" s="1"/>
  <c r="F25" i="13"/>
  <c r="E57" i="13"/>
  <c r="F24" i="13" s="1"/>
  <c r="E24" i="11"/>
  <c r="E29" i="11" s="1"/>
  <c r="D58" i="11"/>
  <c r="E36" i="11"/>
  <c r="E38" i="11" s="1"/>
  <c r="E37" i="11" s="1"/>
  <c r="I50" i="16"/>
  <c r="H60" i="16"/>
  <c r="G27" i="16"/>
  <c r="G29" i="16"/>
  <c r="G31" i="16" s="1"/>
  <c r="G30" i="16"/>
  <c r="F25" i="12" l="1"/>
  <c r="E57" i="12"/>
  <c r="F30" i="13"/>
  <c r="F29" i="13"/>
  <c r="F27" i="13"/>
  <c r="E58" i="13"/>
  <c r="E30" i="11"/>
  <c r="E61" i="11" s="1"/>
  <c r="E27" i="11"/>
  <c r="E31" i="11"/>
  <c r="E33" i="11" s="1"/>
  <c r="E46" i="11" s="1"/>
  <c r="E55" i="11" s="1"/>
  <c r="F26" i="11" s="1"/>
  <c r="F50" i="11" s="1"/>
  <c r="G33" i="16"/>
  <c r="G46" i="16" s="1"/>
  <c r="G55" i="16" s="1"/>
  <c r="H26" i="16" s="1"/>
  <c r="G32" i="16"/>
  <c r="G45" i="16" s="1"/>
  <c r="G34" i="16"/>
  <c r="G47" i="16" s="1"/>
  <c r="G56" i="16" s="1"/>
  <c r="J50" i="16"/>
  <c r="I60" i="16"/>
  <c r="F24" i="12" l="1"/>
  <c r="E58" i="12"/>
  <c r="F31" i="13"/>
  <c r="E32" i="11"/>
  <c r="E34" i="11"/>
  <c r="E47" i="11" s="1"/>
  <c r="E56" i="11" s="1"/>
  <c r="F35" i="11"/>
  <c r="K50" i="16"/>
  <c r="J60" i="16"/>
  <c r="G49" i="16"/>
  <c r="G54" i="16" s="1"/>
  <c r="F27" i="12" l="1"/>
  <c r="F30" i="12"/>
  <c r="F29" i="12"/>
  <c r="F32" i="13"/>
  <c r="F33" i="13"/>
  <c r="F46" i="13" s="1"/>
  <c r="F55" i="13" s="1"/>
  <c r="G26" i="13" s="1"/>
  <c r="F34" i="13"/>
  <c r="F47" i="13" s="1"/>
  <c r="F56" i="13" s="1"/>
  <c r="E45" i="11"/>
  <c r="E49" i="11" s="1"/>
  <c r="E54" i="11" s="1"/>
  <c r="F25" i="11" s="1"/>
  <c r="F36" i="11"/>
  <c r="F38" i="11" s="1"/>
  <c r="F37" i="11" s="1"/>
  <c r="F52" i="11"/>
  <c r="G57" i="16"/>
  <c r="H24" i="16" s="1"/>
  <c r="H25" i="16"/>
  <c r="L50" i="16"/>
  <c r="L60" i="16" s="1"/>
  <c r="K60" i="16"/>
  <c r="F31" i="12" l="1"/>
  <c r="G35" i="13"/>
  <c r="G50" i="13"/>
  <c r="F45" i="13"/>
  <c r="E57" i="11"/>
  <c r="F24" i="11" s="1"/>
  <c r="F27" i="11" s="1"/>
  <c r="H27" i="16"/>
  <c r="H29" i="16"/>
  <c r="H30" i="16"/>
  <c r="F33" i="12" l="1"/>
  <c r="F46" i="12" s="1"/>
  <c r="F55" i="12" s="1"/>
  <c r="G26" i="12" s="1"/>
  <c r="G35" i="12" s="1"/>
  <c r="F34" i="12"/>
  <c r="F47" i="12" s="1"/>
  <c r="F56" i="12" s="1"/>
  <c r="F32" i="12"/>
  <c r="F49" i="13"/>
  <c r="F54" i="13"/>
  <c r="H50" i="13"/>
  <c r="G61" i="13"/>
  <c r="G36" i="13"/>
  <c r="G38" i="13" s="1"/>
  <c r="G37" i="13" s="1"/>
  <c r="G52" i="13"/>
  <c r="F29" i="11"/>
  <c r="F30" i="11"/>
  <c r="F61" i="11" s="1"/>
  <c r="E58" i="11"/>
  <c r="F31" i="11"/>
  <c r="F34" i="11" s="1"/>
  <c r="F47" i="11" s="1"/>
  <c r="F56" i="11" s="1"/>
  <c r="H31" i="16"/>
  <c r="H34" i="16" s="1"/>
  <c r="H47" i="16" s="1"/>
  <c r="H56" i="16" s="1"/>
  <c r="F45" i="12" l="1"/>
  <c r="F54" i="12" s="1"/>
  <c r="G52" i="12"/>
  <c r="G36" i="12"/>
  <c r="G38" i="12" s="1"/>
  <c r="G37" i="12" s="1"/>
  <c r="H61" i="13"/>
  <c r="I50" i="13"/>
  <c r="F57" i="13"/>
  <c r="G24" i="13" s="1"/>
  <c r="G25" i="13"/>
  <c r="F58" i="13"/>
  <c r="F33" i="11"/>
  <c r="F46" i="11" s="1"/>
  <c r="F55" i="11" s="1"/>
  <c r="G26" i="11" s="1"/>
  <c r="G50" i="11" s="1"/>
  <c r="F32" i="11"/>
  <c r="H33" i="16"/>
  <c r="H46" i="16" s="1"/>
  <c r="H55" i="16" s="1"/>
  <c r="I26" i="16" s="1"/>
  <c r="H32" i="16"/>
  <c r="H45" i="16" s="1"/>
  <c r="H54" i="16" s="1"/>
  <c r="G25" i="12" l="1"/>
  <c r="F57" i="12"/>
  <c r="I61" i="13"/>
  <c r="J50" i="13"/>
  <c r="G27" i="13"/>
  <c r="G29" i="13"/>
  <c r="G30" i="13"/>
  <c r="G35" i="11"/>
  <c r="G36" i="11" s="1"/>
  <c r="G38" i="11" s="1"/>
  <c r="G37" i="11" s="1"/>
  <c r="F45" i="11"/>
  <c r="F49" i="11" s="1"/>
  <c r="F54" i="11" s="1"/>
  <c r="H57" i="16"/>
  <c r="I24" i="16" s="1"/>
  <c r="I27" i="16" s="1"/>
  <c r="I25" i="16"/>
  <c r="G24" i="12" l="1"/>
  <c r="F58" i="12"/>
  <c r="G31" i="13"/>
  <c r="K50" i="13"/>
  <c r="J61" i="13"/>
  <c r="G52" i="11"/>
  <c r="G25" i="11"/>
  <c r="F57" i="11"/>
  <c r="F58" i="11" s="1"/>
  <c r="I30" i="16"/>
  <c r="I29" i="16"/>
  <c r="I31" i="16" s="1"/>
  <c r="I34" i="16" s="1"/>
  <c r="I47" i="16" s="1"/>
  <c r="I56" i="16" s="1"/>
  <c r="G29" i="12" l="1"/>
  <c r="G30" i="12"/>
  <c r="G31" i="12" s="1"/>
  <c r="G27" i="12"/>
  <c r="K61" i="13"/>
  <c r="L50" i="13"/>
  <c r="L61" i="13" s="1"/>
  <c r="G33" i="13"/>
  <c r="G46" i="13" s="1"/>
  <c r="G55" i="13" s="1"/>
  <c r="H26" i="13" s="1"/>
  <c r="H35" i="13" s="1"/>
  <c r="G34" i="13"/>
  <c r="G47" i="13" s="1"/>
  <c r="G56" i="13" s="1"/>
  <c r="G32" i="13"/>
  <c r="G24" i="11"/>
  <c r="I32" i="16"/>
  <c r="I45" i="16" s="1"/>
  <c r="I54" i="16" s="1"/>
  <c r="J25" i="16" s="1"/>
  <c r="I33" i="16"/>
  <c r="I46" i="16" s="1"/>
  <c r="I55" i="16" s="1"/>
  <c r="J26" i="16" s="1"/>
  <c r="G33" i="12" l="1"/>
  <c r="G46" i="12" s="1"/>
  <c r="G55" i="12" s="1"/>
  <c r="H26" i="12" s="1"/>
  <c r="H35" i="12" s="1"/>
  <c r="G34" i="12"/>
  <c r="G47" i="12" s="1"/>
  <c r="G56" i="12" s="1"/>
  <c r="G32" i="12"/>
  <c r="G45" i="12" s="1"/>
  <c r="G54" i="12" s="1"/>
  <c r="H36" i="13"/>
  <c r="H38" i="13" s="1"/>
  <c r="H37" i="13" s="1"/>
  <c r="H52" i="13"/>
  <c r="G45" i="13"/>
  <c r="G27" i="11"/>
  <c r="G30" i="11"/>
  <c r="G61" i="11" s="1"/>
  <c r="G29" i="11"/>
  <c r="I57" i="16"/>
  <c r="J24" i="16" s="1"/>
  <c r="J27" i="16" s="1"/>
  <c r="H25" i="12" l="1"/>
  <c r="G57" i="12"/>
  <c r="H52" i="12"/>
  <c r="H36" i="12"/>
  <c r="H38" i="12" s="1"/>
  <c r="H37" i="12" s="1"/>
  <c r="G49" i="13"/>
  <c r="G54" i="13"/>
  <c r="G31" i="11"/>
  <c r="J30" i="16"/>
  <c r="J29" i="16"/>
  <c r="J31" i="16" s="1"/>
  <c r="J34" i="16" s="1"/>
  <c r="J47" i="16" s="1"/>
  <c r="J56" i="16" s="1"/>
  <c r="H24" i="12" l="1"/>
  <c r="G58" i="12"/>
  <c r="G57" i="13"/>
  <c r="H24" i="13" s="1"/>
  <c r="H25" i="13"/>
  <c r="G58" i="13"/>
  <c r="G32" i="11"/>
  <c r="G34" i="11"/>
  <c r="G47" i="11" s="1"/>
  <c r="G56" i="11" s="1"/>
  <c r="G33" i="11"/>
  <c r="G46" i="11" s="1"/>
  <c r="G55" i="11" s="1"/>
  <c r="H26" i="11" s="1"/>
  <c r="J32" i="16"/>
  <c r="J45" i="16" s="1"/>
  <c r="J54" i="16" s="1"/>
  <c r="K25" i="16" s="1"/>
  <c r="J33" i="16"/>
  <c r="J46" i="16" s="1"/>
  <c r="J55" i="16" s="1"/>
  <c r="K26" i="16" s="1"/>
  <c r="H30" i="12" l="1"/>
  <c r="H29" i="12"/>
  <c r="H27" i="12"/>
  <c r="H27" i="13"/>
  <c r="H30" i="13"/>
  <c r="H29" i="13"/>
  <c r="H50" i="11"/>
  <c r="H61" i="11" s="1"/>
  <c r="H35" i="11"/>
  <c r="G45" i="11"/>
  <c r="G49" i="11" s="1"/>
  <c r="G54" i="11" s="1"/>
  <c r="J57" i="16"/>
  <c r="K24" i="16" s="1"/>
  <c r="K27" i="16" s="1"/>
  <c r="H31" i="12" l="1"/>
  <c r="H31" i="13"/>
  <c r="H25" i="11"/>
  <c r="G57" i="11"/>
  <c r="G58" i="11" s="1"/>
  <c r="H36" i="11"/>
  <c r="H38" i="11" s="1"/>
  <c r="H37" i="11" s="1"/>
  <c r="H52" i="11"/>
  <c r="K29" i="16"/>
  <c r="K30" i="16"/>
  <c r="H33" i="12" l="1"/>
  <c r="H46" i="12" s="1"/>
  <c r="H55" i="12" s="1"/>
  <c r="I26" i="12" s="1"/>
  <c r="I35" i="12" s="1"/>
  <c r="H32" i="12"/>
  <c r="H34" i="12"/>
  <c r="H47" i="12" s="1"/>
  <c r="H56" i="12" s="1"/>
  <c r="H34" i="13"/>
  <c r="H47" i="13" s="1"/>
  <c r="H56" i="13" s="1"/>
  <c r="H32" i="13"/>
  <c r="H33" i="13"/>
  <c r="H46" i="13" s="1"/>
  <c r="H55" i="13" s="1"/>
  <c r="I26" i="13" s="1"/>
  <c r="I35" i="13" s="1"/>
  <c r="H24" i="11"/>
  <c r="K31" i="16"/>
  <c r="K32" i="16" s="1"/>
  <c r="K45" i="16" s="1"/>
  <c r="K54" i="16" s="1"/>
  <c r="L25" i="16" s="1"/>
  <c r="I52" i="12" l="1"/>
  <c r="I36" i="12"/>
  <c r="I38" i="12" s="1"/>
  <c r="I37" i="12" s="1"/>
  <c r="H45" i="12"/>
  <c r="H54" i="12" s="1"/>
  <c r="I36" i="13"/>
  <c r="I38" i="13" s="1"/>
  <c r="I37" i="13" s="1"/>
  <c r="I52" i="13"/>
  <c r="H45" i="13"/>
  <c r="H54" i="13" s="1"/>
  <c r="H29" i="11"/>
  <c r="H30" i="11"/>
  <c r="H27" i="11"/>
  <c r="K33" i="16"/>
  <c r="K46" i="16" s="1"/>
  <c r="K55" i="16" s="1"/>
  <c r="L26" i="16" s="1"/>
  <c r="K34" i="16"/>
  <c r="K47" i="16" s="1"/>
  <c r="K56" i="16" s="1"/>
  <c r="I25" i="12" l="1"/>
  <c r="H57" i="12"/>
  <c r="I25" i="13"/>
  <c r="H57" i="13"/>
  <c r="H31" i="11"/>
  <c r="K57" i="16"/>
  <c r="L24" i="16" s="1"/>
  <c r="L30" i="16" s="1"/>
  <c r="I24" i="12" l="1"/>
  <c r="H58" i="12"/>
  <c r="I24" i="13"/>
  <c r="H58" i="13"/>
  <c r="H32" i="11"/>
  <c r="H34" i="11"/>
  <c r="H47" i="11" s="1"/>
  <c r="H56" i="11" s="1"/>
  <c r="H33" i="11"/>
  <c r="H46" i="11" s="1"/>
  <c r="H55" i="11" s="1"/>
  <c r="I26" i="11" s="1"/>
  <c r="L27" i="16"/>
  <c r="L29" i="16"/>
  <c r="L31" i="16" s="1"/>
  <c r="L32" i="16" s="1"/>
  <c r="L45" i="16" s="1"/>
  <c r="L54" i="16" s="1"/>
  <c r="I29" i="12" l="1"/>
  <c r="I27" i="12"/>
  <c r="I30" i="12"/>
  <c r="I30" i="13"/>
  <c r="I29" i="13"/>
  <c r="I27" i="13"/>
  <c r="I35" i="11"/>
  <c r="I50" i="11"/>
  <c r="I61" i="11" s="1"/>
  <c r="H45" i="11"/>
  <c r="H49" i="11" s="1"/>
  <c r="H54" i="11" s="1"/>
  <c r="L33" i="16"/>
  <c r="L46" i="16" s="1"/>
  <c r="L55" i="16" s="1"/>
  <c r="L34" i="16"/>
  <c r="L47" i="16" s="1"/>
  <c r="L56" i="16" s="1"/>
  <c r="I31" i="12" l="1"/>
  <c r="I31" i="13"/>
  <c r="I25" i="11"/>
  <c r="H57" i="11"/>
  <c r="H58" i="11" s="1"/>
  <c r="I36" i="11"/>
  <c r="I38" i="11" s="1"/>
  <c r="I37" i="11" s="1"/>
  <c r="I52" i="11"/>
  <c r="L57" i="16"/>
  <c r="I33" i="12" l="1"/>
  <c r="I46" i="12" s="1"/>
  <c r="I55" i="12" s="1"/>
  <c r="J26" i="12" s="1"/>
  <c r="J35" i="12" s="1"/>
  <c r="I32" i="12"/>
  <c r="I34" i="12"/>
  <c r="I47" i="12" s="1"/>
  <c r="I56" i="12" s="1"/>
  <c r="I33" i="13"/>
  <c r="I46" i="13" s="1"/>
  <c r="I55" i="13" s="1"/>
  <c r="J26" i="13" s="1"/>
  <c r="J35" i="13" s="1"/>
  <c r="I34" i="13"/>
  <c r="I47" i="13" s="1"/>
  <c r="I56" i="13" s="1"/>
  <c r="I32" i="13"/>
  <c r="I24" i="1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I45" i="12" l="1"/>
  <c r="I54" i="12" s="1"/>
  <c r="J36" i="12"/>
  <c r="J38" i="12" s="1"/>
  <c r="J37" i="12" s="1"/>
  <c r="J52" i="12"/>
  <c r="I45" i="13"/>
  <c r="I54" i="13" s="1"/>
  <c r="J36" i="13"/>
  <c r="J38" i="13" s="1"/>
  <c r="J37" i="13" s="1"/>
  <c r="J52" i="13"/>
  <c r="I30" i="11"/>
  <c r="I29" i="11"/>
  <c r="I27" i="1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I57" i="12" l="1"/>
  <c r="J25" i="12"/>
  <c r="J25" i="13"/>
  <c r="I57" i="13"/>
  <c r="I31" i="11"/>
  <c r="V11" i="7"/>
  <c r="W11" i="7"/>
  <c r="V6" i="7"/>
  <c r="W6" i="7"/>
  <c r="J24" i="12" l="1"/>
  <c r="I58" i="12"/>
  <c r="J24" i="13"/>
  <c r="I58" i="13"/>
  <c r="I33" i="11"/>
  <c r="I46" i="11" s="1"/>
  <c r="I55" i="11" s="1"/>
  <c r="J26" i="11" s="1"/>
  <c r="I32" i="11"/>
  <c r="I34" i="11"/>
  <c r="I47" i="11" s="1"/>
  <c r="I56" i="11" s="1"/>
  <c r="V8" i="7"/>
  <c r="W8" i="7"/>
  <c r="J30" i="12" l="1"/>
  <c r="J29" i="12"/>
  <c r="J27" i="12"/>
  <c r="J27" i="13"/>
  <c r="J30" i="13"/>
  <c r="J29" i="13"/>
  <c r="I45" i="11"/>
  <c r="I49" i="11" s="1"/>
  <c r="I54" i="11" s="1"/>
  <c r="J50" i="11"/>
  <c r="J35" i="1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J31" i="12" l="1"/>
  <c r="J31" i="13"/>
  <c r="J52" i="11"/>
  <c r="J36" i="11"/>
  <c r="J38" i="11" s="1"/>
  <c r="J37" i="11" s="1"/>
  <c r="J25" i="11"/>
  <c r="I57" i="11"/>
  <c r="I58" i="11" s="1"/>
  <c r="V10" i="7"/>
  <c r="W10" i="7"/>
  <c r="K13" i="2"/>
  <c r="L13" i="2" s="1"/>
  <c r="K8" i="2"/>
  <c r="J33" i="12" l="1"/>
  <c r="J46" i="12" s="1"/>
  <c r="J55" i="12" s="1"/>
  <c r="K26" i="12" s="1"/>
  <c r="K35" i="12" s="1"/>
  <c r="J32" i="12"/>
  <c r="J34" i="12"/>
  <c r="J47" i="12" s="1"/>
  <c r="J56" i="12" s="1"/>
  <c r="J32" i="13"/>
  <c r="J34" i="13"/>
  <c r="J47" i="13" s="1"/>
  <c r="J56" i="13" s="1"/>
  <c r="J33" i="13"/>
  <c r="J46" i="13" s="1"/>
  <c r="J55" i="13" s="1"/>
  <c r="K26" i="13" s="1"/>
  <c r="K35" i="13" s="1"/>
  <c r="J24" i="11"/>
  <c r="D93" i="5"/>
  <c r="N13" i="2"/>
  <c r="O13" i="2"/>
  <c r="M13" i="2"/>
  <c r="D27" i="5" l="1"/>
  <c r="C90" i="5"/>
  <c r="J45" i="12"/>
  <c r="J54" i="12" s="1"/>
  <c r="K52" i="12"/>
  <c r="K36" i="12"/>
  <c r="K38" i="12" s="1"/>
  <c r="K37" i="12" s="1"/>
  <c r="K36" i="13"/>
  <c r="K38" i="13" s="1"/>
  <c r="K37" i="13" s="1"/>
  <c r="K52" i="13"/>
  <c r="J45" i="13"/>
  <c r="J54" i="13" s="1"/>
  <c r="J27" i="11"/>
  <c r="J29" i="11"/>
  <c r="J30" i="11"/>
  <c r="J61" i="11" s="1"/>
  <c r="P13" i="2"/>
  <c r="D35" i="5" l="1"/>
  <c r="D36" i="5"/>
  <c r="D55" i="5" s="1"/>
  <c r="K25" i="12"/>
  <c r="J57" i="12"/>
  <c r="K25" i="13"/>
  <c r="J57" i="13"/>
  <c r="J31" i="11"/>
  <c r="D54" i="5" l="1"/>
  <c r="D78" i="5"/>
  <c r="D37" i="5"/>
  <c r="K24" i="12"/>
  <c r="J58" i="12"/>
  <c r="K24" i="13"/>
  <c r="J58" i="13"/>
  <c r="J34" i="11"/>
  <c r="J47" i="11" s="1"/>
  <c r="J56" i="11" s="1"/>
  <c r="J33" i="11"/>
  <c r="J46" i="11" s="1"/>
  <c r="J55" i="11" s="1"/>
  <c r="K26" i="11" s="1"/>
  <c r="J32" i="11"/>
  <c r="D40" i="5" l="1"/>
  <c r="D71" i="5" s="1"/>
  <c r="D85" i="5" s="1"/>
  <c r="E30" i="5" s="1"/>
  <c r="D42" i="5"/>
  <c r="D73" i="5" s="1"/>
  <c r="D87" i="5" s="1"/>
  <c r="E32" i="5" s="1"/>
  <c r="D39" i="5"/>
  <c r="D70" i="5" s="1"/>
  <c r="D84" i="5" s="1"/>
  <c r="E29" i="5" s="1"/>
  <c r="E44" i="5" s="1"/>
  <c r="D41" i="5"/>
  <c r="D72" i="5" s="1"/>
  <c r="D86" i="5" s="1"/>
  <c r="E31" i="5" s="1"/>
  <c r="D38" i="5"/>
  <c r="K29" i="12"/>
  <c r="K27" i="12"/>
  <c r="K30" i="12"/>
  <c r="K27" i="13"/>
  <c r="K30" i="13"/>
  <c r="K29" i="13"/>
  <c r="J45" i="11"/>
  <c r="J49" i="11" s="1"/>
  <c r="J54" i="11" s="1"/>
  <c r="K35" i="11"/>
  <c r="K50" i="11"/>
  <c r="D69" i="5" l="1"/>
  <c r="E77" i="5"/>
  <c r="E93" i="5" s="1"/>
  <c r="K31" i="12"/>
  <c r="K31" i="13"/>
  <c r="K52" i="11"/>
  <c r="K36" i="11"/>
  <c r="K38" i="11" s="1"/>
  <c r="K37" i="11" s="1"/>
  <c r="J57" i="11"/>
  <c r="J58" i="11" s="1"/>
  <c r="K25" i="11"/>
  <c r="D76" i="5" l="1"/>
  <c r="D83" i="5"/>
  <c r="K34" i="12"/>
  <c r="K47" i="12" s="1"/>
  <c r="K56" i="12" s="1"/>
  <c r="K32" i="12"/>
  <c r="K33" i="12"/>
  <c r="K46" i="12" s="1"/>
  <c r="K55" i="12" s="1"/>
  <c r="L26" i="12" s="1"/>
  <c r="L35" i="12" s="1"/>
  <c r="K33" i="13"/>
  <c r="K46" i="13" s="1"/>
  <c r="K55" i="13" s="1"/>
  <c r="L26" i="13" s="1"/>
  <c r="L35" i="13" s="1"/>
  <c r="K34" i="13"/>
  <c r="K47" i="13" s="1"/>
  <c r="K56" i="13" s="1"/>
  <c r="K32" i="13"/>
  <c r="K24" i="11"/>
  <c r="D89" i="5" l="1"/>
  <c r="E27" i="5" s="1"/>
  <c r="E36" i="5" s="1"/>
  <c r="E55" i="5" s="1"/>
  <c r="E28" i="5"/>
  <c r="L52" i="12"/>
  <c r="L36" i="12"/>
  <c r="L38" i="12" s="1"/>
  <c r="L37" i="12" s="1"/>
  <c r="K45" i="12"/>
  <c r="K54" i="12" s="1"/>
  <c r="K45" i="13"/>
  <c r="K54" i="13" s="1"/>
  <c r="L25" i="13" s="1"/>
  <c r="L36" i="13"/>
  <c r="L38" i="13" s="1"/>
  <c r="L37" i="13" s="1"/>
  <c r="L52" i="13"/>
  <c r="K30" i="11"/>
  <c r="K61" i="11" s="1"/>
  <c r="K27" i="11"/>
  <c r="K29" i="11"/>
  <c r="E35" i="5" l="1"/>
  <c r="D90" i="5"/>
  <c r="E54" i="5"/>
  <c r="E78" i="5"/>
  <c r="E37" i="5"/>
  <c r="L25" i="12"/>
  <c r="K57" i="12"/>
  <c r="K57" i="13"/>
  <c r="K31" i="11"/>
  <c r="E40" i="5" l="1"/>
  <c r="E42" i="5"/>
  <c r="E73" i="5" s="1"/>
  <c r="E87" i="5" s="1"/>
  <c r="F32" i="5" s="1"/>
  <c r="E38" i="5"/>
  <c r="E39" i="5"/>
  <c r="E70" i="5" s="1"/>
  <c r="E84" i="5" s="1"/>
  <c r="F29" i="5" s="1"/>
  <c r="E41" i="5"/>
  <c r="L24" i="12"/>
  <c r="K58" i="12"/>
  <c r="L24" i="13"/>
  <c r="K58" i="13"/>
  <c r="K33" i="11"/>
  <c r="K46" i="11" s="1"/>
  <c r="K55" i="11" s="1"/>
  <c r="L26" i="11" s="1"/>
  <c r="K32" i="11"/>
  <c r="K34" i="11"/>
  <c r="K47" i="11" s="1"/>
  <c r="K56" i="11" s="1"/>
  <c r="E72" i="5" l="1"/>
  <c r="E86" i="5" s="1"/>
  <c r="F31" i="5" s="1"/>
  <c r="E69" i="5"/>
  <c r="E71" i="5"/>
  <c r="E85" i="5" s="1"/>
  <c r="F30" i="5" s="1"/>
  <c r="F77" i="5"/>
  <c r="F93" i="5" s="1"/>
  <c r="L29" i="12"/>
  <c r="L27" i="12"/>
  <c r="L30" i="12"/>
  <c r="L30" i="13"/>
  <c r="L27" i="13"/>
  <c r="L29" i="13"/>
  <c r="K45" i="11"/>
  <c r="K49" i="11" s="1"/>
  <c r="K54" i="11" s="1"/>
  <c r="L50" i="11"/>
  <c r="L35" i="11"/>
  <c r="E76" i="5" l="1"/>
  <c r="E83" i="5" s="1"/>
  <c r="L31" i="12"/>
  <c r="L34" i="12" s="1"/>
  <c r="L47" i="12" s="1"/>
  <c r="L56" i="12" s="1"/>
  <c r="L32" i="12"/>
  <c r="L45" i="12" s="1"/>
  <c r="L54" i="12" s="1"/>
  <c r="L33" i="12"/>
  <c r="L46" i="12" s="1"/>
  <c r="L55" i="12" s="1"/>
  <c r="L31" i="13"/>
  <c r="L36" i="11"/>
  <c r="L38" i="11" s="1"/>
  <c r="L37" i="11" s="1"/>
  <c r="L52" i="11"/>
  <c r="L25" i="11"/>
  <c r="K57" i="11"/>
  <c r="K58" i="11" s="1"/>
  <c r="E89" i="5" l="1"/>
  <c r="F27" i="5" s="1"/>
  <c r="F35" i="5" s="1"/>
  <c r="F28" i="5"/>
  <c r="E90" i="5"/>
  <c r="F36" i="5"/>
  <c r="L57" i="12"/>
  <c r="L58" i="12" s="1"/>
  <c r="L34" i="13"/>
  <c r="L47" i="13" s="1"/>
  <c r="L56" i="13" s="1"/>
  <c r="L33" i="13"/>
  <c r="L46" i="13" s="1"/>
  <c r="L55" i="13" s="1"/>
  <c r="L32" i="13"/>
  <c r="L24" i="11"/>
  <c r="F78" i="5" l="1"/>
  <c r="F55" i="5"/>
  <c r="F37" i="5"/>
  <c r="F38" i="5" s="1"/>
  <c r="F69" i="5" s="1"/>
  <c r="L45" i="13"/>
  <c r="L54" i="13" s="1"/>
  <c r="L57" i="13" s="1"/>
  <c r="L58" i="13" s="1"/>
  <c r="L30" i="11"/>
  <c r="L61" i="11" s="1"/>
  <c r="L27" i="11"/>
  <c r="L29" i="11"/>
  <c r="F54" i="5" l="1"/>
  <c r="F42" i="5"/>
  <c r="F41" i="5"/>
  <c r="F39" i="5"/>
  <c r="F40" i="5"/>
  <c r="L31" i="11"/>
  <c r="F72" i="5" l="1"/>
  <c r="F86" i="5" s="1"/>
  <c r="G31" i="5" s="1"/>
  <c r="F73" i="5"/>
  <c r="F87" i="5" s="1"/>
  <c r="G32" i="5" s="1"/>
  <c r="F71" i="5"/>
  <c r="F85" i="5" s="1"/>
  <c r="G30" i="5" s="1"/>
  <c r="F70" i="5"/>
  <c r="F84" i="5" s="1"/>
  <c r="G29" i="5" s="1"/>
  <c r="G77" i="5" s="1"/>
  <c r="G93" i="5" s="1"/>
  <c r="F76" i="5"/>
  <c r="F83" i="5" s="1"/>
  <c r="G28" i="5" s="1"/>
  <c r="L34" i="11"/>
  <c r="L47" i="11" s="1"/>
  <c r="L56" i="11" s="1"/>
  <c r="L33" i="11"/>
  <c r="L46" i="11" s="1"/>
  <c r="L55" i="11" s="1"/>
  <c r="L32" i="11"/>
  <c r="F89" i="5" l="1"/>
  <c r="G27" i="5" s="1"/>
  <c r="L45" i="11"/>
  <c r="L49" i="11" s="1"/>
  <c r="L54" i="11" s="1"/>
  <c r="L57" i="11" s="1"/>
  <c r="G36" i="5" l="1"/>
  <c r="G35" i="5"/>
  <c r="F90" i="5"/>
  <c r="L58" i="11"/>
  <c r="G78" i="5" l="1"/>
  <c r="G55" i="5"/>
  <c r="G37" i="5"/>
  <c r="G54" i="5" l="1"/>
  <c r="G38" i="5"/>
  <c r="G69" i="5" s="1"/>
  <c r="G40" i="5"/>
  <c r="G71" i="5" s="1"/>
  <c r="G85" i="5" s="1"/>
  <c r="H30" i="5" s="1"/>
  <c r="G39" i="5"/>
  <c r="G41" i="5"/>
  <c r="G42" i="5"/>
  <c r="G73" i="5" l="1"/>
  <c r="G87" i="5" s="1"/>
  <c r="H32" i="5" s="1"/>
  <c r="G72" i="5"/>
  <c r="G86" i="5" s="1"/>
  <c r="H31" i="5" s="1"/>
  <c r="G70" i="5"/>
  <c r="G84" i="5" s="1"/>
  <c r="H29" i="5" s="1"/>
  <c r="H77" i="5" s="1"/>
  <c r="H93" i="5" s="1"/>
  <c r="G76" i="5" l="1"/>
  <c r="G83" i="5" s="1"/>
  <c r="H28" i="5" s="1"/>
  <c r="G89" i="5" l="1"/>
  <c r="H27" i="5" s="1"/>
  <c r="G90" i="5" l="1"/>
  <c r="H36" i="5"/>
  <c r="H35" i="5"/>
  <c r="H78" i="5" l="1"/>
  <c r="H55" i="5"/>
  <c r="H37" i="5"/>
  <c r="H54" i="5" l="1"/>
  <c r="H39" i="5"/>
  <c r="H42" i="5"/>
  <c r="H38" i="5"/>
  <c r="H69" i="5" s="1"/>
  <c r="H40" i="5"/>
  <c r="H41" i="5"/>
  <c r="H73" i="5" l="1"/>
  <c r="H87" i="5" s="1"/>
  <c r="I32" i="5" s="1"/>
  <c r="H72" i="5"/>
  <c r="H86" i="5" s="1"/>
  <c r="I31" i="5" s="1"/>
  <c r="H71" i="5"/>
  <c r="H85" i="5" s="1"/>
  <c r="I30" i="5" s="1"/>
  <c r="H70" i="5"/>
  <c r="H84" i="5" s="1"/>
  <c r="I29" i="5" s="1"/>
  <c r="I77" i="5" s="1"/>
  <c r="I93" i="5" s="1"/>
  <c r="H76" i="5" l="1"/>
  <c r="H83" i="5" s="1"/>
  <c r="I28" i="5" s="1"/>
  <c r="H89" i="5" l="1"/>
  <c r="I27" i="5" s="1"/>
  <c r="H90" i="5" l="1"/>
  <c r="I36" i="5"/>
  <c r="I35" i="5"/>
  <c r="I78" i="5" l="1"/>
  <c r="I55" i="5"/>
  <c r="I37" i="5"/>
  <c r="I54" i="5" l="1"/>
  <c r="I42" i="5"/>
  <c r="I38" i="5"/>
  <c r="I69" i="5" s="1"/>
  <c r="I39" i="5"/>
  <c r="I40" i="5"/>
  <c r="I41" i="5"/>
  <c r="I73" i="5" l="1"/>
  <c r="I87" i="5" s="1"/>
  <c r="J32" i="5" s="1"/>
  <c r="I72" i="5"/>
  <c r="I86" i="5" s="1"/>
  <c r="J31" i="5" s="1"/>
  <c r="I71" i="5"/>
  <c r="I85" i="5" s="1"/>
  <c r="J30" i="5" s="1"/>
  <c r="I70" i="5"/>
  <c r="I84" i="5" s="1"/>
  <c r="J29" i="5" s="1"/>
  <c r="J77" i="5" s="1"/>
  <c r="J93" i="5" s="1"/>
  <c r="I76" i="5" l="1"/>
  <c r="I83" i="5" s="1"/>
  <c r="J28" i="5" s="1"/>
  <c r="I89" i="5" l="1"/>
  <c r="J27" i="5" s="1"/>
  <c r="I90" i="5" l="1"/>
  <c r="J35" i="5"/>
  <c r="J36" i="5"/>
  <c r="J78" i="5" l="1"/>
  <c r="J55" i="5"/>
  <c r="J37" i="5"/>
  <c r="J54" i="5" l="1"/>
  <c r="J40" i="5"/>
  <c r="J42" i="5"/>
  <c r="J38" i="5"/>
  <c r="J69" i="5" s="1"/>
  <c r="J39" i="5"/>
  <c r="J41" i="5"/>
  <c r="J72" i="5" l="1"/>
  <c r="J86" i="5" s="1"/>
  <c r="K31" i="5" s="1"/>
  <c r="J71" i="5"/>
  <c r="J85" i="5" s="1"/>
  <c r="K30" i="5" s="1"/>
  <c r="J73" i="5"/>
  <c r="J87" i="5" s="1"/>
  <c r="K32" i="5" s="1"/>
  <c r="J70" i="5"/>
  <c r="J84" i="5" s="1"/>
  <c r="K29" i="5" s="1"/>
  <c r="K77" i="5" s="1"/>
  <c r="K93" i="5" s="1"/>
  <c r="J76" i="5" l="1"/>
  <c r="J83" i="5" s="1"/>
  <c r="K28" i="5" s="1"/>
  <c r="J89" i="5" l="1"/>
  <c r="K27" i="5" s="1"/>
  <c r="J90" i="5" l="1"/>
  <c r="K36" i="5"/>
  <c r="K35" i="5"/>
  <c r="K78" i="5" l="1"/>
  <c r="K55" i="5"/>
  <c r="K37" i="5"/>
  <c r="K54" i="5" l="1"/>
  <c r="K42" i="5"/>
  <c r="K40" i="5"/>
  <c r="K38" i="5"/>
  <c r="K69" i="5" s="1"/>
  <c r="K39" i="5"/>
  <c r="K41" i="5"/>
  <c r="K72" i="5" l="1"/>
  <c r="K86" i="5" s="1"/>
  <c r="L31" i="5" s="1"/>
  <c r="K73" i="5"/>
  <c r="K87" i="5" s="1"/>
  <c r="L32" i="5" s="1"/>
  <c r="K71" i="5"/>
  <c r="K85" i="5" s="1"/>
  <c r="L30" i="5" s="1"/>
  <c r="K70" i="5"/>
  <c r="K84" i="5" s="1"/>
  <c r="L29" i="5" s="1"/>
  <c r="L77" i="5" s="1"/>
  <c r="L93" i="5" s="1"/>
  <c r="K76" i="5" l="1"/>
  <c r="K83" i="5" s="1"/>
  <c r="L28" i="5" s="1"/>
  <c r="K89" i="5" l="1"/>
  <c r="L27" i="5" s="1"/>
  <c r="K90" i="5" l="1"/>
  <c r="L35" i="5"/>
  <c r="L36" i="5"/>
  <c r="L78" i="5" l="1"/>
  <c r="L55" i="5"/>
  <c r="L37" i="5"/>
  <c r="L54" i="5" l="1"/>
  <c r="L41" i="5"/>
  <c r="L39" i="5"/>
  <c r="L40" i="5"/>
  <c r="L42" i="5"/>
  <c r="L38" i="5"/>
  <c r="L73" i="5" l="1"/>
  <c r="L87" i="5" s="1"/>
  <c r="L69" i="5"/>
  <c r="L71" i="5"/>
  <c r="L85" i="5" s="1"/>
  <c r="L72" i="5"/>
  <c r="L86" i="5" s="1"/>
  <c r="L70" i="5"/>
  <c r="L84" i="5" s="1"/>
  <c r="L76" i="5" l="1"/>
  <c r="L83" i="5" s="1"/>
  <c r="L89" i="5" l="1"/>
  <c r="L90" i="5" s="1"/>
</calcChain>
</file>

<file path=xl/sharedStrings.xml><?xml version="1.0" encoding="utf-8"?>
<sst xmlns="http://schemas.openxmlformats.org/spreadsheetml/2006/main" count="523" uniqueCount="188">
  <si>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</si>
  <si>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</si>
  <si>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</si>
  <si>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</si>
  <si>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</si>
  <si>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</si>
  <si>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</si>
  <si>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</si>
  <si>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</si>
  <si>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</si>
  <si>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</si>
  <si>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</si>
  <si>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</si>
  <si>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</si>
  <si>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</si>
  <si>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</si>
  <si>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</si>
  <si>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</si>
  <si>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</si>
  <si>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</si>
  <si>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</si>
  <si>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</si>
  <si>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</si>
  <si>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</si>
  <si>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</si>
  <si>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</si>
  <si>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</si>
  <si>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</si>
  <si>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</si>
  <si>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</si>
  <si>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</si>
  <si>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</si>
  <si>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</si>
  <si>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</si>
  <si>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</si>
  <si>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</si>
  <si>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</si>
  <si>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</si>
  <si>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</si>
  <si>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</si>
  <si>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</si>
  <si>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</si>
  <si>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</si>
  <si>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</si>
  <si>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</si>
  <si>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</si>
  <si>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</si>
  <si>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</si>
  <si>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</si>
  <si>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</si>
  <si>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</si>
  <si>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</si>
  <si>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</si>
  <si>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</si>
  <si>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</si>
  <si>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</si>
  <si>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Continue to Year 2 in Column D. Facilitator enters next Natural Inflow to Lake Powell in Cell D22.</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</si>
  <si>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</si>
  <si>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</si>
  <si>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</si>
  <si>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</si>
  <si>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</si>
  <si>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</si>
  <si>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</si>
  <si>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</si>
  <si>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</si>
  <si>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</si>
  <si>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</si>
  <si>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</si>
  <si>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</si>
  <si>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</si>
  <si>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</si>
  <si>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</si>
  <si>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</si>
  <si>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</si>
  <si>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</si>
  <si>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</si>
  <si>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</si>
  <si>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</si>
  <si>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</si>
  <si>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</si>
  <si>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</si>
  <si>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</si>
  <si>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</si>
  <si>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</si>
  <si>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</si>
  <si>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</si>
  <si>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</si>
  <si>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</si>
  <si>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</si>
  <si>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</si>
  <si>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</si>
  <si>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</si>
  <si>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</si>
  <si>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</si>
  <si>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</si>
  <si>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</si>
  <si>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</si>
  <si>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</si>
  <si>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</si>
  <si>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</si>
  <si>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</si>
  <si>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</si>
  <si>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</si>
  <si>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</si>
  <si>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</si>
  <si>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</si>
  <si>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</si>
  <si>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</si>
  <si>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</si>
  <si>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</si>
  <si>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</si>
  <si>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</si>
  <si>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</si>
  <si>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</si>
  <si>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</si>
  <si>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</si>
  <si>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</si>
  <si>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</si>
  <si>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</si>
  <si>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</si>
  <si>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</si>
  <si>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</si>
  <si>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</si>
  <si>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</si>
  <si>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</si>
  <si>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</si>
  <si>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</si>
  <si>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</si>
  <si>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</si>
  <si>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</si>
  <si>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</si>
  <si>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</si>
  <si>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</si>
  <si>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</si>
  <si>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</si>
  <si>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</si>
  <si>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</si>
  <si>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</si>
  <si>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</si>
  <si>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</si>
  <si>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</si>
  <si>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</si>
  <si>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</si>
  <si>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</si>
  <si>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</si>
  <si>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</si>
  <si>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</si>
  <si>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</si>
  <si>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</si>
  <si>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MellenniumRecovery-LawOfRiver</t>
  </si>
  <si>
    <t>11.0-Plots</t>
  </si>
  <si>
    <t>Powell Release - to store physically</t>
  </si>
  <si>
    <t>DER</t>
  </si>
  <si>
    <t>Follow the law of the river operations</t>
  </si>
  <si>
    <t>6 years of Millenium drought continued (12.4 maf every year) followed by recover to 14.4 maf per year</t>
  </si>
  <si>
    <t>Move this Excel workbook into Google Docs so that all players can access syncronously.</t>
  </si>
  <si>
    <t>On the new worksheet, assign a role to each person (Rows 5 to 8).</t>
  </si>
  <si>
    <t>Enter starting storages for Lake Powell and Lake Mead in Row 19.</t>
  </si>
  <si>
    <t>In Year 1, Facilitator enters the natural inflow to Lake Powell in Cell C22 and Intervening Grand Canyon inflow in Cell C23.</t>
  </si>
  <si>
    <t>The spreadsheet uses political decisions to split storage among Powell and Mead and partition natural flow to calculate reservoir evaporation and available water to release/use (Rows 44 to 47).</t>
  </si>
  <si>
    <t>Each player enters their account withdrawal/consumptive use in Cells C49:C52. The spreadsheet will show a red background if a player tries to consume more than their account balance!</t>
  </si>
  <si>
    <t>The Upper Basin and Mexico can additionally transfer water with compensation to the Lower Basin in Cells C40:C40.</t>
  </si>
  <si>
    <t>Observe the ending storages in accounts, combined storage, and Lake Powell release in Cells C54 to C58.</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</si>
  <si>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</si>
  <si>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</si>
  <si>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</si>
  <si>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This interactive water budget allows a facilitator and representatives of the Upper Basin, Lower Basin, and Mexico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the Upper Basin player can voluntarily trade and transfer stored water to the Lower Basin player with compensation. The Mexico player can also voluntarily trade and transfer stored water to the Lower Basin player with compensation. The trades move water from one account to another; trades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</si>
  <si>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A completed role play with Lee Ferry natural flow of 11.0 maf every year for 5 years allowing trades between users. Trades in Years 1 through 3 earn the Upper Basin $0.46 Billion and get the Upper Basin on a path of conservation and softer landing for this severe event.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</si>
  <si>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</si>
  <si>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</si>
  <si>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</si>
  <si>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</si>
  <si>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</si>
  <si>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</si>
  <si>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MX Binational WSCP Cutback (Minute 323)</t>
  </si>
  <si>
    <t>Total Cutback (af/year)</t>
  </si>
  <si>
    <t xml:space="preserve">    Net transactions (should be zero)</t>
  </si>
  <si>
    <t xml:space="preserve">    Price ($/acre-foot)</t>
  </si>
  <si>
    <t>U.S. Treaty Comittment to Mexico</t>
  </si>
  <si>
    <t>Available water (Account Balance + Available Inflow - Evaporation + Sales - Purchases + Grand Canyon Intervene)</t>
  </si>
  <si>
    <t>Split of Lake Powell Natural Inflow</t>
  </si>
  <si>
    <t>Split of Grand Canyon Tributary Flow</t>
  </si>
  <si>
    <t>Remain</t>
  </si>
  <si>
    <t>Mohave &amp; Havasu Evap &amp; ET</t>
  </si>
  <si>
    <t>Colorado River Delta</t>
  </si>
  <si>
    <t>Sales (+) and Purchases (-) [in maf]</t>
  </si>
  <si>
    <t>Total ($ Mill)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</si>
</sst>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9">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59999389629810485"/>
        <bgColor indexed="64"/>
      </patternFill>
    </fill>
  </fills>
  <borders count="15">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rgb="FF7F7F7F"/>
      </left>
      <right/>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89">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3" fillId="2" borderId="1" xfId="2" applyAlignment="1">
      <alignment horizontal="center"/>
    </xf>
    <xf numFmtId="164" fontId="0" fillId="0" borderId="0" xfId="0" applyNumberFormat="1"/>
    <xf numFmtId="0" fontId="3" fillId="2" borderId="1" xfId="2" applyAlignment="1">
      <alignment horizontal="center"/>
    </xf>
    <xf numFmtId="0" fontId="6" fillId="0" borderId="0" xfId="0" applyFont="1"/>
    <xf numFmtId="164" fontId="1" fillId="0" borderId="0" xfId="0" applyNumberFormat="1" applyFont="1"/>
    <xf numFmtId="164" fontId="3" fillId="2" borderId="11" xfId="2" applyNumberFormat="1" applyBorder="1" applyAlignment="1">
      <alignment horizontal="center"/>
    </xf>
    <xf numFmtId="0" fontId="3" fillId="2" borderId="1" xfId="2" applyAlignment="1">
      <alignment horizontal="center"/>
    </xf>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0" fillId="0" borderId="9" xfId="0" applyBorder="1" applyAlignment="1">
      <alignment horizontal="left"/>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3" fillId="2" borderId="1" xfId="2" applyAlignment="1">
      <alignment horizontal="center"/>
    </xf>
    <xf numFmtId="0" fontId="3" fillId="2" borderId="11" xfId="2" applyBorder="1" applyAlignment="1">
      <alignment horizontal="center"/>
    </xf>
    <xf numFmtId="0" fontId="3" fillId="2" borderId="0"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3" fillId="2" borderId="14" xfId="2" applyBorder="1" applyAlignment="1">
      <alignment horizontal="center"/>
    </xf>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8" borderId="9" xfId="0" applyFont="1" applyFill="1" applyBorder="1"/>
    <xf numFmtId="0" fontId="1" fillId="8"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lgDash"/>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'11.0-LawOfRiver'!$C$49:$G$49</c:f>
              <c:numCache>
                <c:formatCode>0.0</c:formatCode>
                <c:ptCount val="5"/>
                <c:pt idx="0">
                  <c:v>4.2</c:v>
                </c:pt>
                <c:pt idx="1">
                  <c:v>4.2</c:v>
                </c:pt>
                <c:pt idx="2">
                  <c:v>3.4234833101213358</c:v>
                </c:pt>
                <c:pt idx="3">
                  <c:v>2.4283859058039514</c:v>
                </c:pt>
                <c:pt idx="4">
                  <c:v>2.4258385487219343</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'11.0-Trade'!$C$49:$G$49</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'11.0-Trade'!$C$25:$G$25</c:f>
              <c:numCache>
                <c:formatCode>0.0</c:formatCode>
                <c:ptCount val="5"/>
                <c:pt idx="0">
                  <c:v>11</c:v>
                </c:pt>
                <c:pt idx="1">
                  <c:v>9.0322571336493027</c:v>
                </c:pt>
                <c:pt idx="2">
                  <c:v>7.6434827441332986</c:v>
                </c:pt>
                <c:pt idx="3">
                  <c:v>6.6124524678486694</c:v>
                </c:pt>
                <c:pt idx="4">
                  <c:v>6.2263917092955738</c:v>
                </c:pt>
              </c:numCache>
            </c:numRef>
          </c:val>
          <c:smooth val="0"/>
          <c:extLst>
            <c:ext xmlns:c16="http://schemas.microsoft.com/office/drawing/2014/chart" uri="{C3380CC4-5D6E-409C-BE32-E72D297353CC}">
              <c16:uniqueId val="{00000000-A243-4D6A-9A25-2CBF47155BF4}"/>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'11.0-LawOfRiver'!$C$25:$G$25</c:f>
              <c:numCache>
                <c:formatCode>0.0</c:formatCode>
                <c:ptCount val="5"/>
                <c:pt idx="0">
                  <c:v>11</c:v>
                </c:pt>
                <c:pt idx="1">
                  <c:v>9.0322571336493027</c:v>
                </c:pt>
                <c:pt idx="2">
                  <c:v>7.1383410513710048</c:v>
                </c:pt>
                <c:pt idx="3">
                  <c:v>6.1</c:v>
                </c:pt>
                <c:pt idx="4">
                  <c:v>6.1</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'11.0-Trade'!$C$50:$G$50</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'11.0-LawOfRiver'!$C$50:$G$50</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'11.0-LawOfRiver'!$C$26:$G$26</c:f>
              <c:numCache>
                <c:formatCode>0.0</c:formatCode>
                <c:ptCount val="5"/>
                <c:pt idx="0">
                  <c:v>10.1</c:v>
                </c:pt>
                <c:pt idx="1">
                  <c:v>9.708845186350727</c:v>
                </c:pt>
                <c:pt idx="2">
                  <c:v>9.3135526316284274</c:v>
                </c:pt>
                <c:pt idx="3">
                  <c:v>8.9993343277774951</c:v>
                </c:pt>
                <c:pt idx="4">
                  <c:v>8.6837767143729412</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'11.0-Trade'!$C$26:$G$26</c:f>
              <c:numCache>
                <c:formatCode>0.0</c:formatCode>
                <c:ptCount val="5"/>
                <c:pt idx="0">
                  <c:v>10.1</c:v>
                </c:pt>
                <c:pt idx="1">
                  <c:v>10.208845186350727</c:v>
                </c:pt>
                <c:pt idx="2">
                  <c:v>10.193959821867308</c:v>
                </c:pt>
                <c:pt idx="3">
                  <c:v>10.163782175651365</c:v>
                </c:pt>
                <c:pt idx="4">
                  <c:v>9.7221782847044604</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385794462191724"/>
          <c:y val="3.4745872660633781E-2"/>
          <c:w val="0.82523052422514986"/>
          <c:h val="0.87719197828007334"/>
        </c:manualLayout>
      </c:layout>
      <c:lineChart>
        <c:grouping val="standard"/>
        <c:varyColors val="0"/>
        <c:ser>
          <c:idx val="0"/>
          <c:order val="0"/>
          <c:tx>
            <c:v>LowerBasin</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'MillenniumRecovers-LawOfRiver'!$C$50:$L$50</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57FE-44A3-B45F-1A0B1069B9CD}"/>
            </c:ext>
          </c:extLst>
        </c:ser>
        <c:ser>
          <c:idx val="1"/>
          <c:order val="1"/>
          <c:tx>
            <c:v>Upper Basin</c:v>
          </c:tx>
          <c:spPr>
            <a:ln w="19050" cap="rnd">
              <a:solidFill>
                <a:srgbClr val="FF0000"/>
              </a:solidFill>
              <a:prstDash val="lgDash"/>
              <a:round/>
            </a:ln>
            <a:effectLst/>
          </c:spPr>
          <c:marker>
            <c:symbol val="triangle"/>
            <c:size val="8"/>
            <c:spPr>
              <a:solidFill>
                <a:srgbClr val="FF0000"/>
              </a:solidFill>
              <a:ln w="9525">
                <a:solidFill>
                  <a:srgbClr val="FF0000"/>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'MillenniumRecovers-LawOfRiver'!$C$49:$L$49</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57FE-44A3-B45F-1A0B1069B9C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7188148400426904"/>
          <c:y val="0.50918779787545598"/>
          <c:w val="0.18955436667271974"/>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590706538203605"/>
          <c:y val="3.4745872660633781E-2"/>
          <c:w val="0.82940309212417163"/>
          <c:h val="0.87719197828007334"/>
        </c:manualLayout>
      </c:layout>
      <c:lineChart>
        <c:grouping val="standard"/>
        <c:varyColors val="0"/>
        <c:ser>
          <c:idx val="0"/>
          <c:order val="0"/>
          <c:tx>
            <c:v>Lower Basin</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'MillenniumRecovers-LawOfRiver'!$C$26:$L$26</c:f>
              <c:numCache>
                <c:formatCode>0.0</c:formatCode>
                <c:ptCount val="10"/>
                <c:pt idx="0">
                  <c:v>10.1</c:v>
                </c:pt>
                <c:pt idx="1">
                  <c:v>9.708845186350727</c:v>
                </c:pt>
                <c:pt idx="2">
                  <c:v>9.3281315674907948</c:v>
                </c:pt>
                <c:pt idx="3">
                  <c:v>9.0427584674352897</c:v>
                </c:pt>
                <c:pt idx="4">
                  <c:v>8.7639290758965469</c:v>
                </c:pt>
                <c:pt idx="5">
                  <c:v>8.4915395707632033</c:v>
                </c:pt>
                <c:pt idx="6">
                  <c:v>8.2256982900698059</c:v>
                </c:pt>
                <c:pt idx="7">
                  <c:v>7.9654311151393475</c:v>
                </c:pt>
                <c:pt idx="8">
                  <c:v>7.7326480822497654</c:v>
                </c:pt>
                <c:pt idx="9">
                  <c:v>7.5232324780640472</c:v>
                </c:pt>
              </c:numCache>
            </c:numRef>
          </c:val>
          <c:smooth val="0"/>
          <c:extLst>
            <c:ext xmlns:c16="http://schemas.microsoft.com/office/drawing/2014/chart" uri="{C3380CC4-5D6E-409C-BE32-E72D297353CC}">
              <c16:uniqueId val="{00000000-B189-4BFA-859E-30997C832872}"/>
            </c:ext>
          </c:extLst>
        </c:ser>
        <c:ser>
          <c:idx val="1"/>
          <c:order val="1"/>
          <c:tx>
            <c:v>Upper Basin</c:v>
          </c:tx>
          <c:spPr>
            <a:ln w="19050" cap="rnd">
              <a:solidFill>
                <a:srgbClr val="FF0000"/>
              </a:solidFill>
              <a:prstDash val="lgDash"/>
              <a:round/>
            </a:ln>
            <a:effectLst/>
          </c:spPr>
          <c:marker>
            <c:symbol val="triangle"/>
            <c:size val="8"/>
            <c:spPr>
              <a:solidFill>
                <a:srgbClr val="FF0000"/>
              </a:solidFill>
              <a:ln w="9525">
                <a:solidFill>
                  <a:srgbClr val="FF0000"/>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'MillenniumRecovers-LawOfRiver'!$C$25:$L$25</c:f>
              <c:numCache>
                <c:formatCode>0.0</c:formatCode>
                <c:ptCount val="10"/>
                <c:pt idx="0">
                  <c:v>11</c:v>
                </c:pt>
                <c:pt idx="1">
                  <c:v>10.432257133649305</c:v>
                </c:pt>
                <c:pt idx="2">
                  <c:v>9.8828742725086656</c:v>
                </c:pt>
                <c:pt idx="3">
                  <c:v>9.3525876185647441</c:v>
                </c:pt>
                <c:pt idx="4">
                  <c:v>8.8409004511034617</c:v>
                </c:pt>
                <c:pt idx="5">
                  <c:v>8.3475025922356316</c:v>
                </c:pt>
                <c:pt idx="6">
                  <c:v>7.8722917039284548</c:v>
                </c:pt>
                <c:pt idx="7">
                  <c:v>9.4141118988589128</c:v>
                </c:pt>
                <c:pt idx="8">
                  <c:v>10.88852812624792</c:v>
                </c:pt>
                <c:pt idx="9">
                  <c:v>12.301550132433068</c:v>
                </c:pt>
              </c:numCache>
            </c:numRef>
          </c:val>
          <c:smooth val="0"/>
          <c:extLst>
            <c:ext xmlns:c16="http://schemas.microsoft.com/office/drawing/2014/chart" uri="{C3380CC4-5D6E-409C-BE32-E72D297353CC}">
              <c16:uniqueId val="{00000001-B189-4BFA-859E-30997C83287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layout>
            <c:manualLayout>
              <c:xMode val="edge"/>
              <c:yMode val="edge"/>
              <c:x val="1.7898588062878196E-2"/>
              <c:y val="4.747682429088701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22221</xdr:colOff>
      <xdr:row>1</xdr:row>
      <xdr:rowOff>122237</xdr:rowOff>
    </xdr:from>
    <xdr:to>
      <xdr:col>17</xdr:col>
      <xdr:colOff>523875</xdr:colOff>
      <xdr:row>19</xdr:row>
      <xdr:rowOff>149225</xdr:rowOff>
    </xdr:to>
    <xdr:graphicFrame macro="">
      <xdr:nvGraphicFramePr>
        <xdr:cNvPr id="2" name="Chart 1">
          <a:extLst>
            <a:ext uri="{FF2B5EF4-FFF2-40B4-BE49-F238E27FC236}">
              <a16:creationId xmlns:a16="http://schemas.microsoft.com/office/drawing/2014/main" id="{BF6FEC03-7063-4E5F-B478-4B086BC80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6350</xdr:colOff>
      <xdr:row>19</xdr:row>
      <xdr:rowOff>153987</xdr:rowOff>
    </xdr:from>
    <xdr:to>
      <xdr:col>17</xdr:col>
      <xdr:colOff>523875</xdr:colOff>
      <xdr:row>37</xdr:row>
      <xdr:rowOff>158750</xdr:rowOff>
    </xdr:to>
    <xdr:graphicFrame macro="">
      <xdr:nvGraphicFramePr>
        <xdr:cNvPr id="3" name="Chart 1">
          <a:extLst>
            <a:ext uri="{FF2B5EF4-FFF2-40B4-BE49-F238E27FC236}">
              <a16:creationId xmlns:a16="http://schemas.microsoft.com/office/drawing/2014/main" id="{F01DAF2B-1D71-4A35-BC14-0AE1D9C72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2"/>
  <sheetViews>
    <sheetView topLeftCell="A13" zoomScale="150" zoomScaleNormal="150" workbookViewId="0">
      <selection activeCell="C26" sqref="C26"/>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114</v>
      </c>
      <c r="B1" s="1"/>
      <c r="C1" s="2"/>
      <c r="D1"/>
    </row>
    <row r="2" spans="1:12" x14ac:dyDescent="0.35">
      <c r="A2" s="1"/>
      <c r="B2" s="1"/>
      <c r="C2" s="2"/>
      <c r="D2"/>
    </row>
    <row r="3" spans="1:12" x14ac:dyDescent="0.35">
      <c r="A3" s="1" t="s">
        <v>39</v>
      </c>
      <c r="B3" s="1"/>
      <c r="C3" s="2"/>
      <c r="D3"/>
    </row>
    <row r="4" spans="1:12" ht="187.5" customHeight="1" x14ac:dyDescent="0.35">
      <c r="A4" s="62" t="s">
        <v>167</v>
      </c>
      <c r="B4" s="62"/>
      <c r="C4" s="62"/>
      <c r="D4" s="62"/>
      <c r="E4" s="62"/>
      <c r="F4" s="62"/>
      <c r="G4" s="62"/>
      <c r="H4" s="62"/>
      <c r="I4" s="62"/>
      <c r="J4" s="62"/>
      <c r="K4" s="62"/>
      <c r="L4" s="62"/>
    </row>
    <row r="5" spans="1:12" ht="13.5" customHeight="1" x14ac:dyDescent="0.35">
      <c r="B5" s="16"/>
      <c r="C5" s="16"/>
      <c r="D5" s="16"/>
      <c r="E5" s="16"/>
      <c r="F5" s="16"/>
      <c r="G5" s="16"/>
      <c r="H5" s="16"/>
      <c r="I5" s="16"/>
      <c r="J5" s="16"/>
      <c r="K5" s="16"/>
      <c r="L5" s="16"/>
    </row>
    <row r="6" spans="1:12" ht="16.5" customHeight="1" x14ac:dyDescent="0.35">
      <c r="A6" s="66" t="s">
        <v>113</v>
      </c>
      <c r="B6" s="67"/>
      <c r="C6" s="67"/>
      <c r="D6" s="67"/>
      <c r="E6" s="67"/>
      <c r="F6" s="67"/>
      <c r="G6" s="67"/>
      <c r="H6" s="67"/>
      <c r="I6" s="67"/>
      <c r="J6" s="67"/>
      <c r="K6" s="67"/>
      <c r="L6" s="68"/>
    </row>
    <row r="7" spans="1:12" ht="16.5" customHeight="1" x14ac:dyDescent="0.35">
      <c r="A7" s="29">
        <v>1</v>
      </c>
      <c r="B7" s="63" t="s">
        <v>156</v>
      </c>
      <c r="C7" s="63"/>
      <c r="D7" s="63"/>
      <c r="E7" s="63"/>
      <c r="F7" s="63"/>
      <c r="G7" s="63"/>
      <c r="H7" s="63"/>
      <c r="I7" s="63"/>
      <c r="J7" s="63"/>
      <c r="K7" s="63"/>
      <c r="L7" s="64"/>
    </row>
    <row r="8" spans="1:12" ht="16.5" customHeight="1" x14ac:dyDescent="0.35">
      <c r="A8" s="29">
        <v>2</v>
      </c>
      <c r="B8" s="63" t="s">
        <v>95</v>
      </c>
      <c r="C8" s="63"/>
      <c r="D8" s="63"/>
      <c r="E8" s="63"/>
      <c r="F8" s="63"/>
      <c r="G8" s="63"/>
      <c r="H8" s="63"/>
      <c r="I8" s="63"/>
      <c r="J8" s="63"/>
      <c r="K8" s="63"/>
      <c r="L8" s="64"/>
    </row>
    <row r="9" spans="1:12" ht="16.5" customHeight="1" x14ac:dyDescent="0.35">
      <c r="A9" s="29">
        <v>3</v>
      </c>
      <c r="B9" s="63" t="s">
        <v>157</v>
      </c>
      <c r="C9" s="63"/>
      <c r="D9" s="63"/>
      <c r="E9" s="63"/>
      <c r="F9" s="63"/>
      <c r="G9" s="63"/>
      <c r="H9" s="63"/>
      <c r="I9" s="63"/>
      <c r="J9" s="63"/>
      <c r="K9" s="63"/>
      <c r="L9" s="64"/>
    </row>
    <row r="10" spans="1:12" ht="32.5" customHeight="1" x14ac:dyDescent="0.35">
      <c r="A10" s="29">
        <v>4</v>
      </c>
      <c r="B10" s="63" t="s">
        <v>96</v>
      </c>
      <c r="C10" s="63"/>
      <c r="D10" s="63"/>
      <c r="E10" s="63"/>
      <c r="F10" s="63"/>
      <c r="G10" s="63"/>
      <c r="H10" s="63"/>
      <c r="I10" s="63"/>
      <c r="J10" s="63"/>
      <c r="K10" s="63"/>
      <c r="L10" s="64"/>
    </row>
    <row r="11" spans="1:12" ht="16.5" customHeight="1" x14ac:dyDescent="0.35">
      <c r="A11" s="29">
        <v>5</v>
      </c>
      <c r="B11" s="63" t="s">
        <v>158</v>
      </c>
      <c r="C11" s="63"/>
      <c r="D11" s="63"/>
      <c r="E11" s="63"/>
      <c r="F11" s="63"/>
      <c r="G11" s="63"/>
      <c r="H11" s="63"/>
      <c r="I11" s="63"/>
      <c r="J11" s="63"/>
      <c r="K11" s="63"/>
      <c r="L11" s="64"/>
    </row>
    <row r="12" spans="1:12" ht="16.5" customHeight="1" x14ac:dyDescent="0.35">
      <c r="A12" s="29">
        <v>6</v>
      </c>
      <c r="B12" s="63" t="s">
        <v>159</v>
      </c>
      <c r="C12" s="63"/>
      <c r="D12" s="63"/>
      <c r="E12" s="63"/>
      <c r="F12" s="63"/>
      <c r="G12" s="63"/>
      <c r="H12" s="63"/>
      <c r="I12" s="63"/>
      <c r="J12" s="63"/>
      <c r="K12" s="63"/>
      <c r="L12" s="64"/>
    </row>
    <row r="13" spans="1:12" ht="32.5" customHeight="1" x14ac:dyDescent="0.35">
      <c r="A13" s="29">
        <v>7</v>
      </c>
      <c r="B13" s="63" t="s">
        <v>160</v>
      </c>
      <c r="C13" s="63"/>
      <c r="D13" s="63"/>
      <c r="E13" s="63"/>
      <c r="F13" s="63"/>
      <c r="G13" s="63"/>
      <c r="H13" s="63"/>
      <c r="I13" s="63"/>
      <c r="J13" s="63"/>
      <c r="K13" s="63"/>
      <c r="L13" s="64"/>
    </row>
    <row r="14" spans="1:12" ht="32.5" customHeight="1" x14ac:dyDescent="0.35">
      <c r="A14" s="29">
        <v>8</v>
      </c>
      <c r="B14" s="63" t="s">
        <v>161</v>
      </c>
      <c r="C14" s="63"/>
      <c r="D14" s="63"/>
      <c r="E14" s="63"/>
      <c r="F14" s="63"/>
      <c r="G14" s="63"/>
      <c r="H14" s="63"/>
      <c r="I14" s="63"/>
      <c r="J14" s="63"/>
      <c r="K14" s="63"/>
      <c r="L14" s="64"/>
    </row>
    <row r="15" spans="1:12" ht="16.5" customHeight="1" x14ac:dyDescent="0.35">
      <c r="A15" s="29">
        <v>9</v>
      </c>
      <c r="B15" s="63" t="s">
        <v>162</v>
      </c>
      <c r="C15" s="63"/>
      <c r="D15" s="63"/>
      <c r="E15" s="63"/>
      <c r="F15" s="63"/>
      <c r="G15" s="63"/>
      <c r="H15" s="63"/>
      <c r="I15" s="63"/>
      <c r="J15" s="63"/>
      <c r="K15" s="63"/>
      <c r="L15" s="64"/>
    </row>
    <row r="16" spans="1:12" ht="16.5" customHeight="1" x14ac:dyDescent="0.35">
      <c r="A16" s="29">
        <v>10</v>
      </c>
      <c r="B16" s="63" t="s">
        <v>163</v>
      </c>
      <c r="C16" s="63"/>
      <c r="D16" s="63"/>
      <c r="E16" s="63"/>
      <c r="F16" s="63"/>
      <c r="G16" s="63"/>
      <c r="H16" s="63"/>
      <c r="I16" s="63"/>
      <c r="J16" s="63"/>
      <c r="K16" s="63"/>
      <c r="L16" s="64"/>
    </row>
    <row r="17" spans="1:12" ht="16.5" customHeight="1" x14ac:dyDescent="0.35">
      <c r="A17" s="29">
        <v>11</v>
      </c>
      <c r="B17" s="63" t="s">
        <v>56</v>
      </c>
      <c r="C17" s="63"/>
      <c r="D17" s="63"/>
      <c r="E17" s="63"/>
      <c r="F17" s="63"/>
      <c r="G17" s="63"/>
      <c r="H17" s="63"/>
      <c r="I17" s="63"/>
      <c r="J17" s="63"/>
      <c r="K17" s="63"/>
      <c r="L17" s="64"/>
    </row>
    <row r="18" spans="1:12" ht="16.5" customHeight="1" x14ac:dyDescent="0.35">
      <c r="A18" s="29">
        <v>12</v>
      </c>
      <c r="B18" s="69" t="s">
        <v>164</v>
      </c>
      <c r="C18" s="69"/>
      <c r="D18" s="69"/>
      <c r="E18" s="69"/>
      <c r="F18" s="69"/>
      <c r="G18" s="69"/>
      <c r="H18" s="69"/>
      <c r="I18" s="69"/>
      <c r="J18" s="69"/>
      <c r="K18" s="69"/>
      <c r="L18" s="70"/>
    </row>
    <row r="19" spans="1:12" ht="32" customHeight="1" x14ac:dyDescent="0.35">
      <c r="A19" s="29">
        <v>13</v>
      </c>
      <c r="B19" s="71" t="s">
        <v>165</v>
      </c>
      <c r="C19" s="71"/>
      <c r="D19" s="71"/>
      <c r="E19" s="71"/>
      <c r="F19" s="71"/>
      <c r="G19" s="71"/>
      <c r="H19" s="71"/>
      <c r="I19" s="71"/>
      <c r="J19" s="71"/>
      <c r="K19" s="71"/>
      <c r="L19" s="72"/>
    </row>
    <row r="20" spans="1:12" ht="16.5" customHeight="1" x14ac:dyDescent="0.35">
      <c r="B20" s="27"/>
      <c r="C20" s="27"/>
      <c r="D20" s="27"/>
      <c r="E20" s="27"/>
      <c r="F20" s="27"/>
      <c r="G20" s="27"/>
      <c r="H20" s="27"/>
      <c r="I20" s="27"/>
      <c r="J20" s="27"/>
      <c r="K20" s="27"/>
      <c r="L20" s="27"/>
    </row>
    <row r="21" spans="1:12" x14ac:dyDescent="0.35">
      <c r="A21" s="1" t="s">
        <v>97</v>
      </c>
    </row>
    <row r="22" spans="1:12" x14ac:dyDescent="0.35">
      <c r="B22" s="2" t="s">
        <v>98</v>
      </c>
      <c r="C22" t="s">
        <v>99</v>
      </c>
    </row>
    <row r="23" spans="1:12" x14ac:dyDescent="0.35">
      <c r="B23" s="2" t="s">
        <v>147</v>
      </c>
      <c r="C23" t="s">
        <v>168</v>
      </c>
    </row>
    <row r="24" spans="1:12" x14ac:dyDescent="0.35">
      <c r="B24" s="2" t="s">
        <v>148</v>
      </c>
      <c r="C24" t="s">
        <v>169</v>
      </c>
    </row>
    <row r="25" spans="1:12" x14ac:dyDescent="0.35">
      <c r="B25" s="2" t="s">
        <v>151</v>
      </c>
      <c r="C25" t="s">
        <v>170</v>
      </c>
    </row>
    <row r="26" spans="1:12" x14ac:dyDescent="0.35">
      <c r="B26" s="2" t="s">
        <v>150</v>
      </c>
      <c r="C26" t="s">
        <v>171</v>
      </c>
    </row>
    <row r="27" spans="1:12" x14ac:dyDescent="0.35">
      <c r="B27" s="2" t="s">
        <v>100</v>
      </c>
      <c r="C27" t="s">
        <v>101</v>
      </c>
    </row>
    <row r="28" spans="1:12" x14ac:dyDescent="0.35">
      <c r="B28" s="2" t="s">
        <v>102</v>
      </c>
      <c r="C28" t="s">
        <v>103</v>
      </c>
    </row>
    <row r="29" spans="1:12" x14ac:dyDescent="0.35">
      <c r="B29" s="2" t="s">
        <v>172</v>
      </c>
      <c r="C29" t="s">
        <v>173</v>
      </c>
    </row>
    <row r="31" spans="1:12" x14ac:dyDescent="0.35">
      <c r="A31" s="1" t="s">
        <v>51</v>
      </c>
    </row>
    <row r="32" spans="1:12" ht="30.5" customHeight="1" x14ac:dyDescent="0.35">
      <c r="A32" s="65" t="s">
        <v>166</v>
      </c>
      <c r="B32" s="65"/>
      <c r="C32" s="65"/>
      <c r="D32" s="65"/>
      <c r="E32" s="65"/>
      <c r="F32" s="65"/>
      <c r="G32" s="65"/>
      <c r="H32" s="65"/>
      <c r="I32" s="65"/>
      <c r="J32" s="65"/>
      <c r="K32" s="65"/>
      <c r="L32" s="65"/>
    </row>
  </sheetData>
  <mergeCells count="16">
    <mergeCell ref="A32:L32"/>
    <mergeCell ref="A6:L6"/>
    <mergeCell ref="B10:L10"/>
    <mergeCell ref="B7:L7"/>
    <mergeCell ref="B8:L8"/>
    <mergeCell ref="B15:L15"/>
    <mergeCell ref="B16:L16"/>
    <mergeCell ref="B17:L17"/>
    <mergeCell ref="B18:L18"/>
    <mergeCell ref="B19:L19"/>
    <mergeCell ref="B14:L14"/>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U95"/>
  <sheetViews>
    <sheetView tabSelected="1" topLeftCell="A55" zoomScale="150" zoomScaleNormal="150" workbookViewId="0">
      <selection activeCell="M60" sqref="M6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76"/>
      <c r="D5" s="77"/>
      <c r="E5" s="77"/>
      <c r="F5" s="77"/>
      <c r="G5" s="78"/>
    </row>
    <row r="6" spans="1:11" x14ac:dyDescent="0.35">
      <c r="A6" s="17" t="s">
        <v>41</v>
      </c>
      <c r="B6" s="13"/>
      <c r="C6" s="76"/>
      <c r="D6" s="77"/>
      <c r="E6" s="77"/>
      <c r="F6" s="77"/>
      <c r="G6" s="78"/>
    </row>
    <row r="7" spans="1:11" x14ac:dyDescent="0.35">
      <c r="A7" s="17" t="s">
        <v>42</v>
      </c>
      <c r="B7" s="13"/>
      <c r="C7" s="76"/>
      <c r="D7" s="77"/>
      <c r="E7" s="77"/>
      <c r="F7" s="77"/>
      <c r="G7" s="78"/>
    </row>
    <row r="8" spans="1:11" x14ac:dyDescent="0.35">
      <c r="A8" s="17" t="s">
        <v>43</v>
      </c>
      <c r="B8" s="56"/>
      <c r="C8" s="76"/>
      <c r="D8" s="77"/>
      <c r="E8" s="77"/>
      <c r="F8" s="77"/>
      <c r="G8" s="78"/>
    </row>
    <row r="9" spans="1:11" x14ac:dyDescent="0.35">
      <c r="A9" s="17" t="s">
        <v>184</v>
      </c>
      <c r="B9" s="56"/>
      <c r="C9" s="76"/>
      <c r="D9" s="77"/>
      <c r="E9" s="77"/>
      <c r="F9" s="77"/>
      <c r="G9" s="78"/>
    </row>
    <row r="10" spans="1:11" x14ac:dyDescent="0.35">
      <c r="A10" s="17" t="s">
        <v>185</v>
      </c>
      <c r="B10" s="56"/>
      <c r="C10" s="76"/>
      <c r="D10" s="77"/>
      <c r="E10" s="77"/>
      <c r="F10" s="77"/>
      <c r="G10" s="78"/>
    </row>
    <row r="11" spans="1:11" x14ac:dyDescent="0.35">
      <c r="A11" s="17"/>
      <c r="B11" s="13"/>
      <c r="C11" s="76"/>
      <c r="D11" s="77"/>
      <c r="E11" s="77"/>
      <c r="F11" s="77"/>
      <c r="G11" s="78"/>
    </row>
    <row r="12" spans="1:11" x14ac:dyDescent="0.35">
      <c r="A12" s="17"/>
      <c r="B12" s="2"/>
      <c r="C12"/>
    </row>
    <row r="13" spans="1:11" x14ac:dyDescent="0.35">
      <c r="A13" s="20" t="s">
        <v>47</v>
      </c>
      <c r="B13" s="2"/>
      <c r="C13"/>
    </row>
    <row r="14" spans="1:11" x14ac:dyDescent="0.35">
      <c r="A14" s="21" t="s">
        <v>54</v>
      </c>
    </row>
    <row r="15" spans="1:11" x14ac:dyDescent="0.35">
      <c r="A15" s="23" t="s">
        <v>49</v>
      </c>
      <c r="B15" s="20"/>
    </row>
    <row r="16" spans="1:11" x14ac:dyDescent="0.35">
      <c r="A16" s="22" t="s">
        <v>48</v>
      </c>
    </row>
    <row r="18" spans="1:13" x14ac:dyDescent="0.35">
      <c r="A18" s="1" t="s">
        <v>55</v>
      </c>
      <c r="D18" s="21"/>
    </row>
    <row r="20" spans="1:13" x14ac:dyDescent="0.35">
      <c r="A20" s="1" t="s">
        <v>33</v>
      </c>
      <c r="B20" s="1" t="s">
        <v>116</v>
      </c>
      <c r="C20" s="14" t="s">
        <v>117</v>
      </c>
    </row>
    <row r="21" spans="1:13" x14ac:dyDescent="0.35">
      <c r="A21" t="s">
        <v>115</v>
      </c>
      <c r="B21" s="12">
        <v>5.73</v>
      </c>
      <c r="C21" s="12">
        <v>6</v>
      </c>
      <c r="D21" s="24" t="s">
        <v>118</v>
      </c>
    </row>
    <row r="22" spans="1:13" x14ac:dyDescent="0.35">
      <c r="A22" t="s">
        <v>149</v>
      </c>
      <c r="B22" s="12">
        <v>11</v>
      </c>
      <c r="C22" s="12">
        <v>10.1</v>
      </c>
      <c r="D22" s="11" t="s">
        <v>35</v>
      </c>
    </row>
    <row r="24" spans="1:13" s="1" customFormat="1" x14ac:dyDescent="0.35">
      <c r="A24" s="83" t="s">
        <v>36</v>
      </c>
      <c r="B24" s="83" t="s">
        <v>50</v>
      </c>
      <c r="C24" s="84" t="s">
        <v>6</v>
      </c>
      <c r="D24" s="84" t="s">
        <v>7</v>
      </c>
      <c r="E24" s="84" t="s">
        <v>8</v>
      </c>
      <c r="F24" s="84" t="s">
        <v>9</v>
      </c>
      <c r="G24" s="84" t="s">
        <v>10</v>
      </c>
      <c r="H24" s="84" t="s">
        <v>11</v>
      </c>
      <c r="I24" s="84" t="s">
        <v>12</v>
      </c>
      <c r="J24" s="84" t="s">
        <v>13</v>
      </c>
      <c r="K24" s="84" t="s">
        <v>37</v>
      </c>
      <c r="L24" s="84" t="s">
        <v>38</v>
      </c>
      <c r="M24" s="84" t="s">
        <v>112</v>
      </c>
    </row>
    <row r="25" spans="1:13" x14ac:dyDescent="0.35">
      <c r="A25" s="1" t="s">
        <v>46</v>
      </c>
      <c r="B25" s="1"/>
      <c r="C25" s="47">
        <v>12.4</v>
      </c>
      <c r="D25" s="47">
        <v>12.4</v>
      </c>
      <c r="E25" s="47">
        <v>12.4</v>
      </c>
      <c r="F25" s="47"/>
      <c r="G25" s="47"/>
      <c r="H25" s="47"/>
      <c r="I25" s="47"/>
      <c r="J25" s="47"/>
      <c r="K25" s="47"/>
      <c r="L25" s="47"/>
    </row>
    <row r="26" spans="1:13" x14ac:dyDescent="0.35">
      <c r="A26" s="1" t="s">
        <v>127</v>
      </c>
      <c r="B26" s="1"/>
      <c r="C26" s="12">
        <f>IF(C$25&lt;&gt;"",0.8,"")</f>
        <v>0.8</v>
      </c>
      <c r="D26" s="12">
        <f t="shared" ref="D26:L26" si="0">IF(D$25&lt;&gt;"",0.8,"")</f>
        <v>0.8</v>
      </c>
      <c r="E26" s="12">
        <f t="shared" si="0"/>
        <v>0.8</v>
      </c>
      <c r="F26" s="12" t="str">
        <f t="shared" si="0"/>
        <v/>
      </c>
      <c r="G26" s="12" t="str">
        <f t="shared" si="0"/>
        <v/>
      </c>
      <c r="H26" s="12" t="str">
        <f t="shared" si="0"/>
        <v/>
      </c>
      <c r="I26" s="12" t="str">
        <f t="shared" si="0"/>
        <v/>
      </c>
      <c r="J26" s="12" t="str">
        <f t="shared" si="0"/>
        <v/>
      </c>
      <c r="K26" s="12" t="str">
        <f t="shared" si="0"/>
        <v/>
      </c>
      <c r="L26" s="12" t="str">
        <f t="shared" si="0"/>
        <v/>
      </c>
    </row>
    <row r="27" spans="1:13" x14ac:dyDescent="0.35">
      <c r="A27" s="1" t="s">
        <v>130</v>
      </c>
      <c r="B27" s="15">
        <f>SUM(B28:B33)-SUM(B22:C22)</f>
        <v>0</v>
      </c>
      <c r="C27" s="15">
        <f>IF(C$25&lt;&gt;"",SUM(B22:C22),"")</f>
        <v>21.1</v>
      </c>
      <c r="D27" s="15">
        <f>IF(D$25&lt;&gt;"",C89,"")</f>
        <v>20.156657875555585</v>
      </c>
      <c r="E27" s="15">
        <f t="shared" ref="E27:L27" si="1">IF(E$25&lt;&gt;"",D89,"")</f>
        <v>19.242116951110571</v>
      </c>
      <c r="F27" s="15" t="str">
        <f t="shared" si="1"/>
        <v/>
      </c>
      <c r="G27" s="15" t="str">
        <f t="shared" si="1"/>
        <v/>
      </c>
      <c r="H27" s="15" t="str">
        <f t="shared" si="1"/>
        <v/>
      </c>
      <c r="I27" s="15" t="str">
        <f t="shared" si="1"/>
        <v/>
      </c>
      <c r="J27" s="15" t="str">
        <f t="shared" si="1"/>
        <v/>
      </c>
      <c r="K27" s="15" t="str">
        <f t="shared" si="1"/>
        <v/>
      </c>
      <c r="L27" s="15" t="str">
        <f t="shared" si="1"/>
        <v/>
      </c>
    </row>
    <row r="28" spans="1:13" x14ac:dyDescent="0.35">
      <c r="A28" t="str">
        <f>IF(A6="","","    "&amp;A6&amp;" Balance")</f>
        <v xml:space="preserve">    Upper Basin Balance</v>
      </c>
      <c r="B28" s="81">
        <f>B22</f>
        <v>11</v>
      </c>
      <c r="C28" s="15">
        <f>IF(OR(C$25="",$A28=""),"",B28)</f>
        <v>11</v>
      </c>
      <c r="D28" s="15">
        <f>IF(OR(D$25="",$A28=""),"",C83)</f>
        <v>10.432257133649305</v>
      </c>
      <c r="E28" s="15">
        <f t="shared" ref="E28:L28" si="2">IF(OR(E$25="",$A28=""),"",D83)</f>
        <v>9.8832712386735295</v>
      </c>
      <c r="F28" s="15" t="str">
        <f t="shared" si="2"/>
        <v/>
      </c>
      <c r="G28" s="15" t="str">
        <f t="shared" si="2"/>
        <v/>
      </c>
      <c r="H28" s="15" t="str">
        <f t="shared" si="2"/>
        <v/>
      </c>
      <c r="I28" s="15" t="str">
        <f t="shared" si="2"/>
        <v/>
      </c>
      <c r="J28" s="15" t="str">
        <f t="shared" si="2"/>
        <v/>
      </c>
      <c r="K28" s="15" t="str">
        <f t="shared" si="2"/>
        <v/>
      </c>
      <c r="L28" s="15" t="str">
        <f t="shared" si="2"/>
        <v/>
      </c>
    </row>
    <row r="29" spans="1:13" x14ac:dyDescent="0.35">
      <c r="A29" t="str">
        <f t="shared" ref="A29:A33" si="3">IF(A7="","","    "&amp;A7&amp;" Balance")</f>
        <v xml:space="preserve">    Lower Basin Balance</v>
      </c>
      <c r="B29" s="81">
        <f>C22</f>
        <v>10.1</v>
      </c>
      <c r="C29" s="15">
        <f t="shared" ref="C29:L33" si="4">IF(OR(C$25="",$A29=""),"",B29)</f>
        <v>10.1</v>
      </c>
      <c r="D29" s="15">
        <f t="shared" ref="D29:L33" si="5">IF(OR(D$25="",$A29=""),"",C84)</f>
        <v>9.7088451863507252</v>
      </c>
      <c r="E29" s="15">
        <f t="shared" si="5"/>
        <v>9.3285010065287182</v>
      </c>
      <c r="F29" s="15" t="str">
        <f t="shared" si="5"/>
        <v/>
      </c>
      <c r="G29" s="15" t="str">
        <f t="shared" si="5"/>
        <v/>
      </c>
      <c r="H29" s="15" t="str">
        <f t="shared" si="5"/>
        <v/>
      </c>
      <c r="I29" s="15" t="str">
        <f t="shared" si="5"/>
        <v/>
      </c>
      <c r="J29" s="15" t="str">
        <f t="shared" si="5"/>
        <v/>
      </c>
      <c r="K29" s="15" t="str">
        <f t="shared" si="5"/>
        <v/>
      </c>
      <c r="L29" s="15" t="str">
        <f t="shared" si="5"/>
        <v/>
      </c>
    </row>
    <row r="30" spans="1:13" x14ac:dyDescent="0.35">
      <c r="A30" t="str">
        <f t="shared" si="3"/>
        <v xml:space="preserve">    Mexico Balance</v>
      </c>
      <c r="B30" s="82">
        <v>0</v>
      </c>
      <c r="C30" s="15">
        <f t="shared" si="4"/>
        <v>0</v>
      </c>
      <c r="D30" s="15">
        <f t="shared" si="5"/>
        <v>0</v>
      </c>
      <c r="E30" s="15">
        <f t="shared" si="5"/>
        <v>0</v>
      </c>
      <c r="F30" s="15" t="str">
        <f t="shared" si="5"/>
        <v/>
      </c>
      <c r="G30" s="15" t="str">
        <f t="shared" si="5"/>
        <v/>
      </c>
      <c r="H30" s="15" t="str">
        <f t="shared" si="5"/>
        <v/>
      </c>
      <c r="I30" s="15" t="str">
        <f t="shared" si="5"/>
        <v/>
      </c>
      <c r="J30" s="15" t="str">
        <f t="shared" si="5"/>
        <v/>
      </c>
      <c r="K30" s="15" t="str">
        <f t="shared" si="5"/>
        <v/>
      </c>
      <c r="L30" s="15" t="str">
        <f t="shared" si="5"/>
        <v/>
      </c>
    </row>
    <row r="31" spans="1:13" x14ac:dyDescent="0.35">
      <c r="A31" t="str">
        <f t="shared" si="3"/>
        <v xml:space="preserve">    Mohave &amp; Havasu Evap &amp; ET Balance</v>
      </c>
      <c r="B31" s="82">
        <v>0</v>
      </c>
      <c r="C31" s="15">
        <f t="shared" si="4"/>
        <v>0</v>
      </c>
      <c r="D31" s="15">
        <f t="shared" si="5"/>
        <v>0</v>
      </c>
      <c r="E31" s="15">
        <f t="shared" si="5"/>
        <v>0</v>
      </c>
      <c r="F31" s="15" t="str">
        <f t="shared" si="5"/>
        <v/>
      </c>
      <c r="G31" s="15" t="str">
        <f t="shared" si="5"/>
        <v/>
      </c>
      <c r="H31" s="15" t="str">
        <f t="shared" si="5"/>
        <v/>
      </c>
      <c r="I31" s="15" t="str">
        <f t="shared" si="5"/>
        <v/>
      </c>
      <c r="J31" s="15" t="str">
        <f t="shared" si="5"/>
        <v/>
      </c>
      <c r="K31" s="15" t="str">
        <f t="shared" si="5"/>
        <v/>
      </c>
      <c r="L31" s="15" t="str">
        <f t="shared" si="5"/>
        <v/>
      </c>
    </row>
    <row r="32" spans="1:13" x14ac:dyDescent="0.35">
      <c r="A32" t="str">
        <f t="shared" si="3"/>
        <v xml:space="preserve">    Colorado River Delta Balance</v>
      </c>
      <c r="B32" s="82">
        <v>0</v>
      </c>
      <c r="C32" s="15">
        <f t="shared" si="4"/>
        <v>0</v>
      </c>
      <c r="D32" s="15">
        <f t="shared" si="5"/>
        <v>1.5555555555555553E-2</v>
      </c>
      <c r="E32" s="15">
        <f t="shared" si="5"/>
        <v>3.0344705908321515E-2</v>
      </c>
      <c r="F32" s="15" t="str">
        <f t="shared" si="5"/>
        <v/>
      </c>
      <c r="G32" s="15" t="str">
        <f t="shared" si="5"/>
        <v/>
      </c>
      <c r="H32" s="15" t="str">
        <f t="shared" si="5"/>
        <v/>
      </c>
      <c r="I32" s="15" t="str">
        <f t="shared" si="5"/>
        <v/>
      </c>
      <c r="J32" s="15" t="str">
        <f t="shared" si="5"/>
        <v/>
      </c>
      <c r="K32" s="15" t="str">
        <f t="shared" si="5"/>
        <v/>
      </c>
      <c r="L32" s="15" t="str">
        <f t="shared" si="5"/>
        <v/>
      </c>
    </row>
    <row r="33" spans="1:12" x14ac:dyDescent="0.35">
      <c r="A33" t="str">
        <f t="shared" si="3"/>
        <v/>
      </c>
      <c r="B33" s="82">
        <v>0</v>
      </c>
      <c r="C33" s="15" t="str">
        <f t="shared" si="4"/>
        <v/>
      </c>
      <c r="D33" s="15" t="str">
        <f t="shared" si="5"/>
        <v/>
      </c>
      <c r="E33" s="15" t="str">
        <f t="shared" si="5"/>
        <v/>
      </c>
      <c r="F33" s="15" t="str">
        <f t="shared" si="5"/>
        <v/>
      </c>
      <c r="G33" s="15" t="str">
        <f t="shared" si="5"/>
        <v/>
      </c>
      <c r="H33" s="15" t="str">
        <f t="shared" si="5"/>
        <v/>
      </c>
      <c r="I33" s="15" t="str">
        <f t="shared" si="5"/>
        <v/>
      </c>
      <c r="J33" s="15" t="str">
        <f t="shared" si="5"/>
        <v/>
      </c>
      <c r="K33" s="15" t="str">
        <f t="shared" si="5"/>
        <v/>
      </c>
      <c r="L33" s="15" t="str">
        <f t="shared" si="5"/>
        <v/>
      </c>
    </row>
    <row r="34" spans="1:12" x14ac:dyDescent="0.35">
      <c r="A34" s="1" t="s">
        <v>121</v>
      </c>
      <c r="C34"/>
    </row>
    <row r="35" spans="1:12" x14ac:dyDescent="0.35">
      <c r="A35" t="s">
        <v>119</v>
      </c>
      <c r="B35" s="37">
        <v>0.5</v>
      </c>
      <c r="C35" s="15">
        <f>IF(C$25&lt;&gt;"",B22,"")</f>
        <v>11</v>
      </c>
      <c r="D35" s="15">
        <f t="shared" ref="D35:L35" si="6">IF(D25&lt;&gt;"",$B35*D$27,"")</f>
        <v>10.078328937777792</v>
      </c>
      <c r="E35" s="15">
        <f t="shared" si="6"/>
        <v>9.6210584755552855</v>
      </c>
      <c r="F35" s="15" t="str">
        <f t="shared" si="6"/>
        <v/>
      </c>
      <c r="G35" s="15" t="str">
        <f t="shared" si="6"/>
        <v/>
      </c>
      <c r="H35" s="15" t="str">
        <f t="shared" si="6"/>
        <v/>
      </c>
      <c r="I35" s="15" t="str">
        <f t="shared" si="6"/>
        <v/>
      </c>
      <c r="J35" s="15" t="str">
        <f t="shared" si="6"/>
        <v/>
      </c>
      <c r="K35" s="15" t="str">
        <f t="shared" si="6"/>
        <v/>
      </c>
      <c r="L35" s="15" t="str">
        <f t="shared" si="6"/>
        <v/>
      </c>
    </row>
    <row r="36" spans="1:12" x14ac:dyDescent="0.35">
      <c r="A36" t="s">
        <v>120</v>
      </c>
      <c r="B36" s="37">
        <f>1-B35</f>
        <v>0.5</v>
      </c>
      <c r="C36" s="15">
        <f>IF(C$25&lt;&gt;"",C22,"")</f>
        <v>10.1</v>
      </c>
      <c r="D36" s="15">
        <f t="shared" ref="D36:L36" si="7">IF(D26&lt;&gt;"",$B36*D$27,"")</f>
        <v>10.078328937777792</v>
      </c>
      <c r="E36" s="15">
        <f t="shared" si="7"/>
        <v>9.6210584755552855</v>
      </c>
      <c r="F36" s="15" t="str">
        <f t="shared" si="7"/>
        <v/>
      </c>
      <c r="G36" s="15" t="str">
        <f t="shared" si="7"/>
        <v/>
      </c>
      <c r="H36" s="15" t="str">
        <f t="shared" si="7"/>
        <v/>
      </c>
      <c r="I36" s="15" t="str">
        <f t="shared" si="7"/>
        <v/>
      </c>
      <c r="J36" s="15" t="str">
        <f t="shared" si="7"/>
        <v/>
      </c>
      <c r="K36" s="15" t="str">
        <f t="shared" si="7"/>
        <v/>
      </c>
      <c r="L36" s="15" t="str">
        <f t="shared" si="7"/>
        <v/>
      </c>
    </row>
    <row r="37" spans="1:12" x14ac:dyDescent="0.35">
      <c r="A37" s="1" t="s">
        <v>125</v>
      </c>
      <c r="B37" s="1"/>
      <c r="C37" s="15">
        <f>IF(C$25&lt;&gt;"",VLOOKUP(C35*1000000,'Powell-Elevation-Area'!$B$5:$D$689,3)*$B$21/1000000 + VLOOKUP(C36*1000000,'Mead-Elevation-Area'!$B$5:$D$676,3)*$C$21/1000000,"")</f>
        <v>1.0218976799999733</v>
      </c>
      <c r="D37" s="15">
        <f>IF(D$25&lt;&gt;"",VLOOKUP(D35*1000000,'Powell-Elevation-Area'!$B$5:$D$689,3)*$B$21/1000000 + VLOOKUP(D36*1000000,'Mead-Elevation-Area'!$B$5:$D$676,3)*$C$21/1000000,"")</f>
        <v>0.99309648000057305</v>
      </c>
      <c r="E37" s="15">
        <f>IF(E$25&lt;&gt;"",VLOOKUP(E35*1000000,'Powell-Elevation-Area'!$B$5:$D$689,3)*$B$21/1000000 + VLOOKUP(E36*1000000,'Mead-Elevation-Area'!$B$5:$D$676,3)*$C$21/1000000,"")</f>
        <v>0.96665975399942705</v>
      </c>
      <c r="F37" s="15" t="str">
        <f>IF(F$25&lt;&gt;"",VLOOKUP(F35*1000000,'Powell-Elevation-Area'!$B$5:$D$689,3)*$B$21/1000000 + VLOOKUP(F36*1000000,'Mead-Elevation-Area'!$B$5:$D$676,3)*$C$21/1000000,"")</f>
        <v/>
      </c>
      <c r="G37" s="15" t="str">
        <f>IF(G$25&lt;&gt;"",VLOOKUP(G35*1000000,'Powell-Elevation-Area'!$B$5:$D$689,3)*$B$21/1000000 + VLOOKUP(G36*1000000,'Mead-Elevation-Area'!$B$5:$D$676,3)*$C$21/1000000,"")</f>
        <v/>
      </c>
      <c r="H37" s="15" t="str">
        <f>IF(H$25&lt;&gt;"",VLOOKUP(H35*1000000,'Powell-Elevation-Area'!$B$5:$D$689,3)*$B$21/1000000 + VLOOKUP(H36*1000000,'Mead-Elevation-Area'!$B$5:$D$676,3)*$C$21/1000000,"")</f>
        <v/>
      </c>
      <c r="I37" s="15" t="str">
        <f>IF(I$25&lt;&gt;"",VLOOKUP(I35*1000000,'Powell-Elevation-Area'!$B$5:$D$689,3)*$B$21/1000000 + VLOOKUP(I36*1000000,'Mead-Elevation-Area'!$B$5:$D$676,3)*$C$21/1000000,"")</f>
        <v/>
      </c>
      <c r="J37" s="15" t="str">
        <f>IF(J$25&lt;&gt;"",VLOOKUP(J35*1000000,'Powell-Elevation-Area'!$B$5:$D$689,3)*$B$21/1000000 + VLOOKUP(J36*1000000,'Mead-Elevation-Area'!$B$5:$D$676,3)*$C$21/1000000,"")</f>
        <v/>
      </c>
      <c r="K37" s="15" t="str">
        <f>IF(K$25&lt;&gt;"",VLOOKUP(K35*1000000,'Powell-Elevation-Area'!$B$5:$D$689,3)*$B$21/1000000 + VLOOKUP(K36*1000000,'Mead-Elevation-Area'!$B$5:$D$676,3)*$C$21/1000000,"")</f>
        <v/>
      </c>
      <c r="L37" s="15" t="str">
        <f>IF(L$25&lt;&gt;"",VLOOKUP(L35*1000000,'Powell-Elevation-Area'!$B$5:$D$689,3)*$B$21/1000000 + VLOOKUP(L36*1000000,'Mead-Elevation-Area'!$B$5:$D$676,3)*$C$21/1000000,"")</f>
        <v/>
      </c>
    </row>
    <row r="38" spans="1:12" x14ac:dyDescent="0.35">
      <c r="A38" t="str">
        <f>IF(A6="","","    "&amp;A6&amp;" Share")</f>
        <v xml:space="preserve">    Upper Basin Share</v>
      </c>
      <c r="B38" s="1"/>
      <c r="C38" s="15">
        <f>IF(OR(C$25="",$A38=""),"",C$37*C28/C$27)</f>
        <v>0.5327428663506969</v>
      </c>
      <c r="D38" s="15">
        <f t="shared" ref="D38:L38" si="8">IF(OR(D$25="",$A38=""),"",D$37*D28/D$27)</f>
        <v>0.51398589497577751</v>
      </c>
      <c r="E38" s="15">
        <f t="shared" si="8"/>
        <v>0.49650257134178605</v>
      </c>
      <c r="F38" s="15" t="str">
        <f t="shared" si="8"/>
        <v/>
      </c>
      <c r="G38" s="15" t="str">
        <f t="shared" si="8"/>
        <v/>
      </c>
      <c r="H38" s="15" t="str">
        <f t="shared" si="8"/>
        <v/>
      </c>
      <c r="I38" s="15" t="str">
        <f t="shared" si="8"/>
        <v/>
      </c>
      <c r="J38" s="15" t="str">
        <f t="shared" si="8"/>
        <v/>
      </c>
      <c r="K38" s="15" t="str">
        <f t="shared" si="8"/>
        <v/>
      </c>
      <c r="L38" s="15" t="str">
        <f t="shared" si="8"/>
        <v/>
      </c>
    </row>
    <row r="39" spans="1:12" x14ac:dyDescent="0.35">
      <c r="A39" t="str">
        <f t="shared" ref="A39:A43" si="9">IF(A7="","","    "&amp;A7&amp;" Share")</f>
        <v xml:space="preserve">    Lower Basin Share</v>
      </c>
      <c r="B39" s="1"/>
      <c r="C39" s="15">
        <f t="shared" ref="C39:L43" si="10">IF(OR(C$25="",$A39=""),"",C$37*C29/C$27)</f>
        <v>0.48915481364927621</v>
      </c>
      <c r="D39" s="15">
        <f t="shared" si="10"/>
        <v>0.47834417982200594</v>
      </c>
      <c r="E39" s="15">
        <f t="shared" si="10"/>
        <v>0.46863276587839309</v>
      </c>
      <c r="F39" s="15" t="str">
        <f t="shared" si="10"/>
        <v/>
      </c>
      <c r="G39" s="15" t="str">
        <f t="shared" si="10"/>
        <v/>
      </c>
      <c r="H39" s="15" t="str">
        <f t="shared" si="10"/>
        <v/>
      </c>
      <c r="I39" s="15" t="str">
        <f t="shared" si="10"/>
        <v/>
      </c>
      <c r="J39" s="15" t="str">
        <f t="shared" si="10"/>
        <v/>
      </c>
      <c r="K39" s="15" t="str">
        <f t="shared" si="10"/>
        <v/>
      </c>
      <c r="L39" s="15" t="str">
        <f t="shared" si="10"/>
        <v/>
      </c>
    </row>
    <row r="40" spans="1:12" x14ac:dyDescent="0.35">
      <c r="A40" t="str">
        <f t="shared" si="9"/>
        <v xml:space="preserve">    Mexico Share</v>
      </c>
      <c r="B40" s="1"/>
      <c r="C40" s="15">
        <f t="shared" si="10"/>
        <v>0</v>
      </c>
      <c r="D40" s="15">
        <f t="shared" si="10"/>
        <v>0</v>
      </c>
      <c r="E40" s="15">
        <f t="shared" si="10"/>
        <v>0</v>
      </c>
      <c r="F40" s="15" t="str">
        <f t="shared" si="10"/>
        <v/>
      </c>
      <c r="G40" s="15" t="str">
        <f t="shared" si="10"/>
        <v/>
      </c>
      <c r="H40" s="15" t="str">
        <f t="shared" si="10"/>
        <v/>
      </c>
      <c r="I40" s="15" t="str">
        <f t="shared" si="10"/>
        <v/>
      </c>
      <c r="J40" s="15" t="str">
        <f t="shared" si="10"/>
        <v/>
      </c>
      <c r="K40" s="15" t="str">
        <f t="shared" si="10"/>
        <v/>
      </c>
      <c r="L40" s="15" t="str">
        <f t="shared" si="10"/>
        <v/>
      </c>
    </row>
    <row r="41" spans="1:12" x14ac:dyDescent="0.35">
      <c r="A41" t="str">
        <f t="shared" si="9"/>
        <v xml:space="preserve">    Mohave &amp; Havasu Evap &amp; ET Share</v>
      </c>
      <c r="B41" s="1"/>
      <c r="C41" s="15">
        <f t="shared" si="10"/>
        <v>0</v>
      </c>
      <c r="D41" s="15">
        <f t="shared" si="10"/>
        <v>0</v>
      </c>
      <c r="E41" s="15">
        <f t="shared" si="10"/>
        <v>0</v>
      </c>
      <c r="F41" s="15" t="str">
        <f t="shared" si="10"/>
        <v/>
      </c>
      <c r="G41" s="15" t="str">
        <f t="shared" si="10"/>
        <v/>
      </c>
      <c r="H41" s="15" t="str">
        <f t="shared" si="10"/>
        <v/>
      </c>
      <c r="I41" s="15" t="str">
        <f t="shared" si="10"/>
        <v/>
      </c>
      <c r="J41" s="15" t="str">
        <f t="shared" si="10"/>
        <v/>
      </c>
      <c r="K41" s="15" t="str">
        <f t="shared" si="10"/>
        <v/>
      </c>
      <c r="L41" s="15" t="str">
        <f t="shared" si="10"/>
        <v/>
      </c>
    </row>
    <row r="42" spans="1:12" x14ac:dyDescent="0.35">
      <c r="A42" t="str">
        <f t="shared" si="9"/>
        <v xml:space="preserve">    Colorado River Delta Share</v>
      </c>
      <c r="B42" s="1"/>
      <c r="C42" s="15">
        <f t="shared" si="10"/>
        <v>0</v>
      </c>
      <c r="D42" s="15">
        <f t="shared" si="10"/>
        <v>7.6640520278959073E-4</v>
      </c>
      <c r="E42" s="15">
        <f t="shared" si="10"/>
        <v>1.5244167792478813E-3</v>
      </c>
      <c r="F42" s="15" t="str">
        <f t="shared" si="10"/>
        <v/>
      </c>
      <c r="G42" s="15" t="str">
        <f t="shared" si="10"/>
        <v/>
      </c>
      <c r="H42" s="15" t="str">
        <f t="shared" si="10"/>
        <v/>
      </c>
      <c r="I42" s="15" t="str">
        <f t="shared" si="10"/>
        <v/>
      </c>
      <c r="J42" s="15" t="str">
        <f t="shared" si="10"/>
        <v/>
      </c>
      <c r="K42" s="15" t="str">
        <f t="shared" si="10"/>
        <v/>
      </c>
      <c r="L42" s="15" t="str">
        <f t="shared" si="10"/>
        <v/>
      </c>
    </row>
    <row r="43" spans="1:12" x14ac:dyDescent="0.35">
      <c r="A43" t="str">
        <f t="shared" si="9"/>
        <v/>
      </c>
      <c r="B43" s="1"/>
      <c r="C43" s="15" t="str">
        <f t="shared" si="10"/>
        <v/>
      </c>
      <c r="D43" s="15" t="str">
        <f t="shared" si="10"/>
        <v/>
      </c>
      <c r="E43" s="15" t="str">
        <f t="shared" si="10"/>
        <v/>
      </c>
      <c r="F43" s="15" t="str">
        <f t="shared" si="10"/>
        <v/>
      </c>
      <c r="G43" s="15" t="str">
        <f t="shared" si="10"/>
        <v/>
      </c>
      <c r="H43" s="15" t="str">
        <f t="shared" si="10"/>
        <v/>
      </c>
      <c r="I43" s="15" t="str">
        <f t="shared" si="10"/>
        <v/>
      </c>
      <c r="J43" s="15" t="str">
        <f t="shared" si="10"/>
        <v/>
      </c>
      <c r="K43" s="15" t="str">
        <f t="shared" si="10"/>
        <v/>
      </c>
      <c r="L43" s="15" t="str">
        <f t="shared" si="10"/>
        <v/>
      </c>
    </row>
    <row r="44" spans="1:12" x14ac:dyDescent="0.35">
      <c r="A44" s="1" t="s">
        <v>179</v>
      </c>
      <c r="B44" s="1"/>
      <c r="C44" s="58">
        <f>IF(C$25&lt;&gt;"",1.5-$B$50/9/2-IF(C$29&lt;$O$78,$Q$78,IF(C$29&lt;=$O$85,VLOOKUP(C$29,$O$78:$Q$85,3),0)),"")</f>
        <v>1.47</v>
      </c>
      <c r="D44" s="58">
        <f t="shared" ref="D44:L44" si="11">IF(D$25&lt;&gt;"",1.5-$B$50/9-IF(D$29&lt;$O$78,$Q$78,IF(D$29&lt;=$O$85,VLOOKUP(D$29,$O$78:$Q$85,3),0)),"")</f>
        <v>1.47</v>
      </c>
      <c r="E44" s="58">
        <f t="shared" si="11"/>
        <v>1.466</v>
      </c>
      <c r="F44" s="58" t="str">
        <f t="shared" si="11"/>
        <v/>
      </c>
      <c r="G44" s="58" t="str">
        <f t="shared" si="11"/>
        <v/>
      </c>
      <c r="H44" s="58" t="str">
        <f t="shared" si="11"/>
        <v/>
      </c>
      <c r="I44" s="58" t="str">
        <f t="shared" si="11"/>
        <v/>
      </c>
      <c r="J44" s="58" t="str">
        <f t="shared" si="11"/>
        <v/>
      </c>
      <c r="K44" s="58" t="str">
        <f t="shared" si="11"/>
        <v/>
      </c>
      <c r="L44" s="58" t="str">
        <f t="shared" si="11"/>
        <v/>
      </c>
    </row>
    <row r="45" spans="1:12" x14ac:dyDescent="0.35">
      <c r="A45" s="1" t="s">
        <v>181</v>
      </c>
      <c r="B45" s="1"/>
      <c r="C45"/>
    </row>
    <row r="46" spans="1:12" x14ac:dyDescent="0.35">
      <c r="A46" t="str">
        <f>IF(A6="","","    To "&amp;A6)</f>
        <v xml:space="preserve">    To Upper Basin</v>
      </c>
      <c r="B46" s="25" t="s">
        <v>183</v>
      </c>
      <c r="C46" s="15">
        <f>IF(OR(C$25="",$A4=""),"",MAX(0,C$25-SUM(C47:C48)))</f>
        <v>4.1650000000000009</v>
      </c>
      <c r="D46" s="15">
        <f t="shared" ref="D46:L46" si="12">IF(OR(D$25="",$A4=""),"",MAX(0,D$25-SUM(D47:D48)))</f>
        <v>4.1650000000000009</v>
      </c>
      <c r="E46" s="15">
        <f t="shared" si="12"/>
        <v>4.1650000000000009</v>
      </c>
      <c r="F46" s="15" t="str">
        <f t="shared" si="12"/>
        <v/>
      </c>
      <c r="G46" s="15" t="str">
        <f t="shared" si="12"/>
        <v/>
      </c>
      <c r="H46" s="15" t="str">
        <f t="shared" si="12"/>
        <v/>
      </c>
      <c r="I46" s="15" t="str">
        <f t="shared" si="12"/>
        <v/>
      </c>
      <c r="J46" s="15" t="str">
        <f t="shared" si="12"/>
        <v/>
      </c>
      <c r="K46" s="15" t="str">
        <f t="shared" si="12"/>
        <v/>
      </c>
      <c r="L46" s="15" t="str">
        <f t="shared" si="12"/>
        <v/>
      </c>
    </row>
    <row r="47" spans="1:12" x14ac:dyDescent="0.35">
      <c r="A47" t="str">
        <f t="shared" ref="A47:A51" si="13">IF(A7="","","    To "&amp;A7)</f>
        <v xml:space="preserve">    To Lower Basin</v>
      </c>
      <c r="B47" s="46">
        <f>7.5-$B$50</f>
        <v>7.5</v>
      </c>
      <c r="C47" s="15">
        <f>IF(OR(C$25="",$A47=""),"",IF(C$25&lt;$B48,0,IF(C$25&gt;$B47,$B47,C$25)))</f>
        <v>7.5</v>
      </c>
      <c r="D47" s="15">
        <f t="shared" ref="D47:L47" si="14">IF(OR(D$25="",$A47=""),"",IF(D$25&lt;$B48,0,IF(D$25&gt;$B47,$B47,D$25)))</f>
        <v>7.5</v>
      </c>
      <c r="E47" s="15">
        <f t="shared" si="14"/>
        <v>7.5</v>
      </c>
      <c r="F47" s="15" t="str">
        <f t="shared" si="14"/>
        <v/>
      </c>
      <c r="G47" s="15" t="str">
        <f t="shared" si="14"/>
        <v/>
      </c>
      <c r="H47" s="15" t="str">
        <f t="shared" si="14"/>
        <v/>
      </c>
      <c r="I47" s="15" t="str">
        <f t="shared" si="14"/>
        <v/>
      </c>
      <c r="J47" s="15" t="str">
        <f t="shared" si="14"/>
        <v/>
      </c>
      <c r="K47" s="15" t="str">
        <f t="shared" si="14"/>
        <v/>
      </c>
      <c r="L47" s="15" t="str">
        <f t="shared" si="14"/>
        <v/>
      </c>
    </row>
    <row r="48" spans="1:12" x14ac:dyDescent="0.35">
      <c r="A48" t="str">
        <f t="shared" si="13"/>
        <v xml:space="preserve">    To Mexico</v>
      </c>
      <c r="B48" s="46">
        <f>C44/2</f>
        <v>0.73499999999999999</v>
      </c>
      <c r="C48" s="15">
        <f>IF(OR(C$25="",$A48=""),"",IF(C$25&gt;$B48,$B48,C$25))</f>
        <v>0.73499999999999999</v>
      </c>
      <c r="D48" s="15">
        <f t="shared" ref="D48:L48" si="15">IF(OR(D$25="",$A48=""),"",IF(D$25&gt;$B48,$B48,D$25))</f>
        <v>0.73499999999999999</v>
      </c>
      <c r="E48" s="15">
        <f t="shared" si="15"/>
        <v>0.73499999999999999</v>
      </c>
      <c r="F48" s="15" t="str">
        <f t="shared" si="15"/>
        <v/>
      </c>
      <c r="G48" s="15" t="str">
        <f t="shared" si="15"/>
        <v/>
      </c>
      <c r="H48" s="15" t="str">
        <f t="shared" si="15"/>
        <v/>
      </c>
      <c r="I48" s="15" t="str">
        <f t="shared" si="15"/>
        <v/>
      </c>
      <c r="J48" s="15" t="str">
        <f t="shared" si="15"/>
        <v/>
      </c>
      <c r="K48" s="15" t="str">
        <f t="shared" si="15"/>
        <v/>
      </c>
      <c r="L48" s="15" t="str">
        <f t="shared" si="15"/>
        <v/>
      </c>
    </row>
    <row r="49" spans="1:13" x14ac:dyDescent="0.35">
      <c r="A49" t="str">
        <f t="shared" si="13"/>
        <v xml:space="preserve">    To Mohave &amp; Havasu Evap &amp; ET</v>
      </c>
      <c r="B49" s="46">
        <v>0</v>
      </c>
      <c r="C49" s="15">
        <f t="shared" ref="C49:L51" si="16">IF(OR(C$25="",$A49=""),"",IF(C$25&gt;$B49,$B49,C$25))</f>
        <v>0</v>
      </c>
      <c r="D49" s="15">
        <f t="shared" si="16"/>
        <v>0</v>
      </c>
      <c r="E49" s="15">
        <f t="shared" si="16"/>
        <v>0</v>
      </c>
      <c r="F49" s="15" t="str">
        <f t="shared" si="16"/>
        <v/>
      </c>
      <c r="G49" s="15" t="str">
        <f t="shared" si="16"/>
        <v/>
      </c>
      <c r="H49" s="15" t="str">
        <f t="shared" si="16"/>
        <v/>
      </c>
      <c r="I49" s="15" t="str">
        <f t="shared" si="16"/>
        <v/>
      </c>
      <c r="J49" s="15" t="str">
        <f t="shared" si="16"/>
        <v/>
      </c>
      <c r="K49" s="15" t="str">
        <f t="shared" si="16"/>
        <v/>
      </c>
      <c r="L49" s="15" t="str">
        <f t="shared" si="16"/>
        <v/>
      </c>
    </row>
    <row r="50" spans="1:13" x14ac:dyDescent="0.35">
      <c r="A50" t="str">
        <f t="shared" si="13"/>
        <v xml:space="preserve">    To Colorado River Delta</v>
      </c>
      <c r="B50" s="46">
        <v>0</v>
      </c>
      <c r="C50" s="15">
        <f t="shared" si="16"/>
        <v>0</v>
      </c>
      <c r="D50" s="85">
        <f t="shared" si="16"/>
        <v>0</v>
      </c>
      <c r="E50" s="85">
        <f t="shared" si="16"/>
        <v>0</v>
      </c>
      <c r="F50" s="85" t="str">
        <f t="shared" si="16"/>
        <v/>
      </c>
      <c r="G50" s="85" t="str">
        <f t="shared" si="16"/>
        <v/>
      </c>
      <c r="H50" s="85" t="str">
        <f t="shared" si="16"/>
        <v/>
      </c>
      <c r="I50" s="85" t="str">
        <f t="shared" si="16"/>
        <v/>
      </c>
      <c r="J50" s="85" t="str">
        <f t="shared" si="16"/>
        <v/>
      </c>
      <c r="K50" s="85" t="str">
        <f t="shared" si="16"/>
        <v/>
      </c>
      <c r="L50" s="85" t="str">
        <f t="shared" si="16"/>
        <v/>
      </c>
    </row>
    <row r="51" spans="1:13" x14ac:dyDescent="0.35">
      <c r="A51" t="str">
        <f t="shared" si="13"/>
        <v/>
      </c>
      <c r="B51" s="46">
        <v>0</v>
      </c>
      <c r="C51" s="15" t="str">
        <f t="shared" si="16"/>
        <v/>
      </c>
      <c r="D51" s="15" t="str">
        <f t="shared" si="16"/>
        <v/>
      </c>
      <c r="E51" s="15" t="str">
        <f t="shared" si="16"/>
        <v/>
      </c>
      <c r="F51" s="15" t="str">
        <f t="shared" si="16"/>
        <v/>
      </c>
      <c r="G51" s="15" t="str">
        <f t="shared" si="16"/>
        <v/>
      </c>
      <c r="H51" s="15" t="str">
        <f t="shared" si="16"/>
        <v/>
      </c>
      <c r="I51" s="15" t="str">
        <f t="shared" si="16"/>
        <v/>
      </c>
      <c r="J51" s="15" t="str">
        <f t="shared" si="16"/>
        <v/>
      </c>
      <c r="K51" s="15" t="str">
        <f t="shared" si="16"/>
        <v/>
      </c>
      <c r="L51" s="15" t="str">
        <f t="shared" si="16"/>
        <v/>
      </c>
    </row>
    <row r="52" spans="1:13" x14ac:dyDescent="0.35">
      <c r="A52" s="1" t="s">
        <v>182</v>
      </c>
      <c r="B52" s="1"/>
      <c r="C52"/>
    </row>
    <row r="53" spans="1:13" x14ac:dyDescent="0.35">
      <c r="A53" t="str">
        <f>IF(A6="","","    To "&amp;A6)</f>
        <v xml:space="preserve">    To Upper Basin</v>
      </c>
      <c r="B53" s="25">
        <v>0</v>
      </c>
      <c r="C53" s="15">
        <f>IF(OR($A53="",C$25=""),"",IF(C$26&gt;$B53,$B53,C$26))</f>
        <v>0</v>
      </c>
      <c r="D53" s="15">
        <f t="shared" ref="D53:L53" si="17">IF(OR($A53="",D$25=""),"",IF(D$26&gt;$B53,$B53,D$26))</f>
        <v>0</v>
      </c>
      <c r="E53" s="15">
        <f t="shared" si="17"/>
        <v>0</v>
      </c>
      <c r="F53" s="15" t="str">
        <f t="shared" si="17"/>
        <v/>
      </c>
      <c r="G53" s="15" t="str">
        <f t="shared" si="17"/>
        <v/>
      </c>
      <c r="H53" s="15" t="str">
        <f t="shared" si="17"/>
        <v/>
      </c>
      <c r="I53" s="15" t="str">
        <f t="shared" si="17"/>
        <v/>
      </c>
      <c r="J53" s="15" t="str">
        <f t="shared" si="17"/>
        <v/>
      </c>
      <c r="K53" s="15" t="str">
        <f t="shared" si="17"/>
        <v/>
      </c>
      <c r="L53" s="15" t="str">
        <f t="shared" si="17"/>
        <v/>
      </c>
    </row>
    <row r="54" spans="1:13" x14ac:dyDescent="0.35">
      <c r="A54" t="str">
        <f t="shared" ref="A54:A58" si="18">IF(A7="","","    To "&amp;A7)</f>
        <v xml:space="preserve">    To Lower Basin</v>
      </c>
      <c r="B54" s="46" t="s">
        <v>183</v>
      </c>
      <c r="C54" s="15">
        <f>IF(OR(C$25="",$A54=""),"",C$26-SUM(C55:C56))</f>
        <v>-0.53499999999999992</v>
      </c>
      <c r="D54" s="15">
        <f t="shared" ref="D54:L54" si="19">IF(OR(D$25="",$A54=""),"",D$26-SUM(D55:D56))</f>
        <v>-0.53499999999999992</v>
      </c>
      <c r="E54" s="15">
        <f t="shared" si="19"/>
        <v>-0.53299999999999992</v>
      </c>
      <c r="F54" s="15" t="str">
        <f t="shared" si="19"/>
        <v/>
      </c>
      <c r="G54" s="15" t="str">
        <f t="shared" si="19"/>
        <v/>
      </c>
      <c r="H54" s="15" t="str">
        <f t="shared" si="19"/>
        <v/>
      </c>
      <c r="I54" s="15" t="str">
        <f t="shared" si="19"/>
        <v/>
      </c>
      <c r="J54" s="15" t="str">
        <f t="shared" si="19"/>
        <v/>
      </c>
      <c r="K54" s="15" t="str">
        <f t="shared" si="19"/>
        <v/>
      </c>
      <c r="L54" s="15" t="str">
        <f t="shared" si="19"/>
        <v/>
      </c>
    </row>
    <row r="55" spans="1:13" x14ac:dyDescent="0.35">
      <c r="A55" t="str">
        <f t="shared" si="18"/>
        <v xml:space="preserve">    To Mexico</v>
      </c>
      <c r="B55" s="46">
        <f>C44/2</f>
        <v>0.73499999999999999</v>
      </c>
      <c r="C55" s="15">
        <f>IF(OR(C$25="",$A55=""),"",C44/2)</f>
        <v>0.73499999999999999</v>
      </c>
      <c r="D55" s="15">
        <f t="shared" ref="D55:L55" si="20">IF(OR(D$25="",$A55=""),"",D44/2)</f>
        <v>0.73499999999999999</v>
      </c>
      <c r="E55" s="15">
        <f t="shared" si="20"/>
        <v>0.73299999999999998</v>
      </c>
      <c r="F55" s="15" t="str">
        <f t="shared" si="20"/>
        <v/>
      </c>
      <c r="G55" s="15" t="str">
        <f t="shared" si="20"/>
        <v/>
      </c>
      <c r="H55" s="15" t="str">
        <f t="shared" si="20"/>
        <v/>
      </c>
      <c r="I55" s="15" t="str">
        <f t="shared" si="20"/>
        <v/>
      </c>
      <c r="J55" s="15" t="str">
        <f t="shared" si="20"/>
        <v/>
      </c>
      <c r="K55" s="15" t="str">
        <f t="shared" si="20"/>
        <v/>
      </c>
      <c r="L55" s="15" t="str">
        <f t="shared" si="20"/>
        <v/>
      </c>
    </row>
    <row r="56" spans="1:13" x14ac:dyDescent="0.35">
      <c r="A56" t="str">
        <f t="shared" si="18"/>
        <v xml:space="preserve">    To Mohave &amp; Havasu Evap &amp; ET</v>
      </c>
      <c r="B56" s="46">
        <v>0.6</v>
      </c>
      <c r="C56" s="15">
        <f>IF(OR($A56="",C$25=""),"",IF(C$26&gt;$B56,$B56,C$26))</f>
        <v>0.6</v>
      </c>
      <c r="D56" s="15">
        <f t="shared" ref="D56:L56" si="21">IF(OR($A56="",D$25=""),"",IF(D$26&gt;$B56,$B56,D$26))</f>
        <v>0.6</v>
      </c>
      <c r="E56" s="15">
        <f t="shared" si="21"/>
        <v>0.6</v>
      </c>
      <c r="F56" s="15" t="str">
        <f t="shared" si="21"/>
        <v/>
      </c>
      <c r="G56" s="15" t="str">
        <f t="shared" si="21"/>
        <v/>
      </c>
      <c r="H56" s="15" t="str">
        <f t="shared" si="21"/>
        <v/>
      </c>
      <c r="I56" s="15" t="str">
        <f t="shared" si="21"/>
        <v/>
      </c>
      <c r="J56" s="15" t="str">
        <f t="shared" si="21"/>
        <v/>
      </c>
      <c r="K56" s="15" t="str">
        <f t="shared" si="21"/>
        <v/>
      </c>
      <c r="L56" s="15" t="str">
        <f t="shared" si="21"/>
        <v/>
      </c>
    </row>
    <row r="57" spans="1:13" x14ac:dyDescent="0.35">
      <c r="A57" t="str">
        <f t="shared" si="18"/>
        <v xml:space="preserve">    To Colorado River Delta</v>
      </c>
      <c r="B57" s="87">
        <f>0.21/9*(2/3)</f>
        <v>1.5555555555555553E-2</v>
      </c>
      <c r="C57" s="15">
        <f t="shared" ref="C57:L58" si="22">IF(OR($A57="",C$25=""),"",IF(C$26&gt;$B57,$B57,C$26))</f>
        <v>1.5555555555555553E-2</v>
      </c>
      <c r="D57" s="15">
        <f t="shared" si="22"/>
        <v>1.5555555555555553E-2</v>
      </c>
      <c r="E57" s="15">
        <f t="shared" si="22"/>
        <v>1.5555555555555553E-2</v>
      </c>
      <c r="F57" s="15" t="str">
        <f t="shared" si="22"/>
        <v/>
      </c>
      <c r="G57" s="15" t="str">
        <f t="shared" si="22"/>
        <v/>
      </c>
      <c r="H57" s="15" t="str">
        <f t="shared" si="22"/>
        <v/>
      </c>
      <c r="I57" s="15" t="str">
        <f t="shared" si="22"/>
        <v/>
      </c>
      <c r="J57" s="15" t="str">
        <f t="shared" si="22"/>
        <v/>
      </c>
      <c r="K57" s="15" t="str">
        <f t="shared" si="22"/>
        <v/>
      </c>
      <c r="L57" s="15" t="str">
        <f t="shared" si="22"/>
        <v/>
      </c>
    </row>
    <row r="58" spans="1:13" x14ac:dyDescent="0.35">
      <c r="A58" t="str">
        <f t="shared" si="18"/>
        <v/>
      </c>
      <c r="B58" s="46">
        <v>0</v>
      </c>
      <c r="C58" s="15" t="str">
        <f t="shared" si="22"/>
        <v/>
      </c>
      <c r="D58" s="15" t="str">
        <f t="shared" si="22"/>
        <v/>
      </c>
      <c r="E58" s="15" t="str">
        <f t="shared" si="22"/>
        <v/>
      </c>
      <c r="F58" s="15" t="str">
        <f t="shared" si="22"/>
        <v/>
      </c>
      <c r="G58" s="15" t="str">
        <f t="shared" si="22"/>
        <v/>
      </c>
      <c r="H58" s="15" t="str">
        <f t="shared" si="22"/>
        <v/>
      </c>
      <c r="I58" s="15" t="str">
        <f t="shared" si="22"/>
        <v/>
      </c>
      <c r="J58" s="15" t="str">
        <f t="shared" si="22"/>
        <v/>
      </c>
      <c r="K58" s="15" t="str">
        <f t="shared" si="22"/>
        <v/>
      </c>
      <c r="L58" s="15" t="str">
        <f t="shared" si="22"/>
        <v/>
      </c>
    </row>
    <row r="59" spans="1:13" x14ac:dyDescent="0.35">
      <c r="A59" s="1" t="s">
        <v>186</v>
      </c>
      <c r="C59"/>
      <c r="M59" t="s">
        <v>187</v>
      </c>
    </row>
    <row r="60" spans="1:13" x14ac:dyDescent="0.35">
      <c r="A60" t="str">
        <f>IF(A6="","","    "&amp;A6)</f>
        <v xml:space="preserve">    Upper Basin</v>
      </c>
      <c r="B60" s="1"/>
      <c r="C60" s="58"/>
      <c r="D60" s="58"/>
      <c r="E60" s="58"/>
      <c r="F60" s="58"/>
      <c r="G60" s="58"/>
      <c r="H60" s="58"/>
      <c r="I60" s="58"/>
      <c r="J60" s="58"/>
      <c r="K60" s="58"/>
      <c r="L60" s="58"/>
      <c r="M60" s="80">
        <f>SUMPRODUCT(C60:L60,C$67:L$67)</f>
        <v>0</v>
      </c>
    </row>
    <row r="61" spans="1:13" x14ac:dyDescent="0.35">
      <c r="A61" t="str">
        <f t="shared" ref="A61:A65" si="23">IF(A7="","","    "&amp;A7)</f>
        <v xml:space="preserve">    Lower Basin</v>
      </c>
      <c r="B61" s="1"/>
      <c r="C61" s="88"/>
      <c r="D61" s="88"/>
      <c r="E61" s="88">
        <v>1.4999999999999999E-2</v>
      </c>
      <c r="F61" s="88"/>
      <c r="G61" s="88"/>
      <c r="H61" s="88"/>
      <c r="I61" s="88"/>
      <c r="J61" s="88"/>
      <c r="K61" s="88"/>
      <c r="L61" s="88"/>
      <c r="M61" s="80">
        <f t="shared" ref="M61:M65" si="24">SUMPRODUCT(C61:L61,C$67:L$67)</f>
        <v>5.25</v>
      </c>
    </row>
    <row r="62" spans="1:13" x14ac:dyDescent="0.35">
      <c r="A62" t="str">
        <f t="shared" si="23"/>
        <v xml:space="preserve">    Mexico</v>
      </c>
      <c r="B62" s="1"/>
      <c r="C62" s="58"/>
      <c r="D62" s="58"/>
      <c r="E62" s="58"/>
      <c r="F62" s="58"/>
      <c r="G62" s="58"/>
      <c r="H62" s="58"/>
      <c r="I62" s="58"/>
      <c r="J62" s="58"/>
      <c r="K62" s="58"/>
      <c r="L62" s="58"/>
      <c r="M62" s="80">
        <f t="shared" si="24"/>
        <v>0</v>
      </c>
    </row>
    <row r="63" spans="1:13" x14ac:dyDescent="0.35">
      <c r="A63" t="str">
        <f t="shared" si="23"/>
        <v xml:space="preserve">    Mohave &amp; Havasu Evap &amp; ET</v>
      </c>
      <c r="B63" s="1"/>
      <c r="C63" s="58"/>
      <c r="D63" s="58"/>
      <c r="E63" s="58"/>
      <c r="F63" s="58"/>
      <c r="G63" s="58"/>
      <c r="H63" s="58"/>
      <c r="I63" s="58"/>
      <c r="J63" s="58"/>
      <c r="K63" s="58"/>
      <c r="L63" s="58"/>
      <c r="M63" s="80">
        <f t="shared" si="24"/>
        <v>0</v>
      </c>
    </row>
    <row r="64" spans="1:13" x14ac:dyDescent="0.35">
      <c r="A64" t="str">
        <f t="shared" si="23"/>
        <v xml:space="preserve">    Colorado River Delta</v>
      </c>
      <c r="B64" s="1"/>
      <c r="C64" s="58"/>
      <c r="D64" s="58"/>
      <c r="E64" s="58">
        <v>-1.4999999999999999E-2</v>
      </c>
      <c r="F64" s="58"/>
      <c r="G64" s="58"/>
      <c r="H64" s="58"/>
      <c r="I64" s="58"/>
      <c r="J64" s="58"/>
      <c r="K64" s="58"/>
      <c r="L64" s="58"/>
      <c r="M64" s="80">
        <f t="shared" si="24"/>
        <v>-5.25</v>
      </c>
    </row>
    <row r="65" spans="1:21" x14ac:dyDescent="0.35">
      <c r="A65" t="str">
        <f t="shared" si="23"/>
        <v/>
      </c>
      <c r="B65" s="1"/>
      <c r="C65" s="58"/>
      <c r="D65" s="58"/>
      <c r="E65" s="58"/>
      <c r="F65" s="58"/>
      <c r="G65" s="58"/>
      <c r="H65" s="58"/>
      <c r="I65" s="58"/>
      <c r="J65" s="58"/>
      <c r="K65" s="58"/>
      <c r="L65" s="58"/>
      <c r="M65" s="80">
        <f t="shared" si="24"/>
        <v>0</v>
      </c>
    </row>
    <row r="66" spans="1:21" x14ac:dyDescent="0.35">
      <c r="A66" t="s">
        <v>177</v>
      </c>
      <c r="B66" s="1"/>
      <c r="C66" s="79">
        <f>IF(C$25&lt;&gt;"",SUM(C60:C65),"")</f>
        <v>0</v>
      </c>
      <c r="D66" s="79">
        <f t="shared" ref="D66:L66" si="25">IF(D$25&lt;&gt;"",SUM(D60:D65),"")</f>
        <v>0</v>
      </c>
      <c r="E66" s="79">
        <f t="shared" si="25"/>
        <v>0</v>
      </c>
      <c r="F66" s="79" t="str">
        <f t="shared" si="25"/>
        <v/>
      </c>
      <c r="G66" s="79" t="str">
        <f t="shared" si="25"/>
        <v/>
      </c>
      <c r="H66" s="79" t="str">
        <f t="shared" si="25"/>
        <v/>
      </c>
      <c r="I66" s="79" t="str">
        <f t="shared" si="25"/>
        <v/>
      </c>
      <c r="J66" s="79" t="str">
        <f t="shared" si="25"/>
        <v/>
      </c>
      <c r="K66" s="79" t="str">
        <f t="shared" si="25"/>
        <v/>
      </c>
      <c r="L66" s="79" t="str">
        <f t="shared" si="25"/>
        <v/>
      </c>
      <c r="M66" s="35"/>
    </row>
    <row r="67" spans="1:21" x14ac:dyDescent="0.35">
      <c r="A67" t="s">
        <v>178</v>
      </c>
      <c r="B67" s="1"/>
      <c r="C67" s="32"/>
      <c r="D67" s="32"/>
      <c r="E67" s="32">
        <v>350</v>
      </c>
      <c r="F67" s="32"/>
      <c r="G67" s="32"/>
      <c r="H67" s="32"/>
      <c r="I67" s="32"/>
      <c r="J67" s="32"/>
      <c r="K67" s="32"/>
      <c r="L67" s="32"/>
    </row>
    <row r="68" spans="1:21" x14ac:dyDescent="0.35">
      <c r="A68" s="1" t="s">
        <v>180</v>
      </c>
      <c r="B68" s="1"/>
      <c r="C68"/>
    </row>
    <row r="69" spans="1:21" x14ac:dyDescent="0.35">
      <c r="A69" t="str">
        <f>IF(A6="","","    "&amp;A6)</f>
        <v xml:space="preserve">    Upper Basin</v>
      </c>
      <c r="C69" s="15">
        <f>IF(OR(C$25="",$A69=""),"",C28+C46+C53-C38-C60)</f>
        <v>14.632257133649304</v>
      </c>
      <c r="D69" s="15">
        <f t="shared" ref="D69:L69" si="26">IF(OR(D$25="",$A69=""),"",D28+D46+D53-D38-D60)</f>
        <v>14.083271238673529</v>
      </c>
      <c r="E69" s="15">
        <f t="shared" si="26"/>
        <v>13.551768667331745</v>
      </c>
      <c r="F69" s="15" t="str">
        <f t="shared" si="26"/>
        <v/>
      </c>
      <c r="G69" s="15" t="str">
        <f t="shared" si="26"/>
        <v/>
      </c>
      <c r="H69" s="15" t="str">
        <f t="shared" si="26"/>
        <v/>
      </c>
      <c r="I69" s="15" t="str">
        <f t="shared" si="26"/>
        <v/>
      </c>
      <c r="J69" s="15" t="str">
        <f t="shared" si="26"/>
        <v/>
      </c>
      <c r="K69" s="15" t="str">
        <f t="shared" si="26"/>
        <v/>
      </c>
      <c r="L69" s="15" t="str">
        <f t="shared" si="26"/>
        <v/>
      </c>
    </row>
    <row r="70" spans="1:21" x14ac:dyDescent="0.35">
      <c r="A70" t="str">
        <f t="shared" ref="A70:A74" si="27">IF(A7="","","    "&amp;A7)</f>
        <v xml:space="preserve">    Lower Basin</v>
      </c>
      <c r="C70" s="15">
        <f t="shared" ref="C70:L74" si="28">IF(OR(C$25="",$A70=""),"",C29+C47+C54-C39-C61)</f>
        <v>16.575845186350726</v>
      </c>
      <c r="D70" s="15">
        <f t="shared" si="28"/>
        <v>16.195501006528719</v>
      </c>
      <c r="E70" s="15">
        <f t="shared" si="28"/>
        <v>15.811868240650323</v>
      </c>
      <c r="F70" s="15" t="str">
        <f t="shared" si="28"/>
        <v/>
      </c>
      <c r="G70" s="15" t="str">
        <f t="shared" si="28"/>
        <v/>
      </c>
      <c r="H70" s="15" t="str">
        <f t="shared" si="28"/>
        <v/>
      </c>
      <c r="I70" s="15" t="str">
        <f t="shared" si="28"/>
        <v/>
      </c>
      <c r="J70" s="15" t="str">
        <f t="shared" si="28"/>
        <v/>
      </c>
      <c r="K70" s="15" t="str">
        <f t="shared" si="28"/>
        <v/>
      </c>
      <c r="L70" s="15" t="str">
        <f t="shared" si="28"/>
        <v/>
      </c>
    </row>
    <row r="71" spans="1:21" x14ac:dyDescent="0.35">
      <c r="A71" t="str">
        <f t="shared" si="27"/>
        <v xml:space="preserve">    Mexico</v>
      </c>
      <c r="C71" s="15">
        <f t="shared" si="28"/>
        <v>1.47</v>
      </c>
      <c r="D71" s="15">
        <f t="shared" si="28"/>
        <v>1.47</v>
      </c>
      <c r="E71" s="15">
        <f t="shared" si="28"/>
        <v>1.468</v>
      </c>
      <c r="F71" s="15" t="str">
        <f t="shared" si="28"/>
        <v/>
      </c>
      <c r="G71" s="15" t="str">
        <f t="shared" si="28"/>
        <v/>
      </c>
      <c r="H71" s="15" t="str">
        <f t="shared" si="28"/>
        <v/>
      </c>
      <c r="I71" s="15" t="str">
        <f t="shared" si="28"/>
        <v/>
      </c>
      <c r="J71" s="15" t="str">
        <f t="shared" si="28"/>
        <v/>
      </c>
      <c r="K71" s="15" t="str">
        <f t="shared" si="28"/>
        <v/>
      </c>
      <c r="L71" s="15" t="str">
        <f t="shared" si="28"/>
        <v/>
      </c>
    </row>
    <row r="72" spans="1:21" x14ac:dyDescent="0.35">
      <c r="A72" t="str">
        <f t="shared" si="27"/>
        <v xml:space="preserve">    Mohave &amp; Havasu Evap &amp; ET</v>
      </c>
      <c r="C72" s="15">
        <f t="shared" si="28"/>
        <v>0.6</v>
      </c>
      <c r="D72" s="15">
        <f t="shared" si="28"/>
        <v>0.6</v>
      </c>
      <c r="E72" s="15">
        <f t="shared" si="28"/>
        <v>0.6</v>
      </c>
      <c r="F72" s="15" t="str">
        <f t="shared" si="28"/>
        <v/>
      </c>
      <c r="G72" s="15" t="str">
        <f t="shared" si="28"/>
        <v/>
      </c>
      <c r="H72" s="15" t="str">
        <f t="shared" si="28"/>
        <v/>
      </c>
      <c r="I72" s="15" t="str">
        <f t="shared" si="28"/>
        <v/>
      </c>
      <c r="J72" s="15" t="str">
        <f t="shared" si="28"/>
        <v/>
      </c>
      <c r="K72" s="15" t="str">
        <f t="shared" si="28"/>
        <v/>
      </c>
      <c r="L72" s="15" t="str">
        <f t="shared" si="28"/>
        <v/>
      </c>
    </row>
    <row r="73" spans="1:21" x14ac:dyDescent="0.35">
      <c r="A73" t="str">
        <f t="shared" si="27"/>
        <v xml:space="preserve">    Colorado River Delta</v>
      </c>
      <c r="C73" s="86">
        <f t="shared" si="28"/>
        <v>1.5555555555555553E-2</v>
      </c>
      <c r="D73" s="15">
        <f t="shared" si="28"/>
        <v>3.0344705908321515E-2</v>
      </c>
      <c r="E73" s="15">
        <f t="shared" si="28"/>
        <v>5.9375844684629184E-2</v>
      </c>
      <c r="F73" s="15" t="str">
        <f t="shared" si="28"/>
        <v/>
      </c>
      <c r="G73" s="15" t="str">
        <f t="shared" si="28"/>
        <v/>
      </c>
      <c r="H73" s="15" t="str">
        <f t="shared" si="28"/>
        <v/>
      </c>
      <c r="I73" s="15" t="str">
        <f t="shared" si="28"/>
        <v/>
      </c>
      <c r="J73" s="15" t="str">
        <f t="shared" si="28"/>
        <v/>
      </c>
      <c r="K73" s="15" t="str">
        <f t="shared" si="28"/>
        <v/>
      </c>
      <c r="L73" s="15" t="str">
        <f t="shared" si="28"/>
        <v/>
      </c>
    </row>
    <row r="74" spans="1:21" x14ac:dyDescent="0.35">
      <c r="A74" t="str">
        <f t="shared" si="27"/>
        <v/>
      </c>
      <c r="C74" s="15" t="str">
        <f t="shared" si="28"/>
        <v/>
      </c>
      <c r="D74" s="15" t="str">
        <f t="shared" si="28"/>
        <v/>
      </c>
      <c r="E74" s="15" t="str">
        <f t="shared" si="28"/>
        <v/>
      </c>
      <c r="F74" s="15" t="str">
        <f t="shared" si="28"/>
        <v/>
      </c>
      <c r="G74" s="15" t="str">
        <f t="shared" si="28"/>
        <v/>
      </c>
      <c r="H74" s="15" t="str">
        <f t="shared" si="28"/>
        <v/>
      </c>
      <c r="I74" s="15" t="str">
        <f t="shared" si="28"/>
        <v/>
      </c>
      <c r="J74" s="15" t="str">
        <f t="shared" si="28"/>
        <v/>
      </c>
      <c r="K74" s="15" t="str">
        <f t="shared" si="28"/>
        <v/>
      </c>
      <c r="L74" s="15" t="str">
        <f t="shared" si="28"/>
        <v/>
      </c>
    </row>
    <row r="75" spans="1:21" x14ac:dyDescent="0.35">
      <c r="A75" s="1" t="s">
        <v>140</v>
      </c>
      <c r="B75" s="1"/>
      <c r="C75" s="30"/>
      <c r="D75" s="2"/>
      <c r="E75" s="2"/>
      <c r="F75" s="2"/>
      <c r="G75" s="2"/>
      <c r="H75" s="2"/>
      <c r="I75" s="2"/>
      <c r="J75" s="2"/>
      <c r="K75" s="2"/>
      <c r="L75" s="2"/>
    </row>
    <row r="76" spans="1:21" x14ac:dyDescent="0.35">
      <c r="A76" t="str">
        <f>IF(A6="","","    "&amp;A6&amp;" - Consumptive Use and Headwaters Losses")</f>
        <v xml:space="preserve">    Upper Basin - Consumptive Use and Headwaters Losses</v>
      </c>
      <c r="C76" s="45">
        <f>IF(C69&gt;6.1+4.2,4.2,MAX(C69-6.1,0))</f>
        <v>4.2</v>
      </c>
      <c r="D76" s="45">
        <f t="shared" ref="D76:L76" si="29">IF(D69&gt;6.1+4.2,4.2,MAX(D69-6.1,0))</f>
        <v>4.2</v>
      </c>
      <c r="E76" s="45">
        <f t="shared" si="29"/>
        <v>4.2</v>
      </c>
      <c r="F76" s="45">
        <f t="shared" si="29"/>
        <v>4.2</v>
      </c>
      <c r="G76" s="45">
        <f t="shared" si="29"/>
        <v>4.2</v>
      </c>
      <c r="H76" s="45">
        <f t="shared" si="29"/>
        <v>4.2</v>
      </c>
      <c r="I76" s="45">
        <f t="shared" si="29"/>
        <v>4.2</v>
      </c>
      <c r="J76" s="45">
        <f t="shared" si="29"/>
        <v>4.2</v>
      </c>
      <c r="K76" s="45">
        <f t="shared" si="29"/>
        <v>4.2</v>
      </c>
      <c r="L76" s="45">
        <f t="shared" si="29"/>
        <v>4.2</v>
      </c>
      <c r="N76" s="1" t="s">
        <v>133</v>
      </c>
    </row>
    <row r="77" spans="1:21" x14ac:dyDescent="0.35">
      <c r="A77" t="str">
        <f>IF(A7="","","    "&amp;A7&amp;" - Release from Mead")</f>
        <v xml:space="preserve">    Lower Basin - Release from Mead</v>
      </c>
      <c r="C77" s="45">
        <f>7.5-IF(C$29&lt;$O$78,$P$78,IF(C$29&lt;=$O$85,VLOOKUP(C$29,$O$78:$P$85,2),0))</f>
        <v>6.867</v>
      </c>
      <c r="D77" s="45">
        <f t="shared" ref="D77:L77" si="30">7.5-IF(D$29&lt;$O$78,$P$78,IF(D$29&lt;=$O$85,VLOOKUP(D$29,$O$78:$P$85,2),0))</f>
        <v>6.867</v>
      </c>
      <c r="E77" s="45">
        <f t="shared" si="30"/>
        <v>6.7830000000000004</v>
      </c>
      <c r="F77" s="45">
        <f t="shared" si="30"/>
        <v>7.5</v>
      </c>
      <c r="G77" s="45">
        <f t="shared" si="30"/>
        <v>7.5</v>
      </c>
      <c r="H77" s="45">
        <f t="shared" si="30"/>
        <v>7.5</v>
      </c>
      <c r="I77" s="45">
        <f t="shared" si="30"/>
        <v>7.5</v>
      </c>
      <c r="J77" s="45">
        <f t="shared" si="30"/>
        <v>7.5</v>
      </c>
      <c r="K77" s="45">
        <f t="shared" si="30"/>
        <v>7.5</v>
      </c>
      <c r="L77" s="45">
        <f t="shared" si="30"/>
        <v>7.5</v>
      </c>
      <c r="N77" s="39" t="s">
        <v>134</v>
      </c>
      <c r="O77" s="39" t="s">
        <v>135</v>
      </c>
      <c r="P77" s="40" t="s">
        <v>136</v>
      </c>
      <c r="Q77" s="40" t="s">
        <v>137</v>
      </c>
      <c r="R77" s="39" t="s">
        <v>138</v>
      </c>
      <c r="S77" s="39" t="s">
        <v>138</v>
      </c>
      <c r="T77" s="59" t="s">
        <v>174</v>
      </c>
      <c r="U77" s="59" t="s">
        <v>176</v>
      </c>
    </row>
    <row r="78" spans="1:21" x14ac:dyDescent="0.35">
      <c r="A78" t="str">
        <f t="shared" ref="A78:A81" si="31">IF(A8="","","    "&amp;A8&amp;" - Release from Mead")</f>
        <v xml:space="preserve">    Mexico - Release from Mead</v>
      </c>
      <c r="C78" s="58">
        <f>C44</f>
        <v>1.47</v>
      </c>
      <c r="D78" s="58">
        <f t="shared" ref="D78:L78" si="32">D44</f>
        <v>1.47</v>
      </c>
      <c r="E78" s="58">
        <f t="shared" si="32"/>
        <v>1.466</v>
      </c>
      <c r="F78" s="58" t="str">
        <f t="shared" si="32"/>
        <v/>
      </c>
      <c r="G78" s="58" t="str">
        <f t="shared" si="32"/>
        <v/>
      </c>
      <c r="H78" s="58" t="str">
        <f t="shared" si="32"/>
        <v/>
      </c>
      <c r="I78" s="58" t="str">
        <f t="shared" si="32"/>
        <v/>
      </c>
      <c r="J78" s="58" t="str">
        <f t="shared" si="32"/>
        <v/>
      </c>
      <c r="K78" s="58" t="str">
        <f t="shared" si="32"/>
        <v/>
      </c>
      <c r="L78" s="58" t="str">
        <f t="shared" si="32"/>
        <v/>
      </c>
      <c r="N78" s="41">
        <v>1025</v>
      </c>
      <c r="O78" s="42">
        <v>5.981122</v>
      </c>
      <c r="P78" s="43">
        <f>S78-Q78</f>
        <v>1.2000000000000002</v>
      </c>
      <c r="Q78" s="57">
        <v>0.15</v>
      </c>
      <c r="R78" s="43">
        <v>1.325</v>
      </c>
      <c r="S78" s="43">
        <f t="shared" ref="S78:S85" si="33">U78/1000000</f>
        <v>1.35</v>
      </c>
      <c r="T78" s="44">
        <v>0.125</v>
      </c>
      <c r="U78" s="60">
        <v>1350000</v>
      </c>
    </row>
    <row r="79" spans="1:21" x14ac:dyDescent="0.35">
      <c r="A79" t="str">
        <f t="shared" si="31"/>
        <v xml:space="preserve">    Mohave &amp; Havasu Evap &amp; ET - Release from Mead</v>
      </c>
      <c r="C79" s="45">
        <v>0.6</v>
      </c>
      <c r="D79" s="45">
        <v>0.6</v>
      </c>
      <c r="E79" s="45">
        <v>0.6</v>
      </c>
      <c r="F79" s="45">
        <v>0.6</v>
      </c>
      <c r="G79" s="45">
        <v>0.6</v>
      </c>
      <c r="H79" s="45">
        <v>0.6</v>
      </c>
      <c r="I79" s="45">
        <v>0.6</v>
      </c>
      <c r="J79" s="45">
        <v>0.6</v>
      </c>
      <c r="K79" s="45">
        <v>0.6</v>
      </c>
      <c r="L79" s="45">
        <v>0.6</v>
      </c>
      <c r="N79" s="41">
        <v>1030</v>
      </c>
      <c r="O79" s="42">
        <v>6.305377</v>
      </c>
      <c r="P79" s="43">
        <f t="shared" ref="P79:P85" si="34">S79-Q79</f>
        <v>1.117</v>
      </c>
      <c r="Q79" s="57">
        <v>0.10100000000000001</v>
      </c>
      <c r="R79" s="43">
        <v>1.1870000000000001</v>
      </c>
      <c r="S79" s="43">
        <f t="shared" si="33"/>
        <v>1.218</v>
      </c>
      <c r="T79" s="44">
        <v>7.0000000000000007E-2</v>
      </c>
      <c r="U79" s="60">
        <v>1218000</v>
      </c>
    </row>
    <row r="80" spans="1:21" x14ac:dyDescent="0.35">
      <c r="A80" t="str">
        <f t="shared" si="31"/>
        <v xml:space="preserve">    Colorado River Delta - Release from Mead</v>
      </c>
      <c r="C80" s="45">
        <v>0</v>
      </c>
      <c r="D80" s="45">
        <v>0</v>
      </c>
      <c r="E80" s="45"/>
      <c r="F80" s="45"/>
      <c r="G80" s="45"/>
      <c r="H80" s="45"/>
      <c r="I80" s="45"/>
      <c r="J80" s="45"/>
      <c r="K80" s="45"/>
      <c r="L80" s="45"/>
      <c r="N80" s="41">
        <v>1035</v>
      </c>
      <c r="O80" s="42">
        <v>6.6375080000000004</v>
      </c>
      <c r="P80" s="43">
        <f t="shared" si="34"/>
        <v>1.0669999999999999</v>
      </c>
      <c r="Q80" s="57">
        <v>9.1999999999999998E-2</v>
      </c>
      <c r="R80" s="43">
        <v>1.137</v>
      </c>
      <c r="S80" s="43">
        <f t="shared" si="33"/>
        <v>1.159</v>
      </c>
      <c r="T80" s="44">
        <v>7.0000000000000007E-2</v>
      </c>
      <c r="U80" s="60">
        <v>1159000</v>
      </c>
    </row>
    <row r="81" spans="1:21" x14ac:dyDescent="0.35">
      <c r="A81" t="str">
        <f t="shared" si="31"/>
        <v/>
      </c>
      <c r="C81" s="45"/>
      <c r="D81" s="45"/>
      <c r="E81" s="45"/>
      <c r="F81" s="45"/>
      <c r="G81" s="45"/>
      <c r="H81" s="26"/>
      <c r="I81" s="26"/>
      <c r="J81" s="26"/>
      <c r="K81" s="26"/>
      <c r="L81" s="26"/>
      <c r="N81" s="41">
        <v>1040</v>
      </c>
      <c r="O81" s="42">
        <v>6.977665</v>
      </c>
      <c r="P81" s="43">
        <f t="shared" si="34"/>
        <v>1.0169999999999999</v>
      </c>
      <c r="Q81" s="57">
        <v>8.4000000000000005E-2</v>
      </c>
      <c r="R81" s="43">
        <v>1.087</v>
      </c>
      <c r="S81" s="43">
        <f t="shared" si="33"/>
        <v>1.101</v>
      </c>
      <c r="T81" s="44">
        <v>7.0000000000000007E-2</v>
      </c>
      <c r="U81" s="60">
        <v>1101000</v>
      </c>
    </row>
    <row r="82" spans="1:21" x14ac:dyDescent="0.35">
      <c r="A82" s="1" t="s">
        <v>145</v>
      </c>
      <c r="B82" s="1"/>
      <c r="D82" s="2"/>
      <c r="E82" s="2"/>
      <c r="F82" s="2"/>
      <c r="G82" s="2"/>
      <c r="H82" s="2"/>
      <c r="I82" s="2"/>
      <c r="J82" s="2"/>
      <c r="K82" s="2"/>
      <c r="L82" s="2"/>
      <c r="N82" s="41">
        <v>1045</v>
      </c>
      <c r="O82" s="42">
        <v>7.3260519999999998</v>
      </c>
      <c r="P82" s="43">
        <f t="shared" si="34"/>
        <v>0.96699999999999997</v>
      </c>
      <c r="Q82" s="57">
        <v>7.5999999999999998E-2</v>
      </c>
      <c r="R82" s="43">
        <v>1.0369999999999999</v>
      </c>
      <c r="S82" s="43">
        <f t="shared" si="33"/>
        <v>1.0429999999999999</v>
      </c>
      <c r="T82" s="44">
        <v>7.0000000000000007E-2</v>
      </c>
      <c r="U82" s="60">
        <v>1043000</v>
      </c>
    </row>
    <row r="83" spans="1:21" x14ac:dyDescent="0.35">
      <c r="A83" t="str">
        <f>IF(A6="","","    "&amp;A6)</f>
        <v xml:space="preserve">    Upper Basin</v>
      </c>
      <c r="C83" s="15">
        <f>IF(OR(C$25="",$A83=""),"",C69-C76)</f>
        <v>10.432257133649305</v>
      </c>
      <c r="D83" s="15">
        <f t="shared" ref="D83:L83" si="35">IF(OR(D$25="",$A83=""),"",D69-D76)</f>
        <v>9.8832712386735295</v>
      </c>
      <c r="E83" s="15">
        <f t="shared" si="35"/>
        <v>9.3517686673317435</v>
      </c>
      <c r="F83" s="15" t="str">
        <f t="shared" si="35"/>
        <v/>
      </c>
      <c r="G83" s="15" t="str">
        <f t="shared" si="35"/>
        <v/>
      </c>
      <c r="H83" s="15" t="str">
        <f t="shared" si="35"/>
        <v/>
      </c>
      <c r="I83" s="15" t="str">
        <f t="shared" si="35"/>
        <v/>
      </c>
      <c r="J83" s="15" t="str">
        <f t="shared" si="35"/>
        <v/>
      </c>
      <c r="K83" s="15" t="str">
        <f t="shared" si="35"/>
        <v/>
      </c>
      <c r="L83" s="15" t="str">
        <f t="shared" si="35"/>
        <v/>
      </c>
      <c r="N83" s="41">
        <v>1050</v>
      </c>
      <c r="O83" s="42">
        <v>7.6828779999999997</v>
      </c>
      <c r="P83" s="43">
        <f t="shared" si="34"/>
        <v>0.71699999999999997</v>
      </c>
      <c r="Q83" s="57">
        <v>3.4000000000000002E-2</v>
      </c>
      <c r="R83" s="43">
        <v>0.78700000000000003</v>
      </c>
      <c r="S83" s="43">
        <f t="shared" si="33"/>
        <v>0.751</v>
      </c>
      <c r="T83" s="44">
        <v>7.0000000000000007E-2</v>
      </c>
      <c r="U83" s="60">
        <v>751000</v>
      </c>
    </row>
    <row r="84" spans="1:21" x14ac:dyDescent="0.35">
      <c r="A84" t="str">
        <f t="shared" ref="A84:A88" si="36">IF(A7="","","    "&amp;A7)</f>
        <v xml:space="preserve">    Lower Basin</v>
      </c>
      <c r="C84" s="15">
        <f t="shared" ref="C84:L88" si="37">IF(OR(C$25="",$A84=""),"",C70-C77)</f>
        <v>9.7088451863507252</v>
      </c>
      <c r="D84" s="15">
        <f t="shared" si="37"/>
        <v>9.3285010065287182</v>
      </c>
      <c r="E84" s="15">
        <f t="shared" si="37"/>
        <v>9.028868240650322</v>
      </c>
      <c r="F84" s="15" t="str">
        <f t="shared" si="37"/>
        <v/>
      </c>
      <c r="G84" s="15" t="str">
        <f t="shared" si="37"/>
        <v/>
      </c>
      <c r="H84" s="15" t="str">
        <f t="shared" si="37"/>
        <v/>
      </c>
      <c r="I84" s="15" t="str">
        <f t="shared" si="37"/>
        <v/>
      </c>
      <c r="J84" s="15" t="str">
        <f t="shared" si="37"/>
        <v/>
      </c>
      <c r="K84" s="15" t="str">
        <f t="shared" si="37"/>
        <v/>
      </c>
      <c r="L84" s="15" t="str">
        <f t="shared" si="37"/>
        <v/>
      </c>
      <c r="N84" s="41">
        <v>1075</v>
      </c>
      <c r="O84" s="42">
        <v>9.6009879999900001</v>
      </c>
      <c r="P84" s="43">
        <f t="shared" si="34"/>
        <v>0.63300000000000001</v>
      </c>
      <c r="Q84" s="57">
        <v>0.03</v>
      </c>
      <c r="R84" s="43">
        <v>0.68300000000000005</v>
      </c>
      <c r="S84" s="43">
        <f t="shared" si="33"/>
        <v>0.66300000000000003</v>
      </c>
      <c r="T84" s="44">
        <v>0.05</v>
      </c>
      <c r="U84" s="60">
        <v>663000</v>
      </c>
    </row>
    <row r="85" spans="1:21" x14ac:dyDescent="0.35">
      <c r="A85" t="str">
        <f t="shared" si="36"/>
        <v xml:space="preserve">    Mexico</v>
      </c>
      <c r="C85" s="15">
        <f t="shared" si="37"/>
        <v>0</v>
      </c>
      <c r="D85" s="15">
        <f t="shared" si="37"/>
        <v>0</v>
      </c>
      <c r="E85" s="15">
        <f t="shared" si="37"/>
        <v>2.0000000000000018E-3</v>
      </c>
      <c r="F85" s="15" t="str">
        <f t="shared" si="37"/>
        <v/>
      </c>
      <c r="G85" s="15" t="str">
        <f t="shared" si="37"/>
        <v/>
      </c>
      <c r="H85" s="15" t="str">
        <f t="shared" si="37"/>
        <v/>
      </c>
      <c r="I85" s="15" t="str">
        <f t="shared" si="37"/>
        <v/>
      </c>
      <c r="J85" s="15" t="str">
        <f t="shared" si="37"/>
        <v/>
      </c>
      <c r="K85" s="15" t="str">
        <f t="shared" si="37"/>
        <v/>
      </c>
      <c r="L85" s="15" t="str">
        <f t="shared" si="37"/>
        <v/>
      </c>
      <c r="N85" s="41">
        <v>1090</v>
      </c>
      <c r="O85" s="42">
        <v>10.857008</v>
      </c>
      <c r="P85" s="43">
        <f t="shared" si="34"/>
        <v>0.30000000000000004</v>
      </c>
      <c r="Q85" s="57">
        <v>4.1000000000000002E-2</v>
      </c>
      <c r="R85" s="43">
        <v>0.3</v>
      </c>
      <c r="S85" s="43">
        <f t="shared" si="33"/>
        <v>0.34100000000000003</v>
      </c>
      <c r="T85" s="40"/>
      <c r="U85" s="60">
        <v>341000</v>
      </c>
    </row>
    <row r="86" spans="1:21" x14ac:dyDescent="0.35">
      <c r="A86" t="str">
        <f t="shared" si="36"/>
        <v xml:space="preserve">    Mohave &amp; Havasu Evap &amp; ET</v>
      </c>
      <c r="C86" s="15">
        <f t="shared" si="37"/>
        <v>0</v>
      </c>
      <c r="D86" s="15">
        <f t="shared" si="37"/>
        <v>0</v>
      </c>
      <c r="E86" s="15">
        <f t="shared" si="37"/>
        <v>0</v>
      </c>
      <c r="F86" s="15" t="str">
        <f t="shared" si="37"/>
        <v/>
      </c>
      <c r="G86" s="15" t="str">
        <f t="shared" si="37"/>
        <v/>
      </c>
      <c r="H86" s="15" t="str">
        <f t="shared" si="37"/>
        <v/>
      </c>
      <c r="I86" s="15" t="str">
        <f t="shared" si="37"/>
        <v/>
      </c>
      <c r="J86" s="15" t="str">
        <f t="shared" si="37"/>
        <v/>
      </c>
      <c r="K86" s="15" t="str">
        <f t="shared" si="37"/>
        <v/>
      </c>
      <c r="L86" s="15" t="str">
        <f t="shared" si="37"/>
        <v/>
      </c>
    </row>
    <row r="87" spans="1:21" x14ac:dyDescent="0.35">
      <c r="A87" t="str">
        <f t="shared" si="36"/>
        <v xml:space="preserve">    Colorado River Delta</v>
      </c>
      <c r="C87" s="86">
        <f>IF(OR(C$25="",$A87=""),"",C73-C80)</f>
        <v>1.5555555555555553E-2</v>
      </c>
      <c r="D87" s="86">
        <f t="shared" si="37"/>
        <v>3.0344705908321515E-2</v>
      </c>
      <c r="E87" s="86">
        <f t="shared" si="37"/>
        <v>5.9375844684629184E-2</v>
      </c>
      <c r="F87" s="15" t="str">
        <f t="shared" si="37"/>
        <v/>
      </c>
      <c r="G87" s="15" t="str">
        <f t="shared" si="37"/>
        <v/>
      </c>
      <c r="H87" s="15" t="str">
        <f t="shared" si="37"/>
        <v/>
      </c>
      <c r="I87" s="15" t="str">
        <f t="shared" si="37"/>
        <v/>
      </c>
      <c r="J87" s="15" t="str">
        <f t="shared" si="37"/>
        <v/>
      </c>
      <c r="K87" s="15" t="str">
        <f t="shared" si="37"/>
        <v/>
      </c>
      <c r="L87" s="15" t="str">
        <f t="shared" si="37"/>
        <v/>
      </c>
    </row>
    <row r="88" spans="1:21" x14ac:dyDescent="0.35">
      <c r="A88" t="str">
        <f t="shared" si="36"/>
        <v/>
      </c>
      <c r="C88" s="15" t="str">
        <f t="shared" si="37"/>
        <v/>
      </c>
      <c r="D88" s="15" t="str">
        <f t="shared" si="37"/>
        <v/>
      </c>
      <c r="E88" s="15" t="str">
        <f t="shared" si="37"/>
        <v/>
      </c>
      <c r="F88" s="15" t="str">
        <f t="shared" si="37"/>
        <v/>
      </c>
      <c r="G88" s="15" t="str">
        <f t="shared" si="37"/>
        <v/>
      </c>
      <c r="H88" s="15" t="str">
        <f t="shared" si="37"/>
        <v/>
      </c>
      <c r="I88" s="15" t="str">
        <f t="shared" si="37"/>
        <v/>
      </c>
      <c r="J88" s="15" t="str">
        <f t="shared" si="37"/>
        <v/>
      </c>
      <c r="K88" s="15" t="str">
        <f t="shared" si="37"/>
        <v/>
      </c>
      <c r="L88" s="15" t="str">
        <f t="shared" si="37"/>
        <v/>
      </c>
    </row>
    <row r="89" spans="1:21" x14ac:dyDescent="0.35">
      <c r="A89" s="1" t="s">
        <v>129</v>
      </c>
      <c r="B89" s="1"/>
      <c r="C89" s="15">
        <f>IF(C$25&lt;&gt;"",SUM(C83:C88),"")</f>
        <v>20.156657875555585</v>
      </c>
      <c r="D89" s="15">
        <f t="shared" ref="D89:L89" si="38">IF(D$25&lt;&gt;"",SUM(D83:D88),"")</f>
        <v>19.242116951110571</v>
      </c>
      <c r="E89" s="15">
        <f t="shared" si="38"/>
        <v>18.442012752666695</v>
      </c>
      <c r="F89" s="15" t="str">
        <f t="shared" si="38"/>
        <v/>
      </c>
      <c r="G89" s="15" t="str">
        <f t="shared" si="38"/>
        <v/>
      </c>
      <c r="H89" s="15" t="str">
        <f t="shared" si="38"/>
        <v/>
      </c>
      <c r="I89" s="15" t="str">
        <f t="shared" si="38"/>
        <v/>
      </c>
      <c r="J89" s="15" t="str">
        <f t="shared" si="38"/>
        <v/>
      </c>
      <c r="K89" s="15" t="str">
        <f t="shared" si="38"/>
        <v/>
      </c>
      <c r="L89" s="15" t="str">
        <f t="shared" si="38"/>
        <v/>
      </c>
    </row>
    <row r="90" spans="1:21" x14ac:dyDescent="0.35">
      <c r="A90" s="1" t="s">
        <v>152</v>
      </c>
      <c r="B90" s="1"/>
      <c r="C90" s="15">
        <f>IF(C25&lt;&gt;"",C35+C25-C38-C76-C89*$B$35,"")</f>
        <v>8.5889281958715085</v>
      </c>
      <c r="D90" s="15">
        <f t="shared" ref="D90:L90" si="39">IF(D25&lt;&gt;"",D35+D25-D38-D76-D89*$B$35,"")</f>
        <v>8.1432845672467291</v>
      </c>
      <c r="E90" s="15">
        <f t="shared" si="39"/>
        <v>8.103549527880153</v>
      </c>
      <c r="F90" s="15" t="str">
        <f t="shared" si="39"/>
        <v/>
      </c>
      <c r="G90" s="15" t="str">
        <f t="shared" si="39"/>
        <v/>
      </c>
      <c r="H90" s="15" t="str">
        <f t="shared" si="39"/>
        <v/>
      </c>
      <c r="I90" s="15" t="str">
        <f t="shared" si="39"/>
        <v/>
      </c>
      <c r="J90" s="15" t="str">
        <f t="shared" si="39"/>
        <v/>
      </c>
      <c r="K90" s="15" t="str">
        <f t="shared" si="39"/>
        <v/>
      </c>
      <c r="L90" s="15" t="str">
        <f t="shared" si="39"/>
        <v/>
      </c>
    </row>
    <row r="92" spans="1:21" x14ac:dyDescent="0.35">
      <c r="A92" s="1" t="s">
        <v>131</v>
      </c>
      <c r="C92" s="12">
        <f>IF(C$25&lt;&gt;"",0.2,"")</f>
        <v>0.2</v>
      </c>
      <c r="D92" s="12">
        <f t="shared" ref="D92:L92" si="40">IF(D$25&lt;&gt;"",0.2,"")</f>
        <v>0.2</v>
      </c>
      <c r="E92" s="12">
        <f t="shared" si="40"/>
        <v>0.2</v>
      </c>
      <c r="F92" s="12" t="str">
        <f t="shared" si="40"/>
        <v/>
      </c>
      <c r="G92" s="12" t="str">
        <f t="shared" si="40"/>
        <v/>
      </c>
      <c r="H92" s="12" t="str">
        <f t="shared" si="40"/>
        <v/>
      </c>
      <c r="I92" s="12" t="str">
        <f t="shared" si="40"/>
        <v/>
      </c>
      <c r="J92" s="12" t="str">
        <f t="shared" si="40"/>
        <v/>
      </c>
      <c r="K92" s="12" t="str">
        <f t="shared" si="40"/>
        <v/>
      </c>
      <c r="L92" s="12" t="str">
        <f t="shared" si="40"/>
        <v/>
      </c>
    </row>
    <row r="93" spans="1:21" x14ac:dyDescent="0.35">
      <c r="A93" t="s">
        <v>132</v>
      </c>
      <c r="C93" s="15">
        <f t="shared" ref="C93:L93" si="41">IF(C$25&lt;&gt;"",C77+C92,"")</f>
        <v>7.0670000000000002</v>
      </c>
      <c r="D93" s="15">
        <f t="shared" si="41"/>
        <v>7.0670000000000002</v>
      </c>
      <c r="E93" s="15">
        <f t="shared" si="41"/>
        <v>6.9830000000000005</v>
      </c>
      <c r="F93" s="15" t="str">
        <f t="shared" si="41"/>
        <v/>
      </c>
      <c r="G93" s="15" t="str">
        <f t="shared" si="41"/>
        <v/>
      </c>
      <c r="H93" s="15" t="str">
        <f t="shared" si="41"/>
        <v/>
      </c>
      <c r="I93" s="15" t="str">
        <f t="shared" si="41"/>
        <v/>
      </c>
      <c r="J93" s="15" t="str">
        <f t="shared" si="41"/>
        <v/>
      </c>
      <c r="K93" s="15" t="str">
        <f t="shared" si="41"/>
        <v/>
      </c>
      <c r="L93" s="15" t="str">
        <f t="shared" si="41"/>
        <v/>
      </c>
    </row>
    <row r="95" spans="1:21" x14ac:dyDescent="0.35">
      <c r="D95" s="19"/>
    </row>
  </sheetData>
  <mergeCells count="7">
    <mergeCell ref="C8:G8"/>
    <mergeCell ref="C9:G9"/>
    <mergeCell ref="C10:G10"/>
    <mergeCell ref="C5:G5"/>
    <mergeCell ref="C6:G6"/>
    <mergeCell ref="C7:G7"/>
    <mergeCell ref="C11:G11"/>
  </mergeCells>
  <conditionalFormatting sqref="C76:L76">
    <cfRule type="cellIs" dxfId="94" priority="43" operator="greaterThan">
      <formula>$C$69</formula>
    </cfRule>
    <cfRule type="cellIs" dxfId="93" priority="44" operator="greaterThan">
      <formula>$C$69</formula>
    </cfRule>
  </conditionalFormatting>
  <conditionalFormatting sqref="F76">
    <cfRule type="cellIs" dxfId="92" priority="42" operator="greaterThan">
      <formula>$E$69</formula>
    </cfRule>
  </conditionalFormatting>
  <conditionalFormatting sqref="F76">
    <cfRule type="cellIs" dxfId="91" priority="41" operator="greaterThan">
      <formula>$D$69</formula>
    </cfRule>
  </conditionalFormatting>
  <conditionalFormatting sqref="F76">
    <cfRule type="cellIs" dxfId="90" priority="40" operator="greaterThan">
      <formula>$F$69</formula>
    </cfRule>
  </conditionalFormatting>
  <conditionalFormatting sqref="G76">
    <cfRule type="cellIs" dxfId="89" priority="39" operator="greaterThan">
      <formula>$G$69</formula>
    </cfRule>
  </conditionalFormatting>
  <conditionalFormatting sqref="H76">
    <cfRule type="cellIs" dxfId="88" priority="38" operator="greaterThan">
      <formula>$H$69</formula>
    </cfRule>
  </conditionalFormatting>
  <conditionalFormatting sqref="I76">
    <cfRule type="cellIs" dxfId="87" priority="37" operator="greaterThan">
      <formula>$I$69</formula>
    </cfRule>
  </conditionalFormatting>
  <conditionalFormatting sqref="J76">
    <cfRule type="cellIs" dxfId="86" priority="36" operator="greaterThan">
      <formula>$J$69</formula>
    </cfRule>
  </conditionalFormatting>
  <conditionalFormatting sqref="K76">
    <cfRule type="cellIs" dxfId="85" priority="35" operator="greaterThan">
      <formula>$K$69</formula>
    </cfRule>
  </conditionalFormatting>
  <conditionalFormatting sqref="L76">
    <cfRule type="cellIs" dxfId="84" priority="34" operator="greaterThan">
      <formula>$L$69</formula>
    </cfRule>
  </conditionalFormatting>
  <conditionalFormatting sqref="H81">
    <cfRule type="cellIs" dxfId="77" priority="17" operator="greaterThan">
      <formula>$H$74</formula>
    </cfRule>
  </conditionalFormatting>
  <conditionalFormatting sqref="I81">
    <cfRule type="cellIs" dxfId="76" priority="16" operator="greaterThan">
      <formula>$I$74</formula>
    </cfRule>
  </conditionalFormatting>
  <conditionalFormatting sqref="J81">
    <cfRule type="cellIs" dxfId="75" priority="15" operator="greaterThan">
      <formula>$J$74</formula>
    </cfRule>
  </conditionalFormatting>
  <conditionalFormatting sqref="K81">
    <cfRule type="cellIs" dxfId="74" priority="14" operator="greaterThan">
      <formula>$K$74</formula>
    </cfRule>
  </conditionalFormatting>
  <conditionalFormatting sqref="L81">
    <cfRule type="cellIs" dxfId="73" priority="13" operator="greaterThan">
      <formula>$L$74</formula>
    </cfRule>
  </conditionalFormatting>
  <conditionalFormatting sqref="C77:L77">
    <cfRule type="cellIs" dxfId="72" priority="12" operator="greaterThan">
      <formula>$C$69</formula>
    </cfRule>
  </conditionalFormatting>
  <conditionalFormatting sqref="C77:L77">
    <cfRule type="cellIs" dxfId="71" priority="11" operator="greaterThan">
      <formula>$C$69</formula>
    </cfRule>
  </conditionalFormatting>
  <conditionalFormatting sqref="C81:G81">
    <cfRule type="cellIs" dxfId="66" priority="6" operator="greaterThan">
      <formula>$C$69</formula>
    </cfRule>
  </conditionalFormatting>
  <conditionalFormatting sqref="C81:F81">
    <cfRule type="cellIs" dxfId="65" priority="5" operator="greaterThan">
      <formula>$C$69</formula>
    </cfRule>
  </conditionalFormatting>
  <conditionalFormatting sqref="E81:F81">
    <cfRule type="cellIs" dxfId="64" priority="4" operator="greaterThan">
      <formula>$E$69</formula>
    </cfRule>
  </conditionalFormatting>
  <conditionalFormatting sqref="D81:F81">
    <cfRule type="cellIs" dxfId="63" priority="3" operator="greaterThan">
      <formula>$D$69</formula>
    </cfRule>
  </conditionalFormatting>
  <conditionalFormatting sqref="F81">
    <cfRule type="cellIs" dxfId="62" priority="2" operator="greaterThan">
      <formula>$F$69</formula>
    </cfRule>
  </conditionalFormatting>
  <conditionalFormatting sqref="G81">
    <cfRule type="cellIs" dxfId="61" priority="1" operator="greaterThan">
      <formula>$G$69</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D1F0-C024-4B0C-A52B-7568661161E6}">
  <dimension ref="A1:T63"/>
  <sheetViews>
    <sheetView topLeftCell="A27" zoomScale="150" zoomScaleNormal="150" workbookViewId="0">
      <selection activeCell="C47" sqref="C4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 min="20" max="20" width="10.0898437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73"/>
      <c r="D5" s="73"/>
      <c r="E5" s="73"/>
      <c r="F5" s="73"/>
      <c r="G5" s="73"/>
      <c r="H5" s="73"/>
    </row>
    <row r="6" spans="1:11" x14ac:dyDescent="0.35">
      <c r="A6" s="17" t="s">
        <v>41</v>
      </c>
      <c r="B6" s="50"/>
      <c r="C6" s="73"/>
      <c r="D6" s="73"/>
      <c r="E6" s="73"/>
      <c r="F6" s="73"/>
      <c r="G6" s="73"/>
      <c r="H6" s="73"/>
    </row>
    <row r="7" spans="1:11" x14ac:dyDescent="0.35">
      <c r="A7" s="17" t="s">
        <v>42</v>
      </c>
      <c r="B7" s="50"/>
      <c r="C7" s="73"/>
      <c r="D7" s="73"/>
      <c r="E7" s="73"/>
      <c r="F7" s="73"/>
      <c r="G7" s="73"/>
      <c r="H7" s="73"/>
    </row>
    <row r="8" spans="1:11" x14ac:dyDescent="0.35">
      <c r="A8" s="17" t="s">
        <v>43</v>
      </c>
      <c r="B8" s="50"/>
      <c r="C8" s="73"/>
      <c r="D8" s="73"/>
      <c r="E8" s="73"/>
      <c r="F8" s="73"/>
      <c r="G8" s="73"/>
      <c r="H8" s="7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118</v>
      </c>
    </row>
    <row r="19" spans="1:13" x14ac:dyDescent="0.35">
      <c r="A19" t="s">
        <v>149</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127</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130</v>
      </c>
      <c r="B24" s="1"/>
      <c r="C24" s="15">
        <f>IF(C$22&lt;&gt;"",SUM(C25:C27),"")</f>
        <v>21.1</v>
      </c>
      <c r="D24" s="15">
        <f>IF(D$22&lt;&gt;"",C57,"")</f>
        <v>19.241102320000032</v>
      </c>
      <c r="E24" s="15">
        <f t="shared" ref="E24:L24" si="3">IF(E$22&lt;&gt;"",D57,"")</f>
        <v>17.837442566000608</v>
      </c>
      <c r="F24" s="15">
        <f t="shared" si="3"/>
        <v>16.776234643500032</v>
      </c>
      <c r="G24" s="15">
        <f t="shared" si="3"/>
        <v>15.948569994000035</v>
      </c>
      <c r="H24" s="15">
        <f t="shared" si="3"/>
        <v>15.147895051498864</v>
      </c>
      <c r="I24" s="15">
        <f t="shared" si="3"/>
        <v>15.17672334389826</v>
      </c>
      <c r="J24" s="15">
        <f t="shared" si="3"/>
        <v>15.203280588898261</v>
      </c>
      <c r="K24" s="15">
        <f t="shared" si="3"/>
        <v>15.229837833898259</v>
      </c>
      <c r="L24" s="15">
        <f t="shared" si="3"/>
        <v>15.255381078898859</v>
      </c>
    </row>
    <row r="25" spans="1:13" x14ac:dyDescent="0.35">
      <c r="A25" t="s">
        <v>122</v>
      </c>
      <c r="C25" s="15">
        <f>IF(C$22&lt;&gt;"",$B$19,"")</f>
        <v>11</v>
      </c>
      <c r="D25" s="15">
        <f>IF(D22&lt;&gt;"",C54,"")</f>
        <v>9.0322571336493027</v>
      </c>
      <c r="E25" s="15">
        <f t="shared" ref="E25:L27" si="4">IF(E22&lt;&gt;"",D54,"")</f>
        <v>7.6434827441332986</v>
      </c>
      <c r="F25" s="15">
        <f t="shared" si="4"/>
        <v>6.6124524678486694</v>
      </c>
      <c r="G25" s="15">
        <f t="shared" si="4"/>
        <v>6.2263917092955738</v>
      </c>
      <c r="H25" s="15">
        <f t="shared" si="4"/>
        <v>5.8542092218663742</v>
      </c>
      <c r="I25" s="15">
        <f t="shared" si="4"/>
        <v>6.2972808791190165</v>
      </c>
      <c r="J25" s="15">
        <f t="shared" si="4"/>
        <v>6.7155557972202651</v>
      </c>
      <c r="K25" s="15">
        <f t="shared" si="4"/>
        <v>7.1113174856881205</v>
      </c>
      <c r="L25" s="15">
        <f t="shared" si="4"/>
        <v>7.4854133588983487</v>
      </c>
    </row>
    <row r="26" spans="1:13" x14ac:dyDescent="0.35">
      <c r="A26" t="s">
        <v>123</v>
      </c>
      <c r="C26" s="15">
        <f>IF(C$22&lt;&gt;"",$C$19,"")</f>
        <v>10.1</v>
      </c>
      <c r="D26" s="15">
        <f>IF(D23&lt;&gt;"",C55,"")</f>
        <v>10.208845186350727</v>
      </c>
      <c r="E26" s="15">
        <f t="shared" si="4"/>
        <v>10.193959821867308</v>
      </c>
      <c r="F26" s="15">
        <f t="shared" si="4"/>
        <v>10.163782175651365</v>
      </c>
      <c r="G26" s="15">
        <f t="shared" si="4"/>
        <v>9.7221782847044604</v>
      </c>
      <c r="H26" s="15">
        <f t="shared" si="4"/>
        <v>9.2936858296324889</v>
      </c>
      <c r="I26" s="15">
        <f t="shared" si="4"/>
        <v>8.8794424647792436</v>
      </c>
      <c r="J26" s="15">
        <f t="shared" si="4"/>
        <v>8.4877247916779961</v>
      </c>
      <c r="K26" s="15">
        <f t="shared" si="4"/>
        <v>8.1185203482101382</v>
      </c>
      <c r="L26" s="15">
        <f t="shared" si="4"/>
        <v>7.7699677200005102</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121</v>
      </c>
      <c r="C28"/>
    </row>
    <row r="29" spans="1:13" x14ac:dyDescent="0.35">
      <c r="A29" t="s">
        <v>119</v>
      </c>
      <c r="B29" s="37">
        <v>0.5</v>
      </c>
      <c r="C29" s="15">
        <f>C25</f>
        <v>11</v>
      </c>
      <c r="D29" s="15">
        <f t="shared" ref="D29:L30" si="5">IF(D22&lt;&gt;"",$B29*D$24,"")</f>
        <v>9.6205511600000158</v>
      </c>
      <c r="E29" s="15">
        <f t="shared" si="5"/>
        <v>8.9187212830003038</v>
      </c>
      <c r="F29" s="15">
        <f t="shared" si="5"/>
        <v>8.3881173217500162</v>
      </c>
      <c r="G29" s="15">
        <f t="shared" si="5"/>
        <v>7.9742849970000176</v>
      </c>
      <c r="H29" s="15">
        <f t="shared" si="5"/>
        <v>7.573947525749432</v>
      </c>
      <c r="I29" s="15">
        <f t="shared" si="5"/>
        <v>7.58836167194913</v>
      </c>
      <c r="J29" s="15">
        <f t="shared" si="5"/>
        <v>7.6016402944491306</v>
      </c>
      <c r="K29" s="15">
        <f t="shared" si="5"/>
        <v>7.6149189169491294</v>
      </c>
      <c r="L29" s="15">
        <f t="shared" si="5"/>
        <v>7.6276905394494294</v>
      </c>
    </row>
    <row r="30" spans="1:13" x14ac:dyDescent="0.35">
      <c r="A30" t="s">
        <v>120</v>
      </c>
      <c r="B30" s="37">
        <f>1-B29</f>
        <v>0.5</v>
      </c>
      <c r="C30" s="15">
        <f>C26</f>
        <v>10.1</v>
      </c>
      <c r="D30" s="15">
        <f t="shared" si="5"/>
        <v>9.6205511600000158</v>
      </c>
      <c r="E30" s="15">
        <f t="shared" si="5"/>
        <v>8.9187212830003038</v>
      </c>
      <c r="F30" s="15">
        <f t="shared" si="5"/>
        <v>8.3881173217500162</v>
      </c>
      <c r="G30" s="15">
        <f t="shared" si="5"/>
        <v>7.9742849970000176</v>
      </c>
      <c r="H30" s="15">
        <f t="shared" si="5"/>
        <v>7.573947525749432</v>
      </c>
      <c r="I30" s="15">
        <f t="shared" si="5"/>
        <v>7.58836167194913</v>
      </c>
      <c r="J30" s="15">
        <f t="shared" si="5"/>
        <v>7.6016402944491306</v>
      </c>
      <c r="K30" s="15">
        <f t="shared" si="5"/>
        <v>7.6149189169491294</v>
      </c>
      <c r="L30" s="15">
        <f t="shared" si="5"/>
        <v>7.6276905394494294</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0.96665975399942705</v>
      </c>
      <c r="E31" s="15">
        <f>IF(E$22&lt;&gt;"",VLOOKUP(E29*1000000,'Powell-Elevation-Area'!$B$5:$D$689,3)*$B$18/1000000 + VLOOKUP(E30*1000000,'Mead-Elevation-Area'!$B$5:$D$676,3)*$C$18/1000000,"")</f>
        <v>0.92420792250057304</v>
      </c>
      <c r="F31" s="15">
        <f>IF(F$22&lt;&gt;"",VLOOKUP(F29*1000000,'Powell-Elevation-Area'!$B$5:$D$689,3)*$B$18/1000000 + VLOOKUP(F30*1000000,'Mead-Elevation-Area'!$B$5:$D$676,3)*$C$18/1000000,"")</f>
        <v>0.89066464949999991</v>
      </c>
      <c r="G31" s="15">
        <f>IF(G$22&lt;&gt;"",VLOOKUP(G29*1000000,'Powell-Elevation-Area'!$B$5:$D$689,3)*$B$18/1000000 + VLOOKUP(G30*1000000,'Mead-Elevation-Area'!$B$5:$D$676,3)*$C$18/1000000,"")</f>
        <v>0.86367494250117305</v>
      </c>
      <c r="H31" s="15">
        <f>IF(H$22&lt;&gt;"",VLOOKUP(H29*1000000,'Powell-Elevation-Area'!$B$5:$D$689,3)*$B$18/1000000 + VLOOKUP(H30*1000000,'Mead-Elevation-Area'!$B$5:$D$676,3)*$C$18/1000000,"")</f>
        <v>0.8381717076006</v>
      </c>
      <c r="I31" s="15">
        <f>IF(I$22&lt;&gt;"",VLOOKUP(I29*1000000,'Powell-Elevation-Area'!$B$5:$D$689,3)*$B$18/1000000 + VLOOKUP(I30*1000000,'Mead-Elevation-Area'!$B$5:$D$676,3)*$C$18/1000000,"")</f>
        <v>0.84044275499999999</v>
      </c>
      <c r="J31" s="15">
        <f>IF(J$22&lt;&gt;"",VLOOKUP(J29*1000000,'Powell-Elevation-Area'!$B$5:$D$689,3)*$B$18/1000000 + VLOOKUP(J30*1000000,'Mead-Elevation-Area'!$B$5:$D$676,3)*$C$18/1000000,"")</f>
        <v>0.84044275499999999</v>
      </c>
      <c r="K31" s="15">
        <f>IF(K$22&lt;&gt;"",VLOOKUP(K29*1000000,'Powell-Elevation-Area'!$B$5:$D$689,3)*$B$18/1000000 + VLOOKUP(K30*1000000,'Mead-Elevation-Area'!$B$5:$D$676,3)*$C$18/1000000,"")</f>
        <v>0.84145675499939998</v>
      </c>
      <c r="L31" s="15">
        <f>IF(L$22&lt;&gt;"",VLOOKUP(L29*1000000,'Powell-Elevation-Area'!$B$5:$D$689,3)*$B$18/1000000 + VLOOKUP(L30*1000000,'Mead-Elevation-Area'!$B$5:$D$676,3)*$C$18/1000000,"")</f>
        <v>0.84271374509882691</v>
      </c>
    </row>
    <row r="32" spans="1:13" x14ac:dyDescent="0.35">
      <c r="A32" t="s">
        <v>104</v>
      </c>
      <c r="B32" s="1"/>
      <c r="C32" s="15">
        <f>IF(C$22&lt;&gt;"",C$31*C25/C$24,"")</f>
        <v>0.5327428663506969</v>
      </c>
      <c r="D32" s="15">
        <f t="shared" ref="D32:L34" si="6">IF(D$22&lt;&gt;"",D$31*D25/D$24,"")</f>
        <v>0.45377438951600518</v>
      </c>
      <c r="E32" s="15">
        <f t="shared" si="6"/>
        <v>0.39603027628462861</v>
      </c>
      <c r="F32" s="15">
        <f t="shared" si="6"/>
        <v>0.35106075855309571</v>
      </c>
      <c r="G32" s="15">
        <f t="shared" si="6"/>
        <v>0.3371824874292001</v>
      </c>
      <c r="H32" s="15">
        <f t="shared" si="6"/>
        <v>0.3239283427473571</v>
      </c>
      <c r="I32" s="15">
        <f t="shared" si="6"/>
        <v>0.34872508189875112</v>
      </c>
      <c r="J32" s="15">
        <f t="shared" si="6"/>
        <v>0.3712383115321447</v>
      </c>
      <c r="K32" s="15">
        <f t="shared" si="6"/>
        <v>0.39290412678977132</v>
      </c>
      <c r="L32" s="15">
        <f t="shared" si="6"/>
        <v>0.41349742052758576</v>
      </c>
    </row>
    <row r="33" spans="1:13" x14ac:dyDescent="0.35">
      <c r="A33" t="s">
        <v>105</v>
      </c>
      <c r="B33" s="1"/>
      <c r="C33" s="15">
        <f>IF(C$22&lt;&gt;"",C$31*C26/C$24,"")</f>
        <v>0.48915481364927621</v>
      </c>
      <c r="D33" s="15">
        <f t="shared" si="6"/>
        <v>0.51288536448342181</v>
      </c>
      <c r="E33" s="15">
        <f t="shared" si="6"/>
        <v>0.52817764621594443</v>
      </c>
      <c r="F33" s="15">
        <f t="shared" si="6"/>
        <v>0.53960389094690431</v>
      </c>
      <c r="G33" s="15">
        <f t="shared" si="6"/>
        <v>0.52649245507197284</v>
      </c>
      <c r="H33" s="15">
        <f t="shared" si="6"/>
        <v>0.51424336485324285</v>
      </c>
      <c r="I33" s="15">
        <f t="shared" si="6"/>
        <v>0.49171767310124892</v>
      </c>
      <c r="J33" s="15">
        <f t="shared" si="6"/>
        <v>0.46920444346785528</v>
      </c>
      <c r="K33" s="15">
        <f t="shared" si="6"/>
        <v>0.44855262820962866</v>
      </c>
      <c r="L33" s="15">
        <f t="shared" si="6"/>
        <v>0.42921632457124115</v>
      </c>
    </row>
    <row r="34" spans="1:13" x14ac:dyDescent="0.35">
      <c r="A34" t="s">
        <v>106</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124</v>
      </c>
      <c r="B35" s="1"/>
      <c r="C35" s="45">
        <f>IF(C22&lt;&gt;"",1.5-IF(C$26&lt;$O$51,$Q$51,IF(C$26&lt;=$O$58,VLOOKUP(C$26,$O$51:$Q$58,3),0)),"")</f>
        <v>1.47</v>
      </c>
      <c r="D35" s="45">
        <f t="shared" ref="D35:L35" si="7">IF(D22&lt;&gt;"",1.5-IF(D$26&lt;$O$51,$Q$51,IF(D$26&lt;=$O$58,VLOOKUP(D$26,$O$51:$Q$58,3),0)),"")</f>
        <v>1.47</v>
      </c>
      <c r="E35" s="45">
        <f t="shared" si="7"/>
        <v>1.47</v>
      </c>
      <c r="F35" s="45">
        <f t="shared" si="7"/>
        <v>1.47</v>
      </c>
      <c r="G35" s="45">
        <f t="shared" si="7"/>
        <v>1.47</v>
      </c>
      <c r="H35" s="45">
        <f t="shared" si="7"/>
        <v>1.466</v>
      </c>
      <c r="I35" s="45">
        <f t="shared" si="7"/>
        <v>1.466</v>
      </c>
      <c r="J35" s="45">
        <f t="shared" si="7"/>
        <v>1.466</v>
      </c>
      <c r="K35" s="45">
        <f t="shared" si="7"/>
        <v>1.466</v>
      </c>
      <c r="L35" s="45">
        <f t="shared" si="7"/>
        <v>1.466</v>
      </c>
    </row>
    <row r="36" spans="1:13" x14ac:dyDescent="0.35">
      <c r="A36" s="1" t="s">
        <v>139</v>
      </c>
      <c r="B36" s="1"/>
      <c r="C36" s="15">
        <f>IF(C$22&lt;&gt;"",C22-C35/2,"")</f>
        <v>10.265000000000001</v>
      </c>
      <c r="D36" s="15">
        <f t="shared" ref="D36:L36" si="8">IF(D$22&lt;&gt;"",D22-D35/2,"")</f>
        <v>10.265000000000001</v>
      </c>
      <c r="E36" s="15">
        <f t="shared" si="8"/>
        <v>10.265000000000001</v>
      </c>
      <c r="F36" s="15">
        <f t="shared" si="8"/>
        <v>10.265000000000001</v>
      </c>
      <c r="G36" s="15">
        <f t="shared" si="8"/>
        <v>10.265000000000001</v>
      </c>
      <c r="H36" s="15">
        <f t="shared" si="8"/>
        <v>10.266999999999999</v>
      </c>
      <c r="I36" s="15">
        <f t="shared" si="8"/>
        <v>10.266999999999999</v>
      </c>
      <c r="J36" s="15">
        <f t="shared" si="8"/>
        <v>10.266999999999999</v>
      </c>
      <c r="K36" s="15">
        <f t="shared" si="8"/>
        <v>10.266999999999999</v>
      </c>
      <c r="L36" s="15">
        <f t="shared" si="8"/>
        <v>10.266999999999999</v>
      </c>
    </row>
    <row r="37" spans="1:13" x14ac:dyDescent="0.35">
      <c r="A37" t="s">
        <v>0</v>
      </c>
      <c r="B37" s="25"/>
      <c r="C37" s="15">
        <f>IF(C22&lt;&gt;"",MAX(0,C36-C38),"")</f>
        <v>2.7650000000000006</v>
      </c>
      <c r="D37" s="15">
        <f t="shared" ref="D37:L37" si="9">IF(D22&lt;&gt;"",MAX(0,D36-D38),"")</f>
        <v>2.7650000000000006</v>
      </c>
      <c r="E37" s="15">
        <f t="shared" si="9"/>
        <v>2.7650000000000006</v>
      </c>
      <c r="F37" s="15">
        <f t="shared" si="9"/>
        <v>2.7650000000000006</v>
      </c>
      <c r="G37" s="15">
        <f t="shared" si="9"/>
        <v>2.7650000000000006</v>
      </c>
      <c r="H37" s="15">
        <f t="shared" si="9"/>
        <v>2.7669999999999995</v>
      </c>
      <c r="I37" s="15">
        <f t="shared" si="9"/>
        <v>2.7669999999999995</v>
      </c>
      <c r="J37" s="15">
        <f t="shared" si="9"/>
        <v>2.7669999999999995</v>
      </c>
      <c r="K37" s="15">
        <f t="shared" si="9"/>
        <v>2.7669999999999995</v>
      </c>
      <c r="L37" s="15">
        <f t="shared" si="9"/>
        <v>2.7669999999999995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109</v>
      </c>
      <c r="C39"/>
    </row>
    <row r="40" spans="1:13" x14ac:dyDescent="0.35">
      <c r="A40" s="33" t="s">
        <v>107</v>
      </c>
      <c r="B40" s="1"/>
      <c r="C40" s="26">
        <v>0.5</v>
      </c>
      <c r="D40" s="26">
        <v>0.4</v>
      </c>
      <c r="E40" s="26">
        <v>0.4</v>
      </c>
      <c r="F40" s="26"/>
      <c r="G40" s="26"/>
      <c r="H40" s="26"/>
      <c r="I40" s="26"/>
      <c r="J40" s="26"/>
      <c r="K40" s="26"/>
      <c r="L40" s="26"/>
    </row>
    <row r="41" spans="1:13" x14ac:dyDescent="0.35">
      <c r="A41" s="33" t="s">
        <v>108</v>
      </c>
      <c r="B41" s="1"/>
      <c r="C41" s="32">
        <f>350*C40</f>
        <v>175</v>
      </c>
      <c r="D41" s="32">
        <f>350*D40</f>
        <v>140</v>
      </c>
      <c r="E41" s="32">
        <f t="shared" ref="E41:G41" si="11">350*E40</f>
        <v>140</v>
      </c>
      <c r="F41" s="32">
        <f t="shared" si="11"/>
        <v>0</v>
      </c>
      <c r="G41" s="32">
        <f t="shared" si="11"/>
        <v>0</v>
      </c>
      <c r="H41" s="32"/>
      <c r="I41" s="32"/>
      <c r="J41" s="32"/>
      <c r="K41" s="32"/>
      <c r="L41" s="32"/>
      <c r="M41" s="34">
        <f>SUM(C41:L41)</f>
        <v>455</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12.732257133649304</v>
      </c>
      <c r="D45" s="15">
        <f t="shared" ref="D45:L45" si="12">IF(D$22&lt;&gt;"",D25+D37-D32-D40,"")</f>
        <v>10.943482744133298</v>
      </c>
      <c r="E45" s="15">
        <f t="shared" si="12"/>
        <v>9.6124524678486694</v>
      </c>
      <c r="F45" s="15">
        <f>IF(F$22&lt;&gt;"",F25+F37-F32-F40,"")</f>
        <v>9.0263917092955737</v>
      </c>
      <c r="G45" s="15">
        <f t="shared" si="12"/>
        <v>8.654209221866374</v>
      </c>
      <c r="H45" s="15">
        <f t="shared" si="12"/>
        <v>8.2972808791190165</v>
      </c>
      <c r="I45" s="15">
        <f t="shared" si="12"/>
        <v>8.7155557972202651</v>
      </c>
      <c r="J45" s="15">
        <f t="shared" si="12"/>
        <v>9.1113174856881205</v>
      </c>
      <c r="K45" s="15">
        <f t="shared" si="12"/>
        <v>9.4854133588983487</v>
      </c>
      <c r="L45" s="15">
        <f t="shared" si="12"/>
        <v>9.8389159383707625</v>
      </c>
    </row>
    <row r="46" spans="1:13" x14ac:dyDescent="0.35">
      <c r="A46" t="s">
        <v>3</v>
      </c>
      <c r="C46" s="15">
        <f>IF(C$22&lt;&gt;"",C26+C38-C33+C40+C42+C23-C35/2,"")</f>
        <v>17.675845186350728</v>
      </c>
      <c r="D46" s="15">
        <f t="shared" ref="D46:L46" si="13">IF(D$22&lt;&gt;"",D26+D38-D33+D40+D42+D23-D35/2,"")</f>
        <v>17.660959821867309</v>
      </c>
      <c r="E46" s="15">
        <f t="shared" si="13"/>
        <v>17.630782175651365</v>
      </c>
      <c r="F46" s="15">
        <f t="shared" si="13"/>
        <v>17.189178284704461</v>
      </c>
      <c r="G46" s="15">
        <f t="shared" si="13"/>
        <v>16.760685829632489</v>
      </c>
      <c r="H46" s="15">
        <f t="shared" si="13"/>
        <v>16.346442464779244</v>
      </c>
      <c r="I46" s="15">
        <f t="shared" si="13"/>
        <v>15.954724791677997</v>
      </c>
      <c r="J46" s="15">
        <f t="shared" si="13"/>
        <v>15.585520348210139</v>
      </c>
      <c r="K46" s="15">
        <f t="shared" si="13"/>
        <v>15.236967720000509</v>
      </c>
      <c r="L46" s="15">
        <f t="shared" si="13"/>
        <v>14.907751395429269</v>
      </c>
    </row>
    <row r="47" spans="1:13" x14ac:dyDescent="0.35">
      <c r="A47" t="s">
        <v>4</v>
      </c>
      <c r="C47" s="15">
        <f>IF(C$22&lt;&gt;"",C27+C35-C34-C42,"")</f>
        <v>1.47</v>
      </c>
      <c r="D47" s="15">
        <f t="shared" ref="D47:L47" si="14">IF(D$22&lt;&gt;"",D27+D35-D34-D42,"")</f>
        <v>1.47</v>
      </c>
      <c r="E47" s="15">
        <f t="shared" si="14"/>
        <v>1.47</v>
      </c>
      <c r="F47" s="15">
        <f t="shared" si="14"/>
        <v>1.47</v>
      </c>
      <c r="G47" s="15">
        <f t="shared" si="14"/>
        <v>1.47</v>
      </c>
      <c r="H47" s="15">
        <f t="shared" si="14"/>
        <v>1.466</v>
      </c>
      <c r="I47" s="15">
        <f t="shared" si="14"/>
        <v>1.466</v>
      </c>
      <c r="J47" s="15">
        <f t="shared" si="14"/>
        <v>1.466</v>
      </c>
      <c r="K47" s="15">
        <f t="shared" si="14"/>
        <v>1.466</v>
      </c>
      <c r="L47" s="15">
        <f t="shared" si="14"/>
        <v>1.466</v>
      </c>
    </row>
    <row r="48" spans="1:13" x14ac:dyDescent="0.35">
      <c r="A48" s="1" t="s">
        <v>140</v>
      </c>
      <c r="B48" s="1"/>
      <c r="C48" s="30"/>
      <c r="D48" s="2"/>
      <c r="E48" s="2"/>
      <c r="F48" s="2"/>
      <c r="G48" s="2"/>
      <c r="H48" s="2"/>
      <c r="I48" s="2"/>
      <c r="J48" s="2"/>
      <c r="K48" s="2"/>
      <c r="L48" s="2"/>
    </row>
    <row r="49" spans="1:20" x14ac:dyDescent="0.35">
      <c r="A49" t="s">
        <v>141</v>
      </c>
      <c r="C49" s="45">
        <v>3.7</v>
      </c>
      <c r="D49" s="45">
        <v>3.3</v>
      </c>
      <c r="E49" s="45">
        <v>3</v>
      </c>
      <c r="F49" s="45">
        <v>2.8</v>
      </c>
      <c r="G49" s="45">
        <v>2.8</v>
      </c>
      <c r="H49" s="26">
        <v>2</v>
      </c>
      <c r="I49" s="26">
        <v>2</v>
      </c>
      <c r="J49" s="26">
        <v>2</v>
      </c>
      <c r="K49" s="26">
        <v>2</v>
      </c>
      <c r="L49" s="26">
        <v>2</v>
      </c>
      <c r="N49" s="1" t="s">
        <v>133</v>
      </c>
    </row>
    <row r="50" spans="1:20" x14ac:dyDescent="0.35">
      <c r="A50" t="s">
        <v>142</v>
      </c>
      <c r="C50" s="45">
        <f>7.5-IF(C26&lt;$O$51,$P$51,IF(C26&lt;=$O$58,VLOOKUP(C26,$O$51:$P$58,2),0))</f>
        <v>6.867</v>
      </c>
      <c r="D50" s="45">
        <f>C50</f>
        <v>6.867</v>
      </c>
      <c r="E50" s="45">
        <f t="shared" ref="E50:L50" si="15">D50</f>
        <v>6.867</v>
      </c>
      <c r="F50" s="45">
        <f t="shared" si="15"/>
        <v>6.867</v>
      </c>
      <c r="G50" s="45">
        <f t="shared" si="15"/>
        <v>6.867</v>
      </c>
      <c r="H50" s="45">
        <f t="shared" si="15"/>
        <v>6.867</v>
      </c>
      <c r="I50" s="45">
        <f t="shared" si="15"/>
        <v>6.867</v>
      </c>
      <c r="J50" s="45">
        <f t="shared" si="15"/>
        <v>6.867</v>
      </c>
      <c r="K50" s="45">
        <f t="shared" si="15"/>
        <v>6.867</v>
      </c>
      <c r="L50" s="45">
        <f t="shared" si="15"/>
        <v>6.867</v>
      </c>
      <c r="N50" s="39" t="s">
        <v>134</v>
      </c>
      <c r="O50" s="39" t="s">
        <v>135</v>
      </c>
      <c r="P50" s="40" t="s">
        <v>136</v>
      </c>
      <c r="Q50" s="61" t="s">
        <v>175</v>
      </c>
      <c r="R50" s="39" t="s">
        <v>138</v>
      </c>
      <c r="S50" s="59" t="s">
        <v>174</v>
      </c>
      <c r="T50" s="59" t="s">
        <v>176</v>
      </c>
    </row>
    <row r="51" spans="1:20" x14ac:dyDescent="0.35">
      <c r="A51" t="s">
        <v>143</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R51-Q51</f>
        <v>1.2000000000000002</v>
      </c>
      <c r="Q51" s="57">
        <v>0.15</v>
      </c>
      <c r="R51" s="43">
        <f t="shared" ref="R51:R58" si="17">T51/1000000</f>
        <v>1.35</v>
      </c>
      <c r="S51" s="44">
        <v>0.125</v>
      </c>
      <c r="T51" s="60">
        <v>1350000</v>
      </c>
    </row>
    <row r="52" spans="1:20" x14ac:dyDescent="0.35">
      <c r="A52" t="s">
        <v>144</v>
      </c>
      <c r="C52" s="58">
        <f>IF(C22&lt;&gt;"",C35,"")</f>
        <v>1.47</v>
      </c>
      <c r="D52" s="58">
        <f t="shared" ref="D52:L52" si="18">IF(D22&lt;&gt;"",D35,"")</f>
        <v>1.47</v>
      </c>
      <c r="E52" s="58">
        <f t="shared" si="18"/>
        <v>1.47</v>
      </c>
      <c r="F52" s="58">
        <f t="shared" si="18"/>
        <v>1.47</v>
      </c>
      <c r="G52" s="58">
        <f t="shared" si="18"/>
        <v>1.47</v>
      </c>
      <c r="H52" s="45">
        <f t="shared" si="18"/>
        <v>1.466</v>
      </c>
      <c r="I52" s="45">
        <f t="shared" si="18"/>
        <v>1.466</v>
      </c>
      <c r="J52" s="45">
        <f t="shared" si="18"/>
        <v>1.466</v>
      </c>
      <c r="K52" s="45">
        <f t="shared" si="18"/>
        <v>1.466</v>
      </c>
      <c r="L52" s="45">
        <f t="shared" si="18"/>
        <v>1.466</v>
      </c>
      <c r="N52" s="41">
        <v>1030</v>
      </c>
      <c r="O52" s="42">
        <v>6.305377</v>
      </c>
      <c r="P52" s="43">
        <f t="shared" ref="P52:P58" si="19">R52-Q52</f>
        <v>1.117</v>
      </c>
      <c r="Q52" s="57">
        <v>0.10100000000000001</v>
      </c>
      <c r="R52" s="43">
        <f t="shared" si="17"/>
        <v>1.218</v>
      </c>
      <c r="S52" s="44">
        <v>7.0000000000000007E-2</v>
      </c>
      <c r="T52" s="60">
        <v>1218000</v>
      </c>
    </row>
    <row r="53" spans="1:20" x14ac:dyDescent="0.35">
      <c r="A53" s="1" t="s">
        <v>145</v>
      </c>
      <c r="B53" s="1"/>
      <c r="D53" s="2"/>
      <c r="E53" s="2"/>
      <c r="F53" s="2"/>
      <c r="G53" s="2"/>
      <c r="H53" s="2"/>
      <c r="I53" s="2"/>
      <c r="J53" s="2"/>
      <c r="K53" s="2"/>
      <c r="L53" s="2"/>
      <c r="N53" s="41">
        <v>1035</v>
      </c>
      <c r="O53" s="42">
        <v>6.6375080000000004</v>
      </c>
      <c r="P53" s="43">
        <f t="shared" si="19"/>
        <v>1.0669999999999999</v>
      </c>
      <c r="Q53" s="57">
        <v>9.1999999999999998E-2</v>
      </c>
      <c r="R53" s="43">
        <f t="shared" si="17"/>
        <v>1.159</v>
      </c>
      <c r="S53" s="44">
        <v>7.0000000000000007E-2</v>
      </c>
      <c r="T53" s="60">
        <v>1159000</v>
      </c>
    </row>
    <row r="54" spans="1:20" x14ac:dyDescent="0.35">
      <c r="A54" t="s">
        <v>2</v>
      </c>
      <c r="C54" s="15">
        <f>IF(C$22&lt;&gt;"",C45-C49,"")</f>
        <v>9.0322571336493027</v>
      </c>
      <c r="D54" s="15">
        <f t="shared" ref="D54:L54" si="20">IF(D$22&lt;&gt;"",D45-D49,"")</f>
        <v>7.6434827441332986</v>
      </c>
      <c r="E54" s="15">
        <f t="shared" si="20"/>
        <v>6.6124524678486694</v>
      </c>
      <c r="F54" s="15">
        <f t="shared" si="20"/>
        <v>6.2263917092955738</v>
      </c>
      <c r="G54" s="15">
        <f t="shared" si="20"/>
        <v>5.8542092218663742</v>
      </c>
      <c r="H54" s="15">
        <f t="shared" si="20"/>
        <v>6.2972808791190165</v>
      </c>
      <c r="I54" s="15">
        <f t="shared" si="20"/>
        <v>6.7155557972202651</v>
      </c>
      <c r="J54" s="15">
        <f t="shared" si="20"/>
        <v>7.1113174856881205</v>
      </c>
      <c r="K54" s="15">
        <f t="shared" si="20"/>
        <v>7.4854133588983487</v>
      </c>
      <c r="L54" s="15">
        <f t="shared" si="20"/>
        <v>7.8389159383707625</v>
      </c>
      <c r="N54" s="41">
        <v>1040</v>
      </c>
      <c r="O54" s="42">
        <v>6.977665</v>
      </c>
      <c r="P54" s="43">
        <f t="shared" si="19"/>
        <v>1.0169999999999999</v>
      </c>
      <c r="Q54" s="57">
        <v>8.4000000000000005E-2</v>
      </c>
      <c r="R54" s="43">
        <f t="shared" si="17"/>
        <v>1.101</v>
      </c>
      <c r="S54" s="44">
        <v>7.0000000000000007E-2</v>
      </c>
      <c r="T54" s="60">
        <v>1101000</v>
      </c>
    </row>
    <row r="55" spans="1:20" x14ac:dyDescent="0.35">
      <c r="A55" t="s">
        <v>3</v>
      </c>
      <c r="C55" s="15">
        <f>IF(C$22&lt;&gt;"",C46-C50-C51,"")</f>
        <v>10.208845186350727</v>
      </c>
      <c r="D55" s="15">
        <f t="shared" ref="D55:L55" si="21">IF(D$22&lt;&gt;"",D46-D50-D51,"")</f>
        <v>10.193959821867308</v>
      </c>
      <c r="E55" s="15">
        <f t="shared" si="21"/>
        <v>10.163782175651365</v>
      </c>
      <c r="F55" s="15">
        <f t="shared" si="21"/>
        <v>9.7221782847044604</v>
      </c>
      <c r="G55" s="15">
        <f t="shared" si="21"/>
        <v>9.2936858296324889</v>
      </c>
      <c r="H55" s="15">
        <f t="shared" si="21"/>
        <v>8.8794424647792436</v>
      </c>
      <c r="I55" s="15">
        <f t="shared" si="21"/>
        <v>8.4877247916779961</v>
      </c>
      <c r="J55" s="15">
        <f t="shared" si="21"/>
        <v>8.1185203482101382</v>
      </c>
      <c r="K55" s="15">
        <f t="shared" si="21"/>
        <v>7.7699677200005102</v>
      </c>
      <c r="L55" s="15">
        <f t="shared" si="21"/>
        <v>7.4407513954292686</v>
      </c>
      <c r="N55" s="41">
        <v>1045</v>
      </c>
      <c r="O55" s="42">
        <v>7.3260519999999998</v>
      </c>
      <c r="P55" s="43">
        <f t="shared" si="19"/>
        <v>0.96699999999999997</v>
      </c>
      <c r="Q55" s="57">
        <v>7.5999999999999998E-2</v>
      </c>
      <c r="R55" s="43">
        <f t="shared" si="17"/>
        <v>1.0429999999999999</v>
      </c>
      <c r="S55" s="44">
        <v>7.0000000000000007E-2</v>
      </c>
      <c r="T55" s="60">
        <v>1043000</v>
      </c>
    </row>
    <row r="56" spans="1:20"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9"/>
        <v>0.71699999999999997</v>
      </c>
      <c r="Q56" s="57">
        <v>3.4000000000000002E-2</v>
      </c>
      <c r="R56" s="43">
        <f t="shared" si="17"/>
        <v>0.751</v>
      </c>
      <c r="S56" s="44">
        <v>7.0000000000000007E-2</v>
      </c>
      <c r="T56" s="60">
        <v>751000</v>
      </c>
    </row>
    <row r="57" spans="1:20" x14ac:dyDescent="0.35">
      <c r="A57" s="1" t="s">
        <v>129</v>
      </c>
      <c r="B57" s="1"/>
      <c r="C57" s="15">
        <f>IF(C$22&lt;&gt;"",SUM(C54:C56),"")</f>
        <v>19.241102320000032</v>
      </c>
      <c r="D57" s="15">
        <f t="shared" ref="D57:L57" si="23">IF(D$22&lt;&gt;"",SUM(D54:D56),"")</f>
        <v>17.837442566000608</v>
      </c>
      <c r="E57" s="15">
        <f t="shared" si="23"/>
        <v>16.776234643500032</v>
      </c>
      <c r="F57" s="15">
        <f t="shared" si="23"/>
        <v>15.948569994000035</v>
      </c>
      <c r="G57" s="15">
        <f t="shared" si="23"/>
        <v>15.147895051498864</v>
      </c>
      <c r="H57" s="15">
        <f t="shared" si="23"/>
        <v>15.17672334389826</v>
      </c>
      <c r="I57" s="15">
        <f t="shared" si="23"/>
        <v>15.203280588898261</v>
      </c>
      <c r="J57" s="15">
        <f t="shared" si="23"/>
        <v>15.229837833898259</v>
      </c>
      <c r="K57" s="15">
        <f t="shared" si="23"/>
        <v>15.255381078898859</v>
      </c>
      <c r="L57" s="15">
        <f t="shared" si="23"/>
        <v>15.279667333800031</v>
      </c>
      <c r="N57" s="41">
        <v>1075</v>
      </c>
      <c r="O57" s="42">
        <v>9.6009879999900001</v>
      </c>
      <c r="P57" s="43">
        <f t="shared" si="19"/>
        <v>0.63300000000000001</v>
      </c>
      <c r="Q57" s="57">
        <v>0.03</v>
      </c>
      <c r="R57" s="43">
        <f t="shared" si="17"/>
        <v>0.66300000000000003</v>
      </c>
      <c r="S57" s="44">
        <v>0.05</v>
      </c>
      <c r="T57" s="60">
        <v>663000</v>
      </c>
    </row>
    <row r="58" spans="1:20" x14ac:dyDescent="0.35">
      <c r="A58" s="1" t="s">
        <v>152</v>
      </c>
      <c r="B58" s="1"/>
      <c r="C58" s="15">
        <f>IF(C22&lt;&gt;"",C29+C22-C32-C49-C57*$B$29,"")</f>
        <v>8.1467059736492864</v>
      </c>
      <c r="D58" s="15">
        <f t="shared" ref="D58:L58" si="24">IF(D22&lt;&gt;"",D29+D22-D32-D49-D57*$B$29,"")</f>
        <v>7.9480554874837051</v>
      </c>
      <c r="E58" s="15">
        <f t="shared" si="24"/>
        <v>8.1345736849656589</v>
      </c>
      <c r="F58" s="15">
        <f t="shared" si="24"/>
        <v>8.2627715661969017</v>
      </c>
      <c r="G58" s="15">
        <f t="shared" si="24"/>
        <v>8.2631549838213871</v>
      </c>
      <c r="H58" s="15">
        <f t="shared" si="24"/>
        <v>8.6616575110529439</v>
      </c>
      <c r="I58" s="15">
        <f t="shared" si="24"/>
        <v>8.6379962956012477</v>
      </c>
      <c r="J58" s="15">
        <f t="shared" si="24"/>
        <v>8.6154830659678545</v>
      </c>
      <c r="K58" s="15">
        <f t="shared" si="24"/>
        <v>8.5943242507099278</v>
      </c>
      <c r="L58" s="15">
        <f t="shared" si="24"/>
        <v>8.5743594520218256</v>
      </c>
      <c r="N58" s="41">
        <v>1090</v>
      </c>
      <c r="O58" s="42">
        <v>10.857008</v>
      </c>
      <c r="P58" s="43">
        <f t="shared" si="19"/>
        <v>0.30000000000000004</v>
      </c>
      <c r="Q58" s="57">
        <v>4.1000000000000002E-2</v>
      </c>
      <c r="R58" s="43">
        <f t="shared" si="17"/>
        <v>0.34100000000000003</v>
      </c>
      <c r="S58" s="40"/>
      <c r="T58" s="60">
        <v>341000</v>
      </c>
    </row>
    <row r="59" spans="1:20" x14ac:dyDescent="0.35">
      <c r="C59" s="30"/>
      <c r="D59" s="30"/>
      <c r="E59" s="30"/>
      <c r="F59" s="30"/>
      <c r="G59" s="30"/>
    </row>
    <row r="60" spans="1:20" x14ac:dyDescent="0.35">
      <c r="A60" s="1" t="s">
        <v>131</v>
      </c>
      <c r="C60" s="12">
        <f>IF(C$22&lt;&gt;"",0.2,"")</f>
        <v>0.2</v>
      </c>
      <c r="D60" s="12">
        <f t="shared" ref="D60:L60" si="25">IF(D$22&lt;&gt;"",0.2,"")</f>
        <v>0.2</v>
      </c>
      <c r="E60" s="12">
        <f t="shared" si="25"/>
        <v>0.2</v>
      </c>
      <c r="F60" s="12">
        <f t="shared" si="25"/>
        <v>0.2</v>
      </c>
      <c r="G60" s="12">
        <f t="shared" si="25"/>
        <v>0.2</v>
      </c>
      <c r="H60" s="12">
        <f t="shared" si="25"/>
        <v>0.2</v>
      </c>
      <c r="I60" s="12">
        <f t="shared" si="25"/>
        <v>0.2</v>
      </c>
      <c r="J60" s="12">
        <f t="shared" si="25"/>
        <v>0.2</v>
      </c>
      <c r="K60" s="12">
        <f t="shared" si="25"/>
        <v>0.2</v>
      </c>
      <c r="L60" s="12">
        <f t="shared" si="25"/>
        <v>0.2</v>
      </c>
    </row>
    <row r="61" spans="1:20" x14ac:dyDescent="0.35">
      <c r="A61" t="s">
        <v>132</v>
      </c>
      <c r="C61" s="15">
        <f t="shared" ref="C61:L61" si="26">IF(C$22&lt;&gt;"",C50+C60,"")</f>
        <v>7.0670000000000002</v>
      </c>
      <c r="D61" s="15">
        <f t="shared" si="26"/>
        <v>7.0670000000000002</v>
      </c>
      <c r="E61" s="15">
        <f t="shared" si="26"/>
        <v>7.0670000000000002</v>
      </c>
      <c r="F61" s="15">
        <f t="shared" si="26"/>
        <v>7.0670000000000002</v>
      </c>
      <c r="G61" s="15">
        <f t="shared" si="26"/>
        <v>7.0670000000000002</v>
      </c>
      <c r="H61" s="15">
        <f t="shared" si="26"/>
        <v>7.0670000000000002</v>
      </c>
      <c r="I61" s="15">
        <f t="shared" si="26"/>
        <v>7.0670000000000002</v>
      </c>
      <c r="J61" s="15">
        <f t="shared" si="26"/>
        <v>7.0670000000000002</v>
      </c>
      <c r="K61" s="15">
        <f t="shared" si="26"/>
        <v>7.0670000000000002</v>
      </c>
      <c r="L61" s="15">
        <f t="shared" si="26"/>
        <v>7.0670000000000002</v>
      </c>
    </row>
    <row r="63" spans="1:20" x14ac:dyDescent="0.35">
      <c r="D63" s="19"/>
    </row>
  </sheetData>
  <mergeCells count="4">
    <mergeCell ref="C5:H5"/>
    <mergeCell ref="C6:H6"/>
    <mergeCell ref="C7:H7"/>
    <mergeCell ref="C8:H8"/>
  </mergeCells>
  <conditionalFormatting sqref="C49:L49">
    <cfRule type="cellIs" dxfId="60" priority="32" operator="greaterThan">
      <formula>$C$45</formula>
    </cfRule>
  </conditionalFormatting>
  <conditionalFormatting sqref="C49:F49">
    <cfRule type="cellIs" dxfId="59" priority="31" operator="greaterThan">
      <formula>$C$45</formula>
    </cfRule>
  </conditionalFormatting>
  <conditionalFormatting sqref="E49:F49">
    <cfRule type="cellIs" dxfId="58" priority="30" operator="greaterThan">
      <formula>$E$45</formula>
    </cfRule>
  </conditionalFormatting>
  <conditionalFormatting sqref="D49:F49">
    <cfRule type="cellIs" dxfId="57" priority="29" operator="greaterThan">
      <formula>$D$45</formula>
    </cfRule>
  </conditionalFormatting>
  <conditionalFormatting sqref="F49">
    <cfRule type="cellIs" dxfId="56" priority="28" operator="greaterThan">
      <formula>$F$45</formula>
    </cfRule>
  </conditionalFormatting>
  <conditionalFormatting sqref="G49">
    <cfRule type="cellIs" dxfId="55" priority="27" operator="greaterThan">
      <formula>$G$45</formula>
    </cfRule>
  </conditionalFormatting>
  <conditionalFormatting sqref="H49">
    <cfRule type="cellIs" dxfId="54" priority="26" operator="greaterThan">
      <formula>$H$45</formula>
    </cfRule>
  </conditionalFormatting>
  <conditionalFormatting sqref="I49">
    <cfRule type="cellIs" dxfId="53" priority="25" operator="greaterThan">
      <formula>$I$45</formula>
    </cfRule>
  </conditionalFormatting>
  <conditionalFormatting sqref="J49">
    <cfRule type="cellIs" dxfId="52" priority="24" operator="greaterThan">
      <formula>$J$45</formula>
    </cfRule>
  </conditionalFormatting>
  <conditionalFormatting sqref="K49">
    <cfRule type="cellIs" dxfId="51" priority="23" operator="greaterThan">
      <formula>$K$45</formula>
    </cfRule>
  </conditionalFormatting>
  <conditionalFormatting sqref="L49">
    <cfRule type="cellIs" dxfId="50" priority="22" operator="greaterThan">
      <formula>$L$45</formula>
    </cfRule>
  </conditionalFormatting>
  <conditionalFormatting sqref="C50">
    <cfRule type="cellIs" dxfId="49" priority="21" operator="greaterThan">
      <formula>$C$46</formula>
    </cfRule>
  </conditionalFormatting>
  <conditionalFormatting sqref="D50:L50">
    <cfRule type="cellIs" dxfId="48" priority="20" operator="greaterThan">
      <formula>$D$46</formula>
    </cfRule>
  </conditionalFormatting>
  <conditionalFormatting sqref="E50">
    <cfRule type="cellIs" dxfId="47" priority="19" operator="greaterThan">
      <formula>$E$46</formula>
    </cfRule>
  </conditionalFormatting>
  <conditionalFormatting sqref="F50">
    <cfRule type="cellIs" dxfId="46" priority="18" operator="greaterThan">
      <formula>$F$46</formula>
    </cfRule>
  </conditionalFormatting>
  <conditionalFormatting sqref="G50">
    <cfRule type="cellIs" dxfId="45" priority="16" operator="greaterThan">
      <formula>$G$46</formula>
    </cfRule>
    <cfRule type="cellIs" dxfId="44" priority="17" operator="greaterThan">
      <formula>$G$46</formula>
    </cfRule>
  </conditionalFormatting>
  <conditionalFormatting sqref="H50">
    <cfRule type="cellIs" dxfId="43" priority="15" operator="greaterThan">
      <formula>$H$46</formula>
    </cfRule>
  </conditionalFormatting>
  <conditionalFormatting sqref="I50">
    <cfRule type="cellIs" dxfId="42" priority="14" operator="greaterThan">
      <formula>$I$46</formula>
    </cfRule>
  </conditionalFormatting>
  <conditionalFormatting sqref="J50">
    <cfRule type="cellIs" dxfId="41" priority="13" operator="greaterThan">
      <formula>$J$46</formula>
    </cfRule>
  </conditionalFormatting>
  <conditionalFormatting sqref="K50">
    <cfRule type="cellIs" dxfId="40" priority="12" operator="greaterThan">
      <formula>$K$46</formula>
    </cfRule>
  </conditionalFormatting>
  <conditionalFormatting sqref="L50">
    <cfRule type="cellIs" dxfId="39" priority="11" operator="greaterThan">
      <formula>$L$46</formula>
    </cfRule>
  </conditionalFormatting>
  <conditionalFormatting sqref="C52:L52">
    <cfRule type="cellIs" dxfId="38" priority="10" operator="greaterThan">
      <formula>$C$47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878AF-96FE-424D-B802-94EDCA32030C}">
  <dimension ref="A1:T63"/>
  <sheetViews>
    <sheetView topLeftCell="A46" zoomScale="150" zoomScaleNormal="150" workbookViewId="0">
      <selection activeCell="C49" sqref="C4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 min="20" max="20" width="10.0898437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73"/>
      <c r="D5" s="73"/>
      <c r="E5" s="73"/>
      <c r="F5" s="73"/>
      <c r="G5" s="73"/>
      <c r="H5" s="73"/>
    </row>
    <row r="6" spans="1:11" x14ac:dyDescent="0.35">
      <c r="A6" s="17" t="s">
        <v>41</v>
      </c>
      <c r="B6" s="50"/>
      <c r="C6" s="73"/>
      <c r="D6" s="73"/>
      <c r="E6" s="73"/>
      <c r="F6" s="73"/>
      <c r="G6" s="73"/>
      <c r="H6" s="73"/>
    </row>
    <row r="7" spans="1:11" x14ac:dyDescent="0.35">
      <c r="A7" s="17" t="s">
        <v>42</v>
      </c>
      <c r="B7" s="50"/>
      <c r="C7" s="73"/>
      <c r="D7" s="73"/>
      <c r="E7" s="73"/>
      <c r="F7" s="73"/>
      <c r="G7" s="73"/>
      <c r="H7" s="73"/>
    </row>
    <row r="8" spans="1:11" x14ac:dyDescent="0.35">
      <c r="A8" s="17" t="s">
        <v>43</v>
      </c>
      <c r="B8" s="50"/>
      <c r="C8" s="73"/>
      <c r="D8" s="73"/>
      <c r="E8" s="73"/>
      <c r="F8" s="73"/>
      <c r="G8" s="73"/>
      <c r="H8" s="7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146</v>
      </c>
    </row>
    <row r="19" spans="1:13" x14ac:dyDescent="0.35">
      <c r="A19" t="s">
        <v>149</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127</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130</v>
      </c>
      <c r="B24" s="1"/>
      <c r="C24" s="15">
        <f>IF(C$22&lt;&gt;"",SUM(C25:C27),"")</f>
        <v>21.1</v>
      </c>
      <c r="D24" s="15">
        <f>IF(D$22&lt;&gt;"",C57,"")</f>
        <v>18.741102320000032</v>
      </c>
      <c r="E24" s="15">
        <f t="shared" ref="E24:L24" si="3">IF(E$22&lt;&gt;"",D57,"")</f>
        <v>16.451893682999433</v>
      </c>
      <c r="F24" s="15">
        <f t="shared" si="3"/>
        <v>15.099334327777495</v>
      </c>
      <c r="G24" s="15">
        <f t="shared" si="3"/>
        <v>14.783776714372941</v>
      </c>
      <c r="H24" s="15">
        <f t="shared" si="3"/>
        <v>14.482109523151603</v>
      </c>
      <c r="I24" s="15">
        <f t="shared" si="3"/>
        <v>14.615358955652773</v>
      </c>
      <c r="J24" s="15">
        <f t="shared" si="3"/>
        <v>14.744072350651598</v>
      </c>
      <c r="K24" s="15">
        <f t="shared" si="3"/>
        <v>14.869500755552199</v>
      </c>
      <c r="L24" s="15">
        <f t="shared" si="3"/>
        <v>15.032393122952772</v>
      </c>
    </row>
    <row r="25" spans="1:13" x14ac:dyDescent="0.35">
      <c r="A25" t="s">
        <v>122</v>
      </c>
      <c r="C25" s="15">
        <f>IF(C$22&lt;&gt;"",$B$19,"")</f>
        <v>11</v>
      </c>
      <c r="D25" s="15">
        <f>IF(D22&lt;&gt;"",C54,"")</f>
        <v>9.0322571336493027</v>
      </c>
      <c r="E25" s="15">
        <f t="shared" ref="E25:L27" si="4">IF(E22&lt;&gt;"",D54,"")</f>
        <v>7.1383410513710048</v>
      </c>
      <c r="F25" s="15">
        <f t="shared" si="4"/>
        <v>6.1</v>
      </c>
      <c r="G25" s="15">
        <f t="shared" si="4"/>
        <v>6.1</v>
      </c>
      <c r="H25" s="15">
        <f t="shared" si="4"/>
        <v>6.1</v>
      </c>
      <c r="I25" s="15">
        <f t="shared" si="4"/>
        <v>6.5225558115502142</v>
      </c>
      <c r="J25" s="15">
        <f t="shared" si="4"/>
        <v>6.9225849906155759</v>
      </c>
      <c r="K25" s="15">
        <f t="shared" si="4"/>
        <v>7.3019655190751305</v>
      </c>
      <c r="L25" s="15">
        <f t="shared" si="4"/>
        <v>7.6823245760462395</v>
      </c>
    </row>
    <row r="26" spans="1:13" x14ac:dyDescent="0.35">
      <c r="A26" t="s">
        <v>123</v>
      </c>
      <c r="C26" s="15">
        <f>IF(C$22&lt;&gt;"",$C$19,"")</f>
        <v>10.1</v>
      </c>
      <c r="D26" s="15">
        <f>IF(D23&lt;&gt;"",C55,"")</f>
        <v>9.708845186350727</v>
      </c>
      <c r="E26" s="15">
        <f t="shared" si="4"/>
        <v>9.3135526316284274</v>
      </c>
      <c r="F26" s="15">
        <f t="shared" si="4"/>
        <v>8.9993343277774951</v>
      </c>
      <c r="G26" s="15">
        <f t="shared" si="4"/>
        <v>8.6837767143729412</v>
      </c>
      <c r="H26" s="15">
        <f t="shared" si="4"/>
        <v>8.3821095231516036</v>
      </c>
      <c r="I26" s="15">
        <f t="shared" si="4"/>
        <v>8.0928031441025592</v>
      </c>
      <c r="J26" s="15">
        <f t="shared" si="4"/>
        <v>7.8214873600360217</v>
      </c>
      <c r="K26" s="15">
        <f t="shared" si="4"/>
        <v>7.5675352364770685</v>
      </c>
      <c r="L26" s="15">
        <f t="shared" si="4"/>
        <v>7.3500685469065337</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121</v>
      </c>
      <c r="C28"/>
    </row>
    <row r="29" spans="1:13" x14ac:dyDescent="0.35">
      <c r="A29" t="s">
        <v>119</v>
      </c>
      <c r="B29" s="37">
        <v>0.5</v>
      </c>
      <c r="C29" s="15">
        <f>C25</f>
        <v>11</v>
      </c>
      <c r="D29" s="15">
        <f t="shared" ref="D29:L30" si="5">IF(D22&lt;&gt;"",$B29*D$24,"")</f>
        <v>9.3705511600000158</v>
      </c>
      <c r="E29" s="15">
        <f t="shared" si="5"/>
        <v>8.2259468414997166</v>
      </c>
      <c r="F29" s="15">
        <f t="shared" si="5"/>
        <v>7.5496671638887474</v>
      </c>
      <c r="G29" s="15">
        <f t="shared" si="5"/>
        <v>7.3918883571864704</v>
      </c>
      <c r="H29" s="15">
        <f t="shared" si="5"/>
        <v>7.2410547615758016</v>
      </c>
      <c r="I29" s="15">
        <f t="shared" si="5"/>
        <v>7.3076794778263867</v>
      </c>
      <c r="J29" s="15">
        <f t="shared" si="5"/>
        <v>7.3720361753257988</v>
      </c>
      <c r="K29" s="15">
        <f t="shared" si="5"/>
        <v>7.4347503777760995</v>
      </c>
      <c r="L29" s="15">
        <f t="shared" si="5"/>
        <v>7.5161965614763862</v>
      </c>
    </row>
    <row r="30" spans="1:13" x14ac:dyDescent="0.35">
      <c r="A30" t="s">
        <v>120</v>
      </c>
      <c r="B30" s="37">
        <f>1-B29</f>
        <v>0.5</v>
      </c>
      <c r="C30" s="15">
        <f>C26</f>
        <v>10.1</v>
      </c>
      <c r="D30" s="15">
        <f t="shared" si="5"/>
        <v>9.3705511600000158</v>
      </c>
      <c r="E30" s="15">
        <f t="shared" si="5"/>
        <v>8.2259468414997166</v>
      </c>
      <c r="F30" s="15">
        <f t="shared" si="5"/>
        <v>7.5496671638887474</v>
      </c>
      <c r="G30" s="15">
        <f t="shared" si="5"/>
        <v>7.3918883571864704</v>
      </c>
      <c r="H30" s="15">
        <f t="shared" si="5"/>
        <v>7.2410547615758016</v>
      </c>
      <c r="I30" s="15">
        <f t="shared" si="5"/>
        <v>7.3076794778263867</v>
      </c>
      <c r="J30" s="15">
        <f t="shared" si="5"/>
        <v>7.3720361753257988</v>
      </c>
      <c r="K30" s="15">
        <f t="shared" si="5"/>
        <v>7.4347503777760995</v>
      </c>
      <c r="L30" s="15">
        <f t="shared" si="5"/>
        <v>7.5161965614763862</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0.95220863700059999</v>
      </c>
      <c r="E31" s="15">
        <f>IF(E$22&lt;&gt;"",VLOOKUP(E29*1000000,'Powell-Elevation-Area'!$B$5:$D$689,3)*$B$18/1000000 + VLOOKUP(E30*1000000,'Mead-Elevation-Area'!$B$5:$D$676,3)*$C$18/1000000,"")</f>
        <v>0.8800760451006</v>
      </c>
      <c r="F31" s="15">
        <f>IF(F$22&lt;&gt;"",VLOOKUP(F29*1000000,'Powell-Elevation-Area'!$B$5:$D$689,3)*$B$18/1000000 + VLOOKUP(F30*1000000,'Mead-Elevation-Area'!$B$5:$D$676,3)*$C$18/1000000,"")</f>
        <v>0.8381717076006</v>
      </c>
      <c r="G31" s="15">
        <f>IF(G$22&lt;&gt;"",VLOOKUP(G29*1000000,'Powell-Elevation-Area'!$B$5:$D$689,3)*$B$18/1000000 + VLOOKUP(G30*1000000,'Mead-Elevation-Area'!$B$5:$D$676,3)*$C$18/1000000,"")</f>
        <v>0.82682864249940002</v>
      </c>
      <c r="H31" s="15">
        <f>IF(H$22&lt;&gt;"",VLOOKUP(H29*1000000,'Powell-Elevation-Area'!$B$5:$D$689,3)*$B$18/1000000 + VLOOKUP(H30*1000000,'Mead-Elevation-Area'!$B$5:$D$676,3)*$C$18/1000000,"")</f>
        <v>0.81775056749882702</v>
      </c>
      <c r="I31" s="15">
        <f>IF(I$22&lt;&gt;"",VLOOKUP(I29*1000000,'Powell-Elevation-Area'!$B$5:$D$689,3)*$B$18/1000000 + VLOOKUP(I30*1000000,'Mead-Elevation-Area'!$B$5:$D$676,3)*$C$18/1000000,"")</f>
        <v>0.82228660500117301</v>
      </c>
      <c r="J31" s="15">
        <f>IF(J$22&lt;&gt;"",VLOOKUP(J29*1000000,'Powell-Elevation-Area'!$B$5:$D$689,3)*$B$18/1000000 + VLOOKUP(J30*1000000,'Mead-Elevation-Area'!$B$5:$D$676,3)*$C$18/1000000,"")</f>
        <v>0.82557159509940004</v>
      </c>
      <c r="K31" s="15">
        <f>IF(K$22&lt;&gt;"",VLOOKUP(K29*1000000,'Powell-Elevation-Area'!$B$5:$D$689,3)*$B$18/1000000 + VLOOKUP(K30*1000000,'Mead-Elevation-Area'!$B$5:$D$676,3)*$C$18/1000000,"")</f>
        <v>0.83010763259942699</v>
      </c>
      <c r="L31" s="15">
        <f>IF(L$22&lt;&gt;"",VLOOKUP(L29*1000000,'Powell-Elevation-Area'!$B$5:$D$689,3)*$B$18/1000000 + VLOOKUP(L30*1000000,'Mead-Elevation-Area'!$B$5:$D$676,3)*$C$18/1000000,"")</f>
        <v>0.83590071750057304</v>
      </c>
    </row>
    <row r="32" spans="1:13" x14ac:dyDescent="0.35">
      <c r="A32" t="s">
        <v>104</v>
      </c>
      <c r="B32" s="1"/>
      <c r="C32" s="15">
        <f>IF(C$22&lt;&gt;"",C$31*C25/C$24,"")</f>
        <v>0.5327428663506969</v>
      </c>
      <c r="D32" s="15">
        <f t="shared" ref="D32:L34" si="6">IF(D$22&lt;&gt;"",D$31*D25/D$24,"")</f>
        <v>0.45891608227829866</v>
      </c>
      <c r="E32" s="15">
        <f t="shared" si="6"/>
        <v>0.38185774124966848</v>
      </c>
      <c r="F32" s="15">
        <f t="shared" si="6"/>
        <v>0.33861409419604732</v>
      </c>
      <c r="G32" s="15">
        <f t="shared" si="6"/>
        <v>0.34116145127806524</v>
      </c>
      <c r="H32" s="15">
        <f t="shared" si="6"/>
        <v>0.34444418844978414</v>
      </c>
      <c r="I32" s="15">
        <f t="shared" si="6"/>
        <v>0.36697082093463695</v>
      </c>
      <c r="J32" s="15">
        <f t="shared" si="6"/>
        <v>0.38761947154044546</v>
      </c>
      <c r="K32" s="15">
        <f t="shared" si="6"/>
        <v>0.40764094302889081</v>
      </c>
      <c r="L32" s="15">
        <f t="shared" si="6"/>
        <v>0.42718817773493323</v>
      </c>
    </row>
    <row r="33" spans="1:13" x14ac:dyDescent="0.35">
      <c r="A33" t="s">
        <v>105</v>
      </c>
      <c r="B33" s="1"/>
      <c r="C33" s="15">
        <f>IF(C$22&lt;&gt;"",C$31*C26/C$24,"")</f>
        <v>0.48915481364927621</v>
      </c>
      <c r="D33" s="15">
        <f t="shared" si="6"/>
        <v>0.49329255472230121</v>
      </c>
      <c r="E33" s="15">
        <f t="shared" si="6"/>
        <v>0.49821830385093147</v>
      </c>
      <c r="F33" s="15">
        <f t="shared" si="6"/>
        <v>0.49955761340455263</v>
      </c>
      <c r="G33" s="15">
        <f t="shared" si="6"/>
        <v>0.48566719122133478</v>
      </c>
      <c r="H33" s="15">
        <f t="shared" si="6"/>
        <v>0.47330637904904288</v>
      </c>
      <c r="I33" s="15">
        <f t="shared" si="6"/>
        <v>0.45531578406653606</v>
      </c>
      <c r="J33" s="15">
        <f t="shared" si="6"/>
        <v>0.43795212355895458</v>
      </c>
      <c r="K33" s="15">
        <f t="shared" si="6"/>
        <v>0.42246668957053618</v>
      </c>
      <c r="L33" s="15">
        <f t="shared" si="6"/>
        <v>0.40871253976563982</v>
      </c>
    </row>
    <row r="34" spans="1:13" x14ac:dyDescent="0.35">
      <c r="A34" t="s">
        <v>106</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124</v>
      </c>
      <c r="B35" s="1"/>
      <c r="C35" s="45">
        <f>IF(C22&lt;&gt;"",1.5-IF(C$26&lt;$O$51,$Q$51,IF(C$26&lt;=$O$58,VLOOKUP(C$26,$O$51:$Q$58,3),0)),"")</f>
        <v>1.47</v>
      </c>
      <c r="D35" s="45">
        <f t="shared" ref="D35:L35" si="7">IF(D22&lt;&gt;"",1.5-IF(D$26&lt;$O$51,$Q$51,IF(D$26&lt;=$O$58,VLOOKUP(D$26,$O$51:$Q$58,3),0)),"")</f>
        <v>1.47</v>
      </c>
      <c r="E35" s="45">
        <f t="shared" si="7"/>
        <v>1.466</v>
      </c>
      <c r="F35" s="45">
        <f t="shared" si="7"/>
        <v>1.466</v>
      </c>
      <c r="G35" s="45">
        <f t="shared" si="7"/>
        <v>1.466</v>
      </c>
      <c r="H35" s="45">
        <f t="shared" si="7"/>
        <v>1.466</v>
      </c>
      <c r="I35" s="45">
        <f t="shared" si="7"/>
        <v>1.466</v>
      </c>
      <c r="J35" s="45">
        <f t="shared" si="7"/>
        <v>1.466</v>
      </c>
      <c r="K35" s="45">
        <f t="shared" si="7"/>
        <v>1.4239999999999999</v>
      </c>
      <c r="L35" s="45">
        <f t="shared" si="7"/>
        <v>1.4239999999999999</v>
      </c>
    </row>
    <row r="36" spans="1:13" x14ac:dyDescent="0.35">
      <c r="A36" s="1" t="s">
        <v>139</v>
      </c>
      <c r="B36" s="1"/>
      <c r="C36" s="15">
        <f>IF(C$22&lt;&gt;"",C22-C35/2,"")</f>
        <v>10.265000000000001</v>
      </c>
      <c r="D36" s="15">
        <f t="shared" ref="D36:L36" si="8">IF(D$22&lt;&gt;"",D22-D35/2,"")</f>
        <v>10.265000000000001</v>
      </c>
      <c r="E36" s="15">
        <f t="shared" si="8"/>
        <v>10.266999999999999</v>
      </c>
      <c r="F36" s="15">
        <f t="shared" si="8"/>
        <v>10.266999999999999</v>
      </c>
      <c r="G36" s="15">
        <f t="shared" si="8"/>
        <v>10.266999999999999</v>
      </c>
      <c r="H36" s="15">
        <f t="shared" si="8"/>
        <v>10.266999999999999</v>
      </c>
      <c r="I36" s="15">
        <f t="shared" si="8"/>
        <v>10.266999999999999</v>
      </c>
      <c r="J36" s="15">
        <f t="shared" si="8"/>
        <v>10.266999999999999</v>
      </c>
      <c r="K36" s="15">
        <f t="shared" si="8"/>
        <v>10.288</v>
      </c>
      <c r="L36" s="15">
        <f t="shared" si="8"/>
        <v>10.288</v>
      </c>
    </row>
    <row r="37" spans="1:13" x14ac:dyDescent="0.35">
      <c r="A37" t="s">
        <v>0</v>
      </c>
      <c r="B37" s="25"/>
      <c r="C37" s="15">
        <f>IF(C22&lt;&gt;"",MAX(0,C36-C38),"")</f>
        <v>2.7650000000000006</v>
      </c>
      <c r="D37" s="15">
        <f t="shared" ref="D37:L37" si="9">IF(D22&lt;&gt;"",MAX(0,D36-D38),"")</f>
        <v>2.7650000000000006</v>
      </c>
      <c r="E37" s="15">
        <f t="shared" si="9"/>
        <v>2.7669999999999995</v>
      </c>
      <c r="F37" s="15">
        <f t="shared" si="9"/>
        <v>2.7669999999999995</v>
      </c>
      <c r="G37" s="15">
        <f t="shared" si="9"/>
        <v>2.7669999999999995</v>
      </c>
      <c r="H37" s="15">
        <f t="shared" si="9"/>
        <v>2.7669999999999995</v>
      </c>
      <c r="I37" s="15">
        <f t="shared" si="9"/>
        <v>2.7669999999999995</v>
      </c>
      <c r="J37" s="15">
        <f t="shared" si="9"/>
        <v>2.7669999999999995</v>
      </c>
      <c r="K37" s="15">
        <f t="shared" si="9"/>
        <v>2.7880000000000003</v>
      </c>
      <c r="L37" s="15">
        <f t="shared" si="9"/>
        <v>2.7880000000000003</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13.232257133649304</v>
      </c>
      <c r="D45" s="15">
        <f t="shared" ref="D45:L45" si="11">IF(D$22&lt;&gt;"",D25+D37-D32-D40,"")</f>
        <v>11.338341051371005</v>
      </c>
      <c r="E45" s="15">
        <f t="shared" si="11"/>
        <v>9.5234833101213354</v>
      </c>
      <c r="F45" s="15">
        <f>IF(F$22&lt;&gt;"",F25+F37-F32-F40,"")</f>
        <v>8.5283859058039511</v>
      </c>
      <c r="G45" s="15">
        <f t="shared" si="11"/>
        <v>8.5258385487219339</v>
      </c>
      <c r="H45" s="15">
        <f t="shared" si="11"/>
        <v>8.5225558115502142</v>
      </c>
      <c r="I45" s="15">
        <f t="shared" si="11"/>
        <v>8.9225849906155759</v>
      </c>
      <c r="J45" s="15">
        <f t="shared" si="11"/>
        <v>9.3019655190751305</v>
      </c>
      <c r="K45" s="15">
        <f t="shared" si="11"/>
        <v>9.6823245760462395</v>
      </c>
      <c r="L45" s="15">
        <f t="shared" si="11"/>
        <v>10.043136398311306</v>
      </c>
    </row>
    <row r="46" spans="1:13" x14ac:dyDescent="0.35">
      <c r="A46" t="s">
        <v>3</v>
      </c>
      <c r="C46" s="15">
        <f>IF(C$22&lt;&gt;"",C26+C38-C33+C40+C42+C23-C35/2,"")</f>
        <v>17.175845186350728</v>
      </c>
      <c r="D46" s="15">
        <f t="shared" ref="D46:L46" si="12">IF(D$22&lt;&gt;"",D26+D38-D33+D40+D42+D23-D35/2,"")</f>
        <v>16.780552631628428</v>
      </c>
      <c r="E46" s="15">
        <f t="shared" si="12"/>
        <v>16.382334327777496</v>
      </c>
      <c r="F46" s="15">
        <f t="shared" si="12"/>
        <v>16.066776714372942</v>
      </c>
      <c r="G46" s="15">
        <f t="shared" si="12"/>
        <v>15.765109523151605</v>
      </c>
      <c r="H46" s="15">
        <f t="shared" si="12"/>
        <v>15.47580314410256</v>
      </c>
      <c r="I46" s="15">
        <f t="shared" si="12"/>
        <v>15.204487360036023</v>
      </c>
      <c r="J46" s="15">
        <f t="shared" si="12"/>
        <v>14.950535236477068</v>
      </c>
      <c r="K46" s="15">
        <f t="shared" si="12"/>
        <v>14.733068546906534</v>
      </c>
      <c r="L46" s="15">
        <f t="shared" si="12"/>
        <v>14.529356007140896</v>
      </c>
    </row>
    <row r="47" spans="1:13" x14ac:dyDescent="0.35">
      <c r="A47" t="s">
        <v>4</v>
      </c>
      <c r="C47" s="15">
        <f>IF(C$22&lt;&gt;"",C27+C35-C34-C42,"")</f>
        <v>1.47</v>
      </c>
      <c r="D47" s="15">
        <f t="shared" ref="D47:L47" si="13">IF(D$22&lt;&gt;"",D27+D35-D34-D42,"")</f>
        <v>1.47</v>
      </c>
      <c r="E47" s="15">
        <f t="shared" si="13"/>
        <v>1.466</v>
      </c>
      <c r="F47" s="15">
        <f t="shared" si="13"/>
        <v>1.466</v>
      </c>
      <c r="G47" s="15">
        <f t="shared" si="13"/>
        <v>1.466</v>
      </c>
      <c r="H47" s="15">
        <f t="shared" si="13"/>
        <v>1.466</v>
      </c>
      <c r="I47" s="15">
        <f t="shared" si="13"/>
        <v>1.466</v>
      </c>
      <c r="J47" s="15">
        <f t="shared" si="13"/>
        <v>1.466</v>
      </c>
      <c r="K47" s="15">
        <f t="shared" si="13"/>
        <v>1.4239999999999999</v>
      </c>
      <c r="L47" s="15">
        <f t="shared" si="13"/>
        <v>1.4239999999999999</v>
      </c>
    </row>
    <row r="48" spans="1:13" x14ac:dyDescent="0.35">
      <c r="A48" s="1" t="s">
        <v>140</v>
      </c>
      <c r="B48" s="1"/>
      <c r="C48" s="30"/>
      <c r="D48" s="2"/>
      <c r="E48" s="2"/>
      <c r="F48" s="2"/>
      <c r="G48" s="2"/>
      <c r="H48" s="2"/>
      <c r="I48" s="2"/>
      <c r="J48" s="2"/>
      <c r="K48" s="2"/>
      <c r="L48" s="2"/>
    </row>
    <row r="49" spans="1:20" x14ac:dyDescent="0.35">
      <c r="A49" t="s">
        <v>141</v>
      </c>
      <c r="C49" s="45">
        <f>IF(C45&gt;6.1+4.2,4.2,MAX(C45-6.1,0))</f>
        <v>4.2</v>
      </c>
      <c r="D49" s="45">
        <f t="shared" ref="D49:G49" si="14">IF(D45&gt;6.1+4.2,4.2,MAX(D45-6.1,0))</f>
        <v>4.2</v>
      </c>
      <c r="E49" s="45">
        <f t="shared" si="14"/>
        <v>3.4234833101213358</v>
      </c>
      <c r="F49" s="45">
        <f t="shared" si="14"/>
        <v>2.4283859058039514</v>
      </c>
      <c r="G49" s="45">
        <f t="shared" si="14"/>
        <v>2.4258385487219343</v>
      </c>
      <c r="H49" s="45">
        <v>2</v>
      </c>
      <c r="I49" s="45">
        <v>2</v>
      </c>
      <c r="J49" s="45">
        <v>2</v>
      </c>
      <c r="K49" s="45">
        <v>2</v>
      </c>
      <c r="L49" s="45">
        <v>2</v>
      </c>
      <c r="M49" s="51"/>
      <c r="N49" s="1" t="s">
        <v>133</v>
      </c>
    </row>
    <row r="50" spans="1:20" x14ac:dyDescent="0.35">
      <c r="A50" t="s">
        <v>142</v>
      </c>
      <c r="C50" s="45">
        <f>7.5-IF(C26&lt;$O$51,$P$51,IF(C26&lt;=$O$58,VLOOKUP(C26,$O$51:$P$58,2),0))</f>
        <v>6.867</v>
      </c>
      <c r="D50" s="45">
        <f t="shared" ref="D50:G50" si="15">7.5-IF(D26&lt;$O$51,$P$51,IF(D26&lt;=$O$58,VLOOKUP(D26,$O$51:$P$58,2),0))</f>
        <v>6.867</v>
      </c>
      <c r="E50" s="45">
        <f t="shared" si="15"/>
        <v>6.7830000000000004</v>
      </c>
      <c r="F50" s="45">
        <f t="shared" si="15"/>
        <v>6.7830000000000004</v>
      </c>
      <c r="G50" s="45">
        <f t="shared" si="15"/>
        <v>6.7830000000000004</v>
      </c>
      <c r="H50" s="45">
        <f t="shared" ref="H50:L50" si="16">G50</f>
        <v>6.7830000000000004</v>
      </c>
      <c r="I50" s="45">
        <f t="shared" si="16"/>
        <v>6.7830000000000004</v>
      </c>
      <c r="J50" s="45">
        <f t="shared" si="16"/>
        <v>6.7830000000000004</v>
      </c>
      <c r="K50" s="45">
        <f t="shared" si="16"/>
        <v>6.7830000000000004</v>
      </c>
      <c r="L50" s="45">
        <f t="shared" si="16"/>
        <v>6.7830000000000004</v>
      </c>
      <c r="N50" s="39" t="s">
        <v>134</v>
      </c>
      <c r="O50" s="39" t="s">
        <v>135</v>
      </c>
      <c r="P50" s="40" t="s">
        <v>136</v>
      </c>
      <c r="Q50" s="61" t="s">
        <v>175</v>
      </c>
      <c r="R50" s="39" t="s">
        <v>138</v>
      </c>
      <c r="S50" s="59" t="s">
        <v>174</v>
      </c>
      <c r="T50" s="59" t="s">
        <v>176</v>
      </c>
    </row>
    <row r="51" spans="1:20" x14ac:dyDescent="0.35">
      <c r="A51" t="s">
        <v>143</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R51-Q51</f>
        <v>1.2000000000000002</v>
      </c>
      <c r="Q51" s="57">
        <v>0.15</v>
      </c>
      <c r="R51" s="43">
        <f t="shared" ref="R51:R58" si="18">T51/1000000</f>
        <v>1.35</v>
      </c>
      <c r="S51" s="44">
        <v>0.125</v>
      </c>
      <c r="T51" s="60">
        <v>1350000</v>
      </c>
    </row>
    <row r="52" spans="1:20" x14ac:dyDescent="0.35">
      <c r="A52" t="s">
        <v>144</v>
      </c>
      <c r="C52" s="45">
        <f>IF(C22&lt;&gt;"",C35,"")</f>
        <v>1.47</v>
      </c>
      <c r="D52" s="45">
        <f t="shared" ref="D52:L52" si="19">IF(D22&lt;&gt;"",D35,"")</f>
        <v>1.47</v>
      </c>
      <c r="E52" s="45">
        <f t="shared" si="19"/>
        <v>1.466</v>
      </c>
      <c r="F52" s="45">
        <f t="shared" si="19"/>
        <v>1.466</v>
      </c>
      <c r="G52" s="45">
        <f t="shared" si="19"/>
        <v>1.466</v>
      </c>
      <c r="H52" s="45">
        <f t="shared" si="19"/>
        <v>1.466</v>
      </c>
      <c r="I52" s="45">
        <f t="shared" si="19"/>
        <v>1.466</v>
      </c>
      <c r="J52" s="45">
        <f t="shared" si="19"/>
        <v>1.466</v>
      </c>
      <c r="K52" s="45">
        <f t="shared" si="19"/>
        <v>1.4239999999999999</v>
      </c>
      <c r="L52" s="45">
        <f t="shared" si="19"/>
        <v>1.4239999999999999</v>
      </c>
      <c r="N52" s="41">
        <v>1030</v>
      </c>
      <c r="O52" s="42">
        <v>6.305377</v>
      </c>
      <c r="P52" s="43">
        <f t="shared" ref="P52:P58" si="20">R52-Q52</f>
        <v>1.117</v>
      </c>
      <c r="Q52" s="57">
        <v>0.10100000000000001</v>
      </c>
      <c r="R52" s="43">
        <f t="shared" si="18"/>
        <v>1.218</v>
      </c>
      <c r="S52" s="44">
        <v>7.0000000000000007E-2</v>
      </c>
      <c r="T52" s="60">
        <v>1218000</v>
      </c>
    </row>
    <row r="53" spans="1:20" x14ac:dyDescent="0.35">
      <c r="A53" s="1" t="s">
        <v>145</v>
      </c>
      <c r="B53" s="1"/>
      <c r="D53" s="2"/>
      <c r="E53" s="2"/>
      <c r="F53" s="2"/>
      <c r="G53" s="2"/>
      <c r="H53" s="2"/>
      <c r="I53" s="2"/>
      <c r="J53" s="2"/>
      <c r="K53" s="2"/>
      <c r="L53" s="2"/>
      <c r="N53" s="41">
        <v>1035</v>
      </c>
      <c r="O53" s="42">
        <v>6.6375080000000004</v>
      </c>
      <c r="P53" s="43">
        <f t="shared" si="20"/>
        <v>1.0669999999999999</v>
      </c>
      <c r="Q53" s="57">
        <v>9.1999999999999998E-2</v>
      </c>
      <c r="R53" s="43">
        <f t="shared" si="18"/>
        <v>1.159</v>
      </c>
      <c r="S53" s="44">
        <v>7.0000000000000007E-2</v>
      </c>
      <c r="T53" s="60">
        <v>1159000</v>
      </c>
    </row>
    <row r="54" spans="1:20" x14ac:dyDescent="0.35">
      <c r="A54" t="s">
        <v>2</v>
      </c>
      <c r="C54" s="15">
        <f>IF(C$22&lt;&gt;"",C45-C49,"")</f>
        <v>9.0322571336493027</v>
      </c>
      <c r="D54" s="15">
        <f t="shared" ref="D54:L54" si="21">IF(D$22&lt;&gt;"",D45-D49,"")</f>
        <v>7.1383410513710048</v>
      </c>
      <c r="E54" s="15">
        <f t="shared" si="21"/>
        <v>6.1</v>
      </c>
      <c r="F54" s="15">
        <f t="shared" si="21"/>
        <v>6.1</v>
      </c>
      <c r="G54" s="15">
        <f t="shared" si="21"/>
        <v>6.1</v>
      </c>
      <c r="H54" s="15">
        <f t="shared" si="21"/>
        <v>6.5225558115502142</v>
      </c>
      <c r="I54" s="15">
        <f t="shared" si="21"/>
        <v>6.9225849906155759</v>
      </c>
      <c r="J54" s="15">
        <f t="shared" si="21"/>
        <v>7.3019655190751305</v>
      </c>
      <c r="K54" s="15">
        <f t="shared" si="21"/>
        <v>7.6823245760462395</v>
      </c>
      <c r="L54" s="15">
        <f t="shared" si="21"/>
        <v>8.0431363983113062</v>
      </c>
      <c r="N54" s="41">
        <v>1040</v>
      </c>
      <c r="O54" s="42">
        <v>6.977665</v>
      </c>
      <c r="P54" s="43">
        <f t="shared" si="20"/>
        <v>1.0169999999999999</v>
      </c>
      <c r="Q54" s="57">
        <v>8.4000000000000005E-2</v>
      </c>
      <c r="R54" s="43">
        <f t="shared" si="18"/>
        <v>1.101</v>
      </c>
      <c r="S54" s="44">
        <v>7.0000000000000007E-2</v>
      </c>
      <c r="T54" s="60">
        <v>1101000</v>
      </c>
    </row>
    <row r="55" spans="1:20" x14ac:dyDescent="0.35">
      <c r="A55" t="s">
        <v>3</v>
      </c>
      <c r="C55" s="15">
        <f>IF(C$22&lt;&gt;"",C46-C50-C51,"")</f>
        <v>9.708845186350727</v>
      </c>
      <c r="D55" s="15">
        <f t="shared" ref="D55:L55" si="22">IF(D$22&lt;&gt;"",D46-D50-D51,"")</f>
        <v>9.3135526316284274</v>
      </c>
      <c r="E55" s="15">
        <f t="shared" si="22"/>
        <v>8.9993343277774951</v>
      </c>
      <c r="F55" s="15">
        <f t="shared" si="22"/>
        <v>8.6837767143729412</v>
      </c>
      <c r="G55" s="15">
        <f t="shared" si="22"/>
        <v>8.3821095231516036</v>
      </c>
      <c r="H55" s="15">
        <f t="shared" si="22"/>
        <v>8.0928031441025592</v>
      </c>
      <c r="I55" s="15">
        <f t="shared" si="22"/>
        <v>7.8214873600360217</v>
      </c>
      <c r="J55" s="15">
        <f t="shared" si="22"/>
        <v>7.5675352364770685</v>
      </c>
      <c r="K55" s="15">
        <f t="shared" si="22"/>
        <v>7.3500685469065337</v>
      </c>
      <c r="L55" s="15">
        <f t="shared" si="22"/>
        <v>7.1463560071408958</v>
      </c>
      <c r="N55" s="41">
        <v>1045</v>
      </c>
      <c r="O55" s="42">
        <v>7.3260519999999998</v>
      </c>
      <c r="P55" s="43">
        <f t="shared" si="20"/>
        <v>0.96699999999999997</v>
      </c>
      <c r="Q55" s="57">
        <v>7.5999999999999998E-2</v>
      </c>
      <c r="R55" s="43">
        <f t="shared" si="18"/>
        <v>1.0429999999999999</v>
      </c>
      <c r="S55" s="44">
        <v>7.0000000000000007E-2</v>
      </c>
      <c r="T55" s="60">
        <v>1043000</v>
      </c>
    </row>
    <row r="56" spans="1:20" x14ac:dyDescent="0.35">
      <c r="A56" t="s">
        <v>4</v>
      </c>
      <c r="C56" s="15">
        <f>IF(C$22&lt;&gt;"",C47-C52,"")</f>
        <v>0</v>
      </c>
      <c r="D56" s="15">
        <f t="shared" ref="D56:L56" si="23">IF(D$22&lt;&gt;"",D47-D52,"")</f>
        <v>0</v>
      </c>
      <c r="E56" s="15">
        <f t="shared" si="23"/>
        <v>0</v>
      </c>
      <c r="F56" s="15">
        <f t="shared" si="23"/>
        <v>0</v>
      </c>
      <c r="G56" s="15">
        <f t="shared" si="23"/>
        <v>0</v>
      </c>
      <c r="H56" s="15">
        <f t="shared" si="23"/>
        <v>0</v>
      </c>
      <c r="I56" s="15">
        <f t="shared" si="23"/>
        <v>0</v>
      </c>
      <c r="J56" s="15">
        <f t="shared" si="23"/>
        <v>0</v>
      </c>
      <c r="K56" s="15">
        <f t="shared" si="23"/>
        <v>0</v>
      </c>
      <c r="L56" s="15">
        <f t="shared" si="23"/>
        <v>0</v>
      </c>
      <c r="N56" s="41">
        <v>1050</v>
      </c>
      <c r="O56" s="42">
        <v>7.6828779999999997</v>
      </c>
      <c r="P56" s="43">
        <f t="shared" si="20"/>
        <v>0.71699999999999997</v>
      </c>
      <c r="Q56" s="57">
        <v>3.4000000000000002E-2</v>
      </c>
      <c r="R56" s="43">
        <f t="shared" si="18"/>
        <v>0.751</v>
      </c>
      <c r="S56" s="44">
        <v>7.0000000000000007E-2</v>
      </c>
      <c r="T56" s="60">
        <v>751000</v>
      </c>
    </row>
    <row r="57" spans="1:20" x14ac:dyDescent="0.35">
      <c r="A57" s="1" t="s">
        <v>129</v>
      </c>
      <c r="B57" s="1"/>
      <c r="C57" s="15">
        <f>IF(C$22&lt;&gt;"",SUM(C54:C56),"")</f>
        <v>18.741102320000032</v>
      </c>
      <c r="D57" s="15">
        <f t="shared" ref="D57:L57" si="24">IF(D$22&lt;&gt;"",SUM(D54:D56),"")</f>
        <v>16.451893682999433</v>
      </c>
      <c r="E57" s="15">
        <f t="shared" si="24"/>
        <v>15.099334327777495</v>
      </c>
      <c r="F57" s="15">
        <f t="shared" si="24"/>
        <v>14.783776714372941</v>
      </c>
      <c r="G57" s="15">
        <f t="shared" si="24"/>
        <v>14.482109523151603</v>
      </c>
      <c r="H57" s="15">
        <f t="shared" si="24"/>
        <v>14.615358955652773</v>
      </c>
      <c r="I57" s="15">
        <f t="shared" si="24"/>
        <v>14.744072350651598</v>
      </c>
      <c r="J57" s="15">
        <f t="shared" si="24"/>
        <v>14.869500755552199</v>
      </c>
      <c r="K57" s="15">
        <f t="shared" si="24"/>
        <v>15.032393122952772</v>
      </c>
      <c r="L57" s="15">
        <f t="shared" si="24"/>
        <v>15.189492405452203</v>
      </c>
      <c r="N57" s="41">
        <v>1075</v>
      </c>
      <c r="O57" s="42">
        <v>9.6009879999900001</v>
      </c>
      <c r="P57" s="43">
        <f t="shared" si="20"/>
        <v>0.63300000000000001</v>
      </c>
      <c r="Q57" s="57">
        <v>0.03</v>
      </c>
      <c r="R57" s="43">
        <f t="shared" si="18"/>
        <v>0.66300000000000003</v>
      </c>
      <c r="S57" s="44">
        <v>0.05</v>
      </c>
      <c r="T57" s="60">
        <v>663000</v>
      </c>
    </row>
    <row r="58" spans="1:20" x14ac:dyDescent="0.35">
      <c r="A58" s="1" t="s">
        <v>152</v>
      </c>
      <c r="B58" s="1"/>
      <c r="C58" s="15">
        <f>IF(C22&lt;&gt;"",C29+C22-C32-C49-C57*$B$29,"")</f>
        <v>7.8967059736492864</v>
      </c>
      <c r="D58" s="15">
        <f t="shared" ref="D58:L58" si="25">IF(D22&lt;&gt;"",D29+D22-D32-D49-D57*$B$29,"")</f>
        <v>7.4856882362219999</v>
      </c>
      <c r="E58" s="15">
        <f t="shared" si="25"/>
        <v>7.8709386262399654</v>
      </c>
      <c r="F58" s="15">
        <f t="shared" si="25"/>
        <v>8.390778806702281</v>
      </c>
      <c r="G58" s="15">
        <f t="shared" si="25"/>
        <v>8.3838335956106693</v>
      </c>
      <c r="H58" s="15">
        <f t="shared" si="25"/>
        <v>8.5889310952996318</v>
      </c>
      <c r="I58" s="15">
        <f t="shared" si="25"/>
        <v>8.568672481565951</v>
      </c>
      <c r="J58" s="15">
        <f t="shared" si="25"/>
        <v>8.5496663260092536</v>
      </c>
      <c r="K58" s="15">
        <f t="shared" si="25"/>
        <v>8.5109128732708204</v>
      </c>
      <c r="L58" s="15">
        <f t="shared" si="25"/>
        <v>8.4942621810153494</v>
      </c>
      <c r="N58" s="41">
        <v>1090</v>
      </c>
      <c r="O58" s="42">
        <v>10.857008</v>
      </c>
      <c r="P58" s="43">
        <f t="shared" si="20"/>
        <v>0.30000000000000004</v>
      </c>
      <c r="Q58" s="57">
        <v>4.1000000000000002E-2</v>
      </c>
      <c r="R58" s="43">
        <f t="shared" si="18"/>
        <v>0.34100000000000003</v>
      </c>
      <c r="S58" s="40"/>
      <c r="T58" s="60">
        <v>341000</v>
      </c>
    </row>
    <row r="59" spans="1:20" x14ac:dyDescent="0.35">
      <c r="C59" s="30"/>
      <c r="D59" s="30"/>
      <c r="E59" s="30"/>
      <c r="F59" s="30"/>
      <c r="G59" s="30"/>
    </row>
    <row r="60" spans="1:20" x14ac:dyDescent="0.35">
      <c r="A60" s="1" t="s">
        <v>131</v>
      </c>
      <c r="C60" s="12">
        <f>IF(C$22&lt;&gt;"",0.2,"")</f>
        <v>0.2</v>
      </c>
      <c r="D60" s="12">
        <f t="shared" ref="D60:L60" si="26">IF(D$22&lt;&gt;"",0.2,"")</f>
        <v>0.2</v>
      </c>
      <c r="E60" s="12">
        <f t="shared" si="26"/>
        <v>0.2</v>
      </c>
      <c r="F60" s="12">
        <f t="shared" si="26"/>
        <v>0.2</v>
      </c>
      <c r="G60" s="12">
        <f t="shared" si="26"/>
        <v>0.2</v>
      </c>
      <c r="H60" s="12">
        <f t="shared" si="26"/>
        <v>0.2</v>
      </c>
      <c r="I60" s="12">
        <f t="shared" si="26"/>
        <v>0.2</v>
      </c>
      <c r="J60" s="12">
        <f t="shared" si="26"/>
        <v>0.2</v>
      </c>
      <c r="K60" s="12">
        <f t="shared" si="26"/>
        <v>0.2</v>
      </c>
      <c r="L60" s="12">
        <f t="shared" si="26"/>
        <v>0.2</v>
      </c>
    </row>
    <row r="61" spans="1:20" x14ac:dyDescent="0.35">
      <c r="A61" t="s">
        <v>132</v>
      </c>
      <c r="C61" s="15">
        <f t="shared" ref="C61:L61" si="27">IF(C$22&lt;&gt;"",C50+C60,"")</f>
        <v>7.0670000000000002</v>
      </c>
      <c r="D61" s="15">
        <f t="shared" si="27"/>
        <v>7.0670000000000002</v>
      </c>
      <c r="E61" s="15">
        <f t="shared" si="27"/>
        <v>6.9830000000000005</v>
      </c>
      <c r="F61" s="15">
        <f t="shared" si="27"/>
        <v>6.9830000000000005</v>
      </c>
      <c r="G61" s="15">
        <f t="shared" si="27"/>
        <v>6.9830000000000005</v>
      </c>
      <c r="H61" s="15">
        <f t="shared" si="27"/>
        <v>6.9830000000000005</v>
      </c>
      <c r="I61" s="15">
        <f t="shared" si="27"/>
        <v>6.9830000000000005</v>
      </c>
      <c r="J61" s="15">
        <f t="shared" si="27"/>
        <v>6.9830000000000005</v>
      </c>
      <c r="K61" s="15">
        <f t="shared" si="27"/>
        <v>6.9830000000000005</v>
      </c>
      <c r="L61" s="15">
        <f t="shared" si="27"/>
        <v>6.9830000000000005</v>
      </c>
    </row>
    <row r="63" spans="1:20" x14ac:dyDescent="0.35">
      <c r="D63" s="19"/>
    </row>
  </sheetData>
  <mergeCells count="4">
    <mergeCell ref="C5:H5"/>
    <mergeCell ref="C6:H6"/>
    <mergeCell ref="C7:H7"/>
    <mergeCell ref="C8:H8"/>
  </mergeCells>
  <conditionalFormatting sqref="H49:L49">
    <cfRule type="cellIs" dxfId="37" priority="33" operator="greaterThan">
      <formula>$C$45</formula>
    </cfRule>
  </conditionalFormatting>
  <conditionalFormatting sqref="H49">
    <cfRule type="cellIs" dxfId="36" priority="27" operator="greaterThan">
      <formula>$H$45</formula>
    </cfRule>
  </conditionalFormatting>
  <conditionalFormatting sqref="I49">
    <cfRule type="cellIs" dxfId="35" priority="26" operator="greaterThan">
      <formula>$I$45</formula>
    </cfRule>
  </conditionalFormatting>
  <conditionalFormatting sqref="J49">
    <cfRule type="cellIs" dxfId="34" priority="25" operator="greaterThan">
      <formula>$J$45</formula>
    </cfRule>
  </conditionalFormatting>
  <conditionalFormatting sqref="K49">
    <cfRule type="cellIs" dxfId="33" priority="24" operator="greaterThan">
      <formula>$K$45</formula>
    </cfRule>
  </conditionalFormatting>
  <conditionalFormatting sqref="L49">
    <cfRule type="cellIs" dxfId="32" priority="23" operator="greaterThan">
      <formula>$L$45</formula>
    </cfRule>
  </conditionalFormatting>
  <conditionalFormatting sqref="H50:L50">
    <cfRule type="cellIs" dxfId="31" priority="21" operator="greaterThan">
      <formula>$D$46</formula>
    </cfRule>
  </conditionalFormatting>
  <conditionalFormatting sqref="H50">
    <cfRule type="cellIs" dxfId="30" priority="16" operator="greaterThan">
      <formula>$H$46</formula>
    </cfRule>
  </conditionalFormatting>
  <conditionalFormatting sqref="I50">
    <cfRule type="cellIs" dxfId="29" priority="15" operator="greaterThan">
      <formula>$I$46</formula>
    </cfRule>
  </conditionalFormatting>
  <conditionalFormatting sqref="J50">
    <cfRule type="cellIs" dxfId="28" priority="14" operator="greaterThan">
      <formula>$J$46</formula>
    </cfRule>
  </conditionalFormatting>
  <conditionalFormatting sqref="K50">
    <cfRule type="cellIs" dxfId="27" priority="13" operator="greaterThan">
      <formula>$K$46</formula>
    </cfRule>
  </conditionalFormatting>
  <conditionalFormatting sqref="L50">
    <cfRule type="cellIs" dxfId="26" priority="12" operator="greaterThan">
      <formula>$L$46</formula>
    </cfRule>
  </conditionalFormatting>
  <conditionalFormatting sqref="C52:L52">
    <cfRule type="cellIs" dxfId="25" priority="11" operator="greaterThan">
      <formula>$C$47</formula>
    </cfRule>
  </conditionalFormatting>
  <conditionalFormatting sqref="C49:G49">
    <cfRule type="cellIs" dxfId="24" priority="1" operator="greaterThan">
      <formula>$C$45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topLeftCell="D3" workbookViewId="0">
      <selection activeCell="P1" sqref="P1"/>
    </sheetView>
  </sheetViews>
  <sheetFormatPr defaultRowHeight="14.5" x14ac:dyDescent="0.35"/>
  <sheetData>
    <row r="1" spans="7:16" ht="36" x14ac:dyDescent="0.8">
      <c r="G1" s="53" t="s">
        <v>41</v>
      </c>
      <c r="P1" s="53" t="s">
        <v>42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T63"/>
  <sheetViews>
    <sheetView topLeftCell="A6" zoomScale="150" zoomScaleNormal="150" workbookViewId="0">
      <selection activeCell="E3" sqref="E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5.26953125" style="2" customWidth="1"/>
    <col min="18" max="18" width="21.6328125" customWidth="1"/>
    <col min="20" max="20" width="10.906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t="s">
        <v>153</v>
      </c>
      <c r="C5" s="73" t="s">
        <v>154</v>
      </c>
      <c r="D5" s="73"/>
      <c r="E5" s="73"/>
      <c r="F5" s="73"/>
      <c r="G5" s="73"/>
      <c r="H5" s="73"/>
    </row>
    <row r="6" spans="1:11" x14ac:dyDescent="0.35">
      <c r="A6" s="17" t="s">
        <v>41</v>
      </c>
      <c r="B6" s="36" t="s">
        <v>153</v>
      </c>
      <c r="C6" s="73"/>
      <c r="D6" s="73"/>
      <c r="E6" s="73"/>
      <c r="F6" s="73"/>
      <c r="G6" s="73"/>
      <c r="H6" s="73"/>
    </row>
    <row r="7" spans="1:11" x14ac:dyDescent="0.35">
      <c r="A7" s="17" t="s">
        <v>42</v>
      </c>
      <c r="B7" s="36" t="s">
        <v>153</v>
      </c>
      <c r="C7" s="73"/>
      <c r="D7" s="73"/>
      <c r="E7" s="73"/>
      <c r="F7" s="73"/>
      <c r="G7" s="73"/>
      <c r="H7" s="73"/>
    </row>
    <row r="8" spans="1:11" x14ac:dyDescent="0.35">
      <c r="A8" s="17" t="s">
        <v>43</v>
      </c>
      <c r="B8" s="36" t="s">
        <v>153</v>
      </c>
      <c r="C8" s="73"/>
      <c r="D8" s="73"/>
      <c r="E8" s="73"/>
      <c r="F8" s="73"/>
      <c r="G8" s="73"/>
      <c r="H8" s="7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74" t="s">
        <v>155</v>
      </c>
      <c r="E15" s="75"/>
      <c r="F15" s="75"/>
      <c r="G15" s="75"/>
      <c r="H15" s="75"/>
      <c r="I15" s="75"/>
    </row>
    <row r="17" spans="1:17" x14ac:dyDescent="0.35">
      <c r="A17" s="1" t="s">
        <v>33</v>
      </c>
      <c r="B17" s="14" t="s">
        <v>116</v>
      </c>
      <c r="C17" s="14" t="s">
        <v>117</v>
      </c>
    </row>
    <row r="18" spans="1:17" x14ac:dyDescent="0.35">
      <c r="A18" t="s">
        <v>115</v>
      </c>
      <c r="B18" s="12">
        <v>5.73</v>
      </c>
      <c r="C18" s="12">
        <v>6</v>
      </c>
      <c r="D18" s="24" t="s">
        <v>118</v>
      </c>
    </row>
    <row r="19" spans="1:17" x14ac:dyDescent="0.35">
      <c r="A19" t="s">
        <v>149</v>
      </c>
      <c r="B19" s="12">
        <v>11</v>
      </c>
      <c r="C19" s="12">
        <v>10.1</v>
      </c>
      <c r="D19" s="11" t="s">
        <v>35</v>
      </c>
    </row>
    <row r="21" spans="1:17" s="1" customFormat="1" x14ac:dyDescent="0.35">
      <c r="A21" s="48" t="s">
        <v>36</v>
      </c>
      <c r="B21" s="48" t="s">
        <v>50</v>
      </c>
      <c r="C21" s="49" t="s">
        <v>6</v>
      </c>
      <c r="D21" s="49" t="s">
        <v>7</v>
      </c>
      <c r="E21" s="49" t="s">
        <v>8</v>
      </c>
      <c r="F21" s="49" t="s">
        <v>9</v>
      </c>
      <c r="G21" s="49" t="s">
        <v>10</v>
      </c>
      <c r="H21" s="49" t="s">
        <v>11</v>
      </c>
      <c r="I21" s="49" t="s">
        <v>12</v>
      </c>
      <c r="J21" s="49" t="s">
        <v>13</v>
      </c>
      <c r="K21" s="49" t="s">
        <v>37</v>
      </c>
      <c r="L21" s="49" t="s">
        <v>38</v>
      </c>
      <c r="M21" s="49" t="s">
        <v>112</v>
      </c>
      <c r="Q21" s="14"/>
    </row>
    <row r="22" spans="1:17" x14ac:dyDescent="0.35">
      <c r="A22" s="1" t="s">
        <v>46</v>
      </c>
      <c r="B22" s="1"/>
      <c r="C22" s="47">
        <v>12.4</v>
      </c>
      <c r="D22" s="47">
        <v>12.4</v>
      </c>
      <c r="E22" s="47">
        <v>12.4</v>
      </c>
      <c r="F22" s="47">
        <v>12.4</v>
      </c>
      <c r="G22" s="47">
        <v>12.4</v>
      </c>
      <c r="H22" s="47">
        <v>12.4</v>
      </c>
      <c r="I22" s="47">
        <v>14.4</v>
      </c>
      <c r="J22" s="47">
        <v>14.4</v>
      </c>
      <c r="K22" s="47">
        <v>14.4</v>
      </c>
      <c r="L22" s="47">
        <v>14.4</v>
      </c>
    </row>
    <row r="23" spans="1:17" x14ac:dyDescent="0.35">
      <c r="A23" s="1" t="s">
        <v>127</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7" x14ac:dyDescent="0.35">
      <c r="A24" s="1" t="s">
        <v>130</v>
      </c>
      <c r="B24" s="1"/>
      <c r="C24" s="15">
        <f>IF(C$22&lt;&gt;"",SUM(C25:C27),"")</f>
        <v>21.1</v>
      </c>
      <c r="D24" s="15">
        <f>IF(D$22&lt;&gt;"",C57,"")</f>
        <v>20.14110232000003</v>
      </c>
      <c r="E24" s="15">
        <f t="shared" ref="E24:L24" si="1">IF(E$22&lt;&gt;"",D57,"")</f>
        <v>19.211005839999459</v>
      </c>
      <c r="F24" s="15">
        <f t="shared" si="1"/>
        <v>18.395346086000032</v>
      </c>
      <c r="G24" s="15">
        <f t="shared" si="1"/>
        <v>17.604829527000007</v>
      </c>
      <c r="H24" s="15">
        <f t="shared" si="1"/>
        <v>16.839042162998837</v>
      </c>
      <c r="I24" s="15">
        <f t="shared" si="1"/>
        <v>16.097989993998262</v>
      </c>
      <c r="J24" s="15">
        <f t="shared" si="1"/>
        <v>17.379543013998259</v>
      </c>
      <c r="K24" s="15">
        <f t="shared" si="1"/>
        <v>18.621176208497687</v>
      </c>
      <c r="L24" s="15">
        <f t="shared" si="1"/>
        <v>19.824782610497117</v>
      </c>
    </row>
    <row r="25" spans="1:17" x14ac:dyDescent="0.35">
      <c r="A25" t="s">
        <v>122</v>
      </c>
      <c r="C25" s="15">
        <f>IF(C$22&lt;&gt;"",$B$19,"")</f>
        <v>11</v>
      </c>
      <c r="D25" s="15">
        <f>IF(D22&lt;&gt;"",C54,"")</f>
        <v>10.432257133649305</v>
      </c>
      <c r="E25" s="15">
        <f t="shared" ref="E25:L25" si="2">IF(E22&lt;&gt;"",D54,"")</f>
        <v>9.8828742725086656</v>
      </c>
      <c r="F25" s="15">
        <f t="shared" si="2"/>
        <v>9.3525876185647441</v>
      </c>
      <c r="G25" s="15">
        <f t="shared" si="2"/>
        <v>8.8409004511034617</v>
      </c>
      <c r="H25" s="15">
        <f t="shared" si="2"/>
        <v>8.3475025922356316</v>
      </c>
      <c r="I25" s="15">
        <f t="shared" si="2"/>
        <v>7.8722917039284548</v>
      </c>
      <c r="J25" s="15">
        <f t="shared" si="2"/>
        <v>9.4141118988589128</v>
      </c>
      <c r="K25" s="15">
        <f t="shared" si="2"/>
        <v>10.88852812624792</v>
      </c>
      <c r="L25" s="15">
        <f t="shared" si="2"/>
        <v>12.301550132433068</v>
      </c>
    </row>
    <row r="26" spans="1:17" x14ac:dyDescent="0.35">
      <c r="A26" t="s">
        <v>123</v>
      </c>
      <c r="C26" s="15">
        <f>IF(C$22&lt;&gt;"",$C$19,"")</f>
        <v>10.1</v>
      </c>
      <c r="D26" s="15">
        <f>IF(D23&lt;&gt;"",C55,"")</f>
        <v>9.708845186350727</v>
      </c>
      <c r="E26" s="15">
        <f t="shared" ref="E26:L27" si="3">IF(E23&lt;&gt;"",D55,"")</f>
        <v>9.3281315674907948</v>
      </c>
      <c r="F26" s="15">
        <f t="shared" si="3"/>
        <v>9.0427584674352897</v>
      </c>
      <c r="G26" s="15">
        <f t="shared" si="3"/>
        <v>8.7639290758965469</v>
      </c>
      <c r="H26" s="15">
        <f t="shared" si="3"/>
        <v>8.4915395707632033</v>
      </c>
      <c r="I26" s="15">
        <f t="shared" si="3"/>
        <v>8.2256982900698059</v>
      </c>
      <c r="J26" s="15">
        <f t="shared" si="3"/>
        <v>7.9654311151393475</v>
      </c>
      <c r="K26" s="15">
        <f t="shared" si="3"/>
        <v>7.7326480822497654</v>
      </c>
      <c r="L26" s="15">
        <f t="shared" si="3"/>
        <v>7.5232324780640472</v>
      </c>
    </row>
    <row r="27" spans="1:17"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7" x14ac:dyDescent="0.35">
      <c r="A28" s="1" t="s">
        <v>121</v>
      </c>
      <c r="C28" s="51"/>
      <c r="D28" s="51"/>
      <c r="E28" s="51"/>
      <c r="F28" s="51"/>
      <c r="G28" s="51"/>
      <c r="H28" s="51"/>
      <c r="I28" s="51"/>
      <c r="J28" s="51"/>
      <c r="K28" s="51"/>
      <c r="L28" s="51"/>
    </row>
    <row r="29" spans="1:17" x14ac:dyDescent="0.35">
      <c r="A29" t="s">
        <v>119</v>
      </c>
      <c r="B29" s="37">
        <v>0.5</v>
      </c>
      <c r="C29" s="15">
        <f>C25</f>
        <v>11</v>
      </c>
      <c r="D29" s="15">
        <f>IF(D22&lt;&gt;"",$B29*D$24,"")</f>
        <v>10.070551160000015</v>
      </c>
      <c r="E29" s="15">
        <f t="shared" ref="D29:L30" si="4">IF(E22&lt;&gt;"",$B29*E$24,"")</f>
        <v>9.6055029199997293</v>
      </c>
      <c r="F29" s="15">
        <f t="shared" si="4"/>
        <v>9.197673043000016</v>
      </c>
      <c r="G29" s="15">
        <f t="shared" si="4"/>
        <v>8.8024147635000034</v>
      </c>
      <c r="H29" s="15">
        <f t="shared" si="4"/>
        <v>8.4195210814994184</v>
      </c>
      <c r="I29" s="15">
        <f t="shared" si="4"/>
        <v>8.0489949969991308</v>
      </c>
      <c r="J29" s="15">
        <f t="shared" si="4"/>
        <v>8.6897715069991293</v>
      </c>
      <c r="K29" s="15">
        <f t="shared" si="4"/>
        <v>9.3105881042488434</v>
      </c>
      <c r="L29" s="15">
        <f t="shared" si="4"/>
        <v>9.9123913052485584</v>
      </c>
    </row>
    <row r="30" spans="1:17" x14ac:dyDescent="0.35">
      <c r="A30" t="s">
        <v>120</v>
      </c>
      <c r="B30" s="37">
        <f>1-B29</f>
        <v>0.5</v>
      </c>
      <c r="C30" s="15">
        <f>C26</f>
        <v>10.1</v>
      </c>
      <c r="D30" s="15">
        <f t="shared" si="4"/>
        <v>10.070551160000015</v>
      </c>
      <c r="E30" s="15">
        <f t="shared" si="4"/>
        <v>9.6055029199997293</v>
      </c>
      <c r="F30" s="15">
        <f t="shared" si="4"/>
        <v>9.197673043000016</v>
      </c>
      <c r="G30" s="15">
        <f t="shared" si="4"/>
        <v>8.8024147635000034</v>
      </c>
      <c r="H30" s="15">
        <f t="shared" si="4"/>
        <v>8.4195210814994184</v>
      </c>
      <c r="I30" s="15">
        <f t="shared" si="4"/>
        <v>8.0489949969991308</v>
      </c>
      <c r="J30" s="15">
        <f t="shared" si="4"/>
        <v>8.6897715069991293</v>
      </c>
      <c r="K30" s="15">
        <f t="shared" si="4"/>
        <v>9.3105881042488434</v>
      </c>
      <c r="L30" s="15">
        <f t="shared" si="4"/>
        <v>9.9123913052485584</v>
      </c>
    </row>
    <row r="31" spans="1:17"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0.99309648000057305</v>
      </c>
      <c r="E31" s="15">
        <f>IF(E$22&lt;&gt;"",VLOOKUP(E29*1000000,'Powell-Elevation-Area'!$B$5:$D$689,3)*$B$18/1000000 + VLOOKUP(E30*1000000,'Mead-Elevation-Area'!$B$5:$D$676,3)*$C$18/1000000,"")</f>
        <v>0.96665975399942705</v>
      </c>
      <c r="F31" s="15">
        <f>IF(F$22&lt;&gt;"",VLOOKUP(F29*1000000,'Powell-Elevation-Area'!$B$5:$D$689,3)*$B$18/1000000 + VLOOKUP(F30*1000000,'Mead-Elevation-Area'!$B$5:$D$676,3)*$C$18/1000000,"")</f>
        <v>0.94151655900002706</v>
      </c>
      <c r="G31" s="15">
        <f>IF(G$22&lt;&gt;"",VLOOKUP(G29*1000000,'Powell-Elevation-Area'!$B$5:$D$689,3)*$B$18/1000000 + VLOOKUP(G30*1000000,'Mead-Elevation-Area'!$B$5:$D$676,3)*$C$18/1000000,"")</f>
        <v>0.916787364001173</v>
      </c>
      <c r="H31" s="15">
        <f>IF(H$22&lt;&gt;"",VLOOKUP(H29*1000000,'Powell-Elevation-Area'!$B$5:$D$689,3)*$B$18/1000000 + VLOOKUP(H30*1000000,'Mead-Elevation-Area'!$B$5:$D$676,3)*$C$18/1000000,"")</f>
        <v>0.89205216900057305</v>
      </c>
      <c r="I31" s="15">
        <f>IF(I$22&lt;&gt;"",VLOOKUP(I29*1000000,'Powell-Elevation-Area'!$B$5:$D$689,3)*$B$18/1000000 + VLOOKUP(I30*1000000,'Mead-Elevation-Area'!$B$5:$D$676,3)*$C$18/1000000,"")</f>
        <v>0.86944698000000009</v>
      </c>
      <c r="J31" s="15">
        <f>IF(J$22&lt;&gt;"",VLOOKUP(J29*1000000,'Powell-Elevation-Area'!$B$5:$D$689,3)*$B$18/1000000 + VLOOKUP(J30*1000000,'Mead-Elevation-Area'!$B$5:$D$676,3)*$C$18/1000000,"")</f>
        <v>0.90936680550057303</v>
      </c>
      <c r="K31" s="15">
        <f>IF(K$22&lt;&gt;"",VLOOKUP(K29*1000000,'Powell-Elevation-Area'!$B$5:$D$689,3)*$B$18/1000000 + VLOOKUP(K30*1000000,'Mead-Elevation-Area'!$B$5:$D$676,3)*$C$18/1000000,"")</f>
        <v>0.94739359800057299</v>
      </c>
      <c r="L31" s="15">
        <f>IF(L$22&lt;&gt;"",VLOOKUP(L29*1000000,'Powell-Elevation-Area'!$B$5:$D$689,3)*$B$18/1000000 + VLOOKUP(L30*1000000,'Mead-Elevation-Area'!$B$5:$D$676,3)*$C$18/1000000,"")</f>
        <v>0.98351839050000001</v>
      </c>
    </row>
    <row r="32" spans="1:17" x14ac:dyDescent="0.35">
      <c r="A32" t="s">
        <v>104</v>
      </c>
      <c r="B32" s="54">
        <f>+D30-C30-C23+SUM(C50:C52)+C33+C34</f>
        <v>8.596705973649291</v>
      </c>
      <c r="C32" s="15">
        <f>IF(C$22&lt;&gt;"",C$31*C25/C$24,"")</f>
        <v>0.5327428663506969</v>
      </c>
      <c r="D32" s="15">
        <f t="shared" ref="D32:L32" si="5">IF(D$22&lt;&gt;"",D$31*D25/D$24,"")</f>
        <v>0.51438286114063969</v>
      </c>
      <c r="E32" s="15">
        <f t="shared" si="5"/>
        <v>0.49728665394392291</v>
      </c>
      <c r="F32" s="15">
        <f t="shared" si="5"/>
        <v>0.47868716746128193</v>
      </c>
      <c r="G32" s="15">
        <f t="shared" si="5"/>
        <v>0.46039785886782819</v>
      </c>
      <c r="H32" s="15">
        <f t="shared" si="5"/>
        <v>0.44221088830717575</v>
      </c>
      <c r="I32" s="15">
        <f t="shared" si="5"/>
        <v>0.42517980506954395</v>
      </c>
      <c r="J32" s="15">
        <f t="shared" si="5"/>
        <v>0.49258377261099145</v>
      </c>
      <c r="K32" s="15">
        <f t="shared" si="5"/>
        <v>0.55397799381485491</v>
      </c>
      <c r="L32" s="15">
        <f t="shared" si="5"/>
        <v>0.61028668130259256</v>
      </c>
    </row>
    <row r="33" spans="1:13" x14ac:dyDescent="0.35">
      <c r="A33" t="s">
        <v>105</v>
      </c>
      <c r="B33" s="1"/>
      <c r="C33" s="15">
        <f>IF(C$22&lt;&gt;"",C$31*C26/C$24,"")</f>
        <v>0.48915481364927621</v>
      </c>
      <c r="D33" s="15">
        <f t="shared" ref="D33:L33" si="6">IF(D$22&lt;&gt;"",D$31*D26/D$24,"")</f>
        <v>0.47871361885993341</v>
      </c>
      <c r="E33" s="15">
        <f t="shared" si="6"/>
        <v>0.46937310005550414</v>
      </c>
      <c r="F33" s="15">
        <f t="shared" si="6"/>
        <v>0.46282939153874519</v>
      </c>
      <c r="G33" s="15">
        <f t="shared" si="6"/>
        <v>0.45638950513334492</v>
      </c>
      <c r="H33" s="15">
        <f t="shared" si="6"/>
        <v>0.44984128069339718</v>
      </c>
      <c r="I33" s="15">
        <f t="shared" si="6"/>
        <v>0.44426717493045609</v>
      </c>
      <c r="J33" s="15">
        <f t="shared" si="6"/>
        <v>0.41678303288958168</v>
      </c>
      <c r="K33" s="15">
        <f t="shared" si="6"/>
        <v>0.39341560418571803</v>
      </c>
      <c r="L33" s="15">
        <f t="shared" si="6"/>
        <v>0.37323170919740739</v>
      </c>
    </row>
    <row r="34" spans="1:13" x14ac:dyDescent="0.35">
      <c r="A34" t="s">
        <v>106</v>
      </c>
      <c r="B34" s="1"/>
      <c r="C34" s="15">
        <f>IF(C$22&lt;&gt;"",C$31*C27/C$24,"")</f>
        <v>0</v>
      </c>
      <c r="D34" s="15">
        <f t="shared" ref="D34:L34" si="7">IF(D$22&lt;&gt;"",D$31*D27/D$24,"")</f>
        <v>0</v>
      </c>
      <c r="E34" s="15">
        <f t="shared" si="7"/>
        <v>0</v>
      </c>
      <c r="F34" s="15">
        <f t="shared" si="7"/>
        <v>0</v>
      </c>
      <c r="G34" s="15">
        <f t="shared" si="7"/>
        <v>0</v>
      </c>
      <c r="H34" s="15">
        <f t="shared" si="7"/>
        <v>0</v>
      </c>
      <c r="I34" s="15">
        <f t="shared" si="7"/>
        <v>0</v>
      </c>
      <c r="J34" s="15">
        <f t="shared" si="7"/>
        <v>0</v>
      </c>
      <c r="K34" s="15">
        <f t="shared" si="7"/>
        <v>0</v>
      </c>
      <c r="L34" s="15">
        <f t="shared" si="7"/>
        <v>0</v>
      </c>
    </row>
    <row r="35" spans="1:13" x14ac:dyDescent="0.35">
      <c r="A35" s="1" t="s">
        <v>124</v>
      </c>
      <c r="B35" s="1"/>
      <c r="C35" s="58">
        <f>IF(C22&lt;&gt;"",1.5-IF(C$26&lt;$O$51,$Q$51,IF(C$26&lt;=$O$58,VLOOKUP(C$26,$O$51:$Q$58,3),0)),"")</f>
        <v>1.47</v>
      </c>
      <c r="D35" s="58">
        <f t="shared" ref="D35:L35" si="8">IF(D22&lt;&gt;"",1.5-IF(D$26&lt;$O$51,$Q$51,IF(D$26&lt;=$O$58,VLOOKUP(D$26,$O$51:$Q$58,3),0)),"")</f>
        <v>1.47</v>
      </c>
      <c r="E35" s="58">
        <f t="shared" si="8"/>
        <v>1.466</v>
      </c>
      <c r="F35" s="58">
        <f t="shared" si="8"/>
        <v>1.466</v>
      </c>
      <c r="G35" s="58">
        <f t="shared" si="8"/>
        <v>1.466</v>
      </c>
      <c r="H35" s="58">
        <f t="shared" si="8"/>
        <v>1.466</v>
      </c>
      <c r="I35" s="58">
        <f t="shared" si="8"/>
        <v>1.466</v>
      </c>
      <c r="J35" s="58">
        <f t="shared" si="8"/>
        <v>1.466</v>
      </c>
      <c r="K35" s="58">
        <f t="shared" si="8"/>
        <v>1.466</v>
      </c>
      <c r="L35" s="58">
        <f t="shared" si="8"/>
        <v>1.4239999999999999</v>
      </c>
    </row>
    <row r="36" spans="1:13" x14ac:dyDescent="0.35">
      <c r="A36" s="1" t="s">
        <v>139</v>
      </c>
      <c r="B36" s="1"/>
      <c r="C36" s="15">
        <f>IF(C$22&lt;&gt;"",C22-C35/2,"")</f>
        <v>11.665000000000001</v>
      </c>
      <c r="D36" s="15">
        <f t="shared" ref="D36:L36" si="9">IF(D$22&lt;&gt;"",D22-D35/2,"")</f>
        <v>11.665000000000001</v>
      </c>
      <c r="E36" s="15">
        <f t="shared" si="9"/>
        <v>11.667</v>
      </c>
      <c r="F36" s="15">
        <f t="shared" si="9"/>
        <v>11.667</v>
      </c>
      <c r="G36" s="15">
        <f t="shared" si="9"/>
        <v>11.667</v>
      </c>
      <c r="H36" s="15">
        <f t="shared" si="9"/>
        <v>11.667</v>
      </c>
      <c r="I36" s="15">
        <f t="shared" si="9"/>
        <v>13.667</v>
      </c>
      <c r="J36" s="15">
        <f t="shared" si="9"/>
        <v>13.667</v>
      </c>
      <c r="K36" s="15">
        <f t="shared" si="9"/>
        <v>13.667</v>
      </c>
      <c r="L36" s="15">
        <f t="shared" si="9"/>
        <v>13.688000000000001</v>
      </c>
    </row>
    <row r="37" spans="1:13" x14ac:dyDescent="0.35">
      <c r="A37" t="s">
        <v>0</v>
      </c>
      <c r="B37" s="25"/>
      <c r="C37" s="86">
        <f>IF(C21&lt;&gt;"",MAX(0,C36-C38),"")</f>
        <v>4.1650000000000009</v>
      </c>
      <c r="D37" s="15">
        <f t="shared" ref="D37:L37" si="10">IF(D21&lt;&gt;"",MAX(0,D36-D38),"")</f>
        <v>4.1650000000000009</v>
      </c>
      <c r="E37" s="15">
        <f t="shared" si="10"/>
        <v>4.1669999999999998</v>
      </c>
      <c r="F37" s="15">
        <f t="shared" si="10"/>
        <v>4.1669999999999998</v>
      </c>
      <c r="G37" s="15">
        <f t="shared" si="10"/>
        <v>4.1669999999999998</v>
      </c>
      <c r="H37" s="15">
        <f t="shared" si="10"/>
        <v>4.1669999999999998</v>
      </c>
      <c r="I37" s="15">
        <f t="shared" si="10"/>
        <v>6.1669999999999998</v>
      </c>
      <c r="J37" s="15">
        <f t="shared" si="10"/>
        <v>6.1669999999999998</v>
      </c>
      <c r="K37" s="15">
        <f t="shared" si="10"/>
        <v>6.1669999999999998</v>
      </c>
      <c r="L37" s="15">
        <f t="shared" si="10"/>
        <v>6.1880000000000006</v>
      </c>
    </row>
    <row r="38" spans="1:13" x14ac:dyDescent="0.35">
      <c r="A38" t="s">
        <v>1</v>
      </c>
      <c r="B38" s="46">
        <v>7.5</v>
      </c>
      <c r="C38" s="86">
        <f>IF(C22&lt;&gt;"",IF(C36&gt;$B38,$B38,C36),"")</f>
        <v>7.5</v>
      </c>
      <c r="D38" s="15">
        <f t="shared" ref="D38:L38" si="11">IF(D22&lt;&gt;"",IF(D36&gt;$B38,$B38,D36),"")</f>
        <v>7.5</v>
      </c>
      <c r="E38" s="15">
        <f t="shared" si="11"/>
        <v>7.5</v>
      </c>
      <c r="F38" s="15">
        <f t="shared" si="11"/>
        <v>7.5</v>
      </c>
      <c r="G38" s="15">
        <f t="shared" si="11"/>
        <v>7.5</v>
      </c>
      <c r="H38" s="15">
        <f t="shared" si="11"/>
        <v>7.5</v>
      </c>
      <c r="I38" s="15">
        <f t="shared" si="11"/>
        <v>7.5</v>
      </c>
      <c r="J38" s="15">
        <f t="shared" si="11"/>
        <v>7.5</v>
      </c>
      <c r="K38" s="15">
        <f t="shared" si="11"/>
        <v>7.5</v>
      </c>
      <c r="L38" s="15">
        <f t="shared" si="11"/>
        <v>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14.632257133649304</v>
      </c>
      <c r="D45" s="15">
        <f t="shared" ref="D45:L45" si="12">IF(D$22&lt;&gt;"",D25+D37-D32-D40,"")</f>
        <v>14.082874272508667</v>
      </c>
      <c r="E45" s="15">
        <f t="shared" si="12"/>
        <v>13.552587618564743</v>
      </c>
      <c r="F45" s="15">
        <f t="shared" si="12"/>
        <v>13.040900451103463</v>
      </c>
      <c r="G45" s="15">
        <f t="shared" si="12"/>
        <v>12.547502592235633</v>
      </c>
      <c r="H45" s="15">
        <f t="shared" si="12"/>
        <v>12.072291703928455</v>
      </c>
      <c r="I45" s="15">
        <f t="shared" si="12"/>
        <v>13.614111898858912</v>
      </c>
      <c r="J45" s="15">
        <f t="shared" si="12"/>
        <v>15.088528126247921</v>
      </c>
      <c r="K45" s="15">
        <f t="shared" si="12"/>
        <v>16.501550132433067</v>
      </c>
      <c r="L45" s="15">
        <f t="shared" si="12"/>
        <v>17.879263451130473</v>
      </c>
    </row>
    <row r="46" spans="1:13" x14ac:dyDescent="0.35">
      <c r="A46" t="s">
        <v>3</v>
      </c>
      <c r="C46" s="15">
        <f>IF(C$22&lt;&gt;"",C26+C38-C33+C40+C42+C23-C35/2,"")</f>
        <v>17.175845186350728</v>
      </c>
      <c r="D46" s="15">
        <f t="shared" ref="D46:L46" si="13">IF(D$22&lt;&gt;"",D26+D38-D33+D40+D42+D23-D35/2,"")</f>
        <v>16.795131567490795</v>
      </c>
      <c r="E46" s="15">
        <f t="shared" si="13"/>
        <v>16.425758467435291</v>
      </c>
      <c r="F46" s="15">
        <f t="shared" si="13"/>
        <v>16.146929075896548</v>
      </c>
      <c r="G46" s="15">
        <f t="shared" si="13"/>
        <v>15.874539570763204</v>
      </c>
      <c r="H46" s="15">
        <f t="shared" si="13"/>
        <v>15.608698290069807</v>
      </c>
      <c r="I46" s="15">
        <f t="shared" si="13"/>
        <v>15.348431115139348</v>
      </c>
      <c r="J46" s="15">
        <f t="shared" si="13"/>
        <v>15.115648082249766</v>
      </c>
      <c r="K46" s="15">
        <f t="shared" si="13"/>
        <v>14.906232478064048</v>
      </c>
      <c r="L46" s="15">
        <f t="shared" si="13"/>
        <v>14.738000768866641</v>
      </c>
    </row>
    <row r="47" spans="1:13" x14ac:dyDescent="0.35">
      <c r="A47" t="s">
        <v>4</v>
      </c>
      <c r="C47" s="15">
        <f>IF(C$22&lt;&gt;"",C27+C35-C34-C42,"")</f>
        <v>1.47</v>
      </c>
      <c r="D47" s="15">
        <f t="shared" ref="D47:L47" si="14">IF(D$22&lt;&gt;"",D27+D35-D34-D42,"")</f>
        <v>1.47</v>
      </c>
      <c r="E47" s="15">
        <f t="shared" si="14"/>
        <v>1.466</v>
      </c>
      <c r="F47" s="15">
        <f t="shared" si="14"/>
        <v>1.466</v>
      </c>
      <c r="G47" s="15">
        <f t="shared" si="14"/>
        <v>1.466</v>
      </c>
      <c r="H47" s="15">
        <f t="shared" si="14"/>
        <v>1.466</v>
      </c>
      <c r="I47" s="15">
        <f t="shared" si="14"/>
        <v>1.466</v>
      </c>
      <c r="J47" s="15">
        <f t="shared" si="14"/>
        <v>1.466</v>
      </c>
      <c r="K47" s="15">
        <f t="shared" si="14"/>
        <v>1.466</v>
      </c>
      <c r="L47" s="15">
        <f t="shared" si="14"/>
        <v>1.4239999999999999</v>
      </c>
    </row>
    <row r="48" spans="1:13" x14ac:dyDescent="0.35">
      <c r="A48" s="1" t="s">
        <v>140</v>
      </c>
      <c r="B48" s="1"/>
      <c r="C48" s="30"/>
      <c r="D48" s="2"/>
      <c r="E48" s="2"/>
      <c r="F48" s="2"/>
      <c r="G48" s="2"/>
      <c r="H48" s="2"/>
      <c r="I48" s="2"/>
      <c r="J48" s="2"/>
      <c r="K48" s="2"/>
      <c r="L48" s="2"/>
    </row>
    <row r="49" spans="1:20" x14ac:dyDescent="0.35">
      <c r="A49" t="s">
        <v>141</v>
      </c>
      <c r="C49" s="45">
        <f>IF(C45&gt;6.1+4.2,4.2,MAX(C45-6.1,0))</f>
        <v>4.2</v>
      </c>
      <c r="D49" s="45">
        <f t="shared" ref="D49:L49" si="15">IF(D45&gt;6.1+4.2,4.2,MAX(D45-6.1,0))</f>
        <v>4.2</v>
      </c>
      <c r="E49" s="45">
        <f t="shared" si="15"/>
        <v>4.2</v>
      </c>
      <c r="F49" s="45">
        <f t="shared" si="15"/>
        <v>4.2</v>
      </c>
      <c r="G49" s="45">
        <f t="shared" si="15"/>
        <v>4.2</v>
      </c>
      <c r="H49" s="45">
        <f t="shared" si="15"/>
        <v>4.2</v>
      </c>
      <c r="I49" s="45">
        <f t="shared" si="15"/>
        <v>4.2</v>
      </c>
      <c r="J49" s="45">
        <f t="shared" si="15"/>
        <v>4.2</v>
      </c>
      <c r="K49" s="45">
        <f t="shared" si="15"/>
        <v>4.2</v>
      </c>
      <c r="L49" s="45">
        <f t="shared" si="15"/>
        <v>4.2</v>
      </c>
      <c r="N49" s="1" t="s">
        <v>133</v>
      </c>
    </row>
    <row r="50" spans="1:20" x14ac:dyDescent="0.35">
      <c r="A50" t="s">
        <v>142</v>
      </c>
      <c r="C50" s="45">
        <f t="shared" ref="C50:L50" si="16">7.5-IF(C$26&lt;$O$51,$P$51,IF(C$26&lt;=$O$58,VLOOKUP(C$26,$O$51:$P$58,2),0))</f>
        <v>6.867</v>
      </c>
      <c r="D50" s="45">
        <f t="shared" si="16"/>
        <v>6.867</v>
      </c>
      <c r="E50" s="45">
        <f t="shared" si="16"/>
        <v>6.7830000000000004</v>
      </c>
      <c r="F50" s="45">
        <f t="shared" si="16"/>
        <v>6.7830000000000004</v>
      </c>
      <c r="G50" s="45">
        <f t="shared" si="16"/>
        <v>6.7830000000000004</v>
      </c>
      <c r="H50" s="45">
        <f t="shared" si="16"/>
        <v>6.7830000000000004</v>
      </c>
      <c r="I50" s="45">
        <f t="shared" si="16"/>
        <v>6.7830000000000004</v>
      </c>
      <c r="J50" s="45">
        <f t="shared" si="16"/>
        <v>6.7830000000000004</v>
      </c>
      <c r="K50" s="45">
        <f t="shared" si="16"/>
        <v>6.7830000000000004</v>
      </c>
      <c r="L50" s="45">
        <f t="shared" si="16"/>
        <v>6.5330000000000004</v>
      </c>
      <c r="N50" s="39" t="s">
        <v>134</v>
      </c>
      <c r="O50" s="39" t="s">
        <v>135</v>
      </c>
      <c r="P50" s="40" t="s">
        <v>136</v>
      </c>
      <c r="Q50" s="61" t="s">
        <v>175</v>
      </c>
      <c r="R50" s="39" t="s">
        <v>138</v>
      </c>
      <c r="S50" s="59" t="s">
        <v>174</v>
      </c>
      <c r="T50" s="59" t="s">
        <v>176</v>
      </c>
    </row>
    <row r="51" spans="1:20" x14ac:dyDescent="0.35">
      <c r="A51" t="s">
        <v>143</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R51-Q51</f>
        <v>1.2000000000000002</v>
      </c>
      <c r="Q51" s="57">
        <v>0.15</v>
      </c>
      <c r="R51" s="43">
        <f t="shared" ref="R51:R58" si="18">T51/1000000</f>
        <v>1.35</v>
      </c>
      <c r="S51" s="44">
        <v>0.125</v>
      </c>
      <c r="T51" s="60">
        <v>1350000</v>
      </c>
    </row>
    <row r="52" spans="1:20" x14ac:dyDescent="0.35">
      <c r="A52" t="s">
        <v>144</v>
      </c>
      <c r="C52" s="45">
        <f>C35</f>
        <v>1.47</v>
      </c>
      <c r="D52" s="45">
        <f t="shared" ref="D52:L52" si="19">D35</f>
        <v>1.47</v>
      </c>
      <c r="E52" s="45">
        <f t="shared" si="19"/>
        <v>1.466</v>
      </c>
      <c r="F52" s="45">
        <f t="shared" si="19"/>
        <v>1.466</v>
      </c>
      <c r="G52" s="45">
        <f t="shared" si="19"/>
        <v>1.466</v>
      </c>
      <c r="H52" s="45">
        <f t="shared" si="19"/>
        <v>1.466</v>
      </c>
      <c r="I52" s="45">
        <f t="shared" si="19"/>
        <v>1.466</v>
      </c>
      <c r="J52" s="45">
        <f t="shared" si="19"/>
        <v>1.466</v>
      </c>
      <c r="K52" s="45">
        <f t="shared" si="19"/>
        <v>1.466</v>
      </c>
      <c r="L52" s="45">
        <f t="shared" si="19"/>
        <v>1.4239999999999999</v>
      </c>
      <c r="N52" s="41">
        <v>1030</v>
      </c>
      <c r="O52" s="42">
        <v>6.305377</v>
      </c>
      <c r="P52" s="43">
        <f t="shared" ref="P52:P58" si="20">R52-Q52</f>
        <v>1.117</v>
      </c>
      <c r="Q52" s="57">
        <v>0.10100000000000001</v>
      </c>
      <c r="R52" s="43">
        <f t="shared" si="18"/>
        <v>1.218</v>
      </c>
      <c r="S52" s="44">
        <v>7.0000000000000007E-2</v>
      </c>
      <c r="T52" s="60">
        <v>1218000</v>
      </c>
    </row>
    <row r="53" spans="1:20" x14ac:dyDescent="0.35">
      <c r="A53" s="1" t="s">
        <v>5</v>
      </c>
      <c r="B53" s="1"/>
      <c r="D53" s="2"/>
      <c r="E53" s="2"/>
      <c r="F53" s="2"/>
      <c r="G53" s="2"/>
      <c r="H53" s="2"/>
      <c r="I53" s="2"/>
      <c r="J53" s="2"/>
      <c r="K53" s="2"/>
      <c r="L53" s="2"/>
      <c r="N53" s="41">
        <v>1035</v>
      </c>
      <c r="O53" s="42">
        <v>6.6375080000000004</v>
      </c>
      <c r="P53" s="43">
        <f t="shared" si="20"/>
        <v>1.0669999999999999</v>
      </c>
      <c r="Q53" s="57">
        <v>9.1999999999999998E-2</v>
      </c>
      <c r="R53" s="43">
        <f t="shared" si="18"/>
        <v>1.159</v>
      </c>
      <c r="S53" s="44">
        <v>7.0000000000000007E-2</v>
      </c>
      <c r="T53" s="60">
        <v>1159000</v>
      </c>
    </row>
    <row r="54" spans="1:20" x14ac:dyDescent="0.35">
      <c r="A54" t="s">
        <v>2</v>
      </c>
      <c r="C54" s="15">
        <f>IF(C$22&lt;&gt;"",C45-C49,"")</f>
        <v>10.432257133649305</v>
      </c>
      <c r="D54" s="15">
        <f t="shared" ref="D54:L54" si="21">IF(D$22&lt;&gt;"",D45-D49,"")</f>
        <v>9.8828742725086656</v>
      </c>
      <c r="E54" s="86">
        <f t="shared" si="21"/>
        <v>9.3525876185647441</v>
      </c>
      <c r="F54" s="15">
        <f t="shared" si="21"/>
        <v>8.8409004511034617</v>
      </c>
      <c r="G54" s="15">
        <f t="shared" si="21"/>
        <v>8.3475025922356316</v>
      </c>
      <c r="H54" s="15">
        <f t="shared" si="21"/>
        <v>7.8722917039284548</v>
      </c>
      <c r="I54" s="15">
        <f t="shared" si="21"/>
        <v>9.4141118988589128</v>
      </c>
      <c r="J54" s="15">
        <f t="shared" si="21"/>
        <v>10.88852812624792</v>
      </c>
      <c r="K54" s="15">
        <f t="shared" si="21"/>
        <v>12.301550132433068</v>
      </c>
      <c r="L54" s="15">
        <f t="shared" si="21"/>
        <v>13.679263451130474</v>
      </c>
      <c r="N54" s="41">
        <v>1040</v>
      </c>
      <c r="O54" s="42">
        <v>6.977665</v>
      </c>
      <c r="P54" s="43">
        <f t="shared" si="20"/>
        <v>1.0169999999999999</v>
      </c>
      <c r="Q54" s="57">
        <v>8.4000000000000005E-2</v>
      </c>
      <c r="R54" s="43">
        <f t="shared" si="18"/>
        <v>1.101</v>
      </c>
      <c r="S54" s="44">
        <v>7.0000000000000007E-2</v>
      </c>
      <c r="T54" s="60">
        <v>1101000</v>
      </c>
    </row>
    <row r="55" spans="1:20" x14ac:dyDescent="0.35">
      <c r="A55" t="s">
        <v>3</v>
      </c>
      <c r="C55" s="15">
        <f>IF(C$22&lt;&gt;"",C46-C50-C51,"")</f>
        <v>9.708845186350727</v>
      </c>
      <c r="D55" s="15">
        <f t="shared" ref="D55:K55" si="22">IF(D$22&lt;&gt;"",D46-D50-D51,"")</f>
        <v>9.3281315674907948</v>
      </c>
      <c r="E55" s="86">
        <f t="shared" si="22"/>
        <v>9.0427584674352897</v>
      </c>
      <c r="F55" s="15">
        <f t="shared" si="22"/>
        <v>8.7639290758965469</v>
      </c>
      <c r="G55" s="15">
        <f t="shared" si="22"/>
        <v>8.4915395707632033</v>
      </c>
      <c r="H55" s="15">
        <f t="shared" si="22"/>
        <v>8.2256982900698059</v>
      </c>
      <c r="I55" s="15">
        <f t="shared" si="22"/>
        <v>7.9654311151393475</v>
      </c>
      <c r="J55" s="15">
        <f t="shared" si="22"/>
        <v>7.7326480822497654</v>
      </c>
      <c r="K55" s="15">
        <f t="shared" si="22"/>
        <v>7.5232324780640472</v>
      </c>
      <c r="L55" s="15">
        <f>IF(L$22&lt;&gt;"",L46-L50-L51,"")</f>
        <v>7.6050007688666401</v>
      </c>
      <c r="N55" s="41">
        <v>1045</v>
      </c>
      <c r="O55" s="42">
        <v>7.3260519999999998</v>
      </c>
      <c r="P55" s="43">
        <f t="shared" si="20"/>
        <v>0.96699999999999997</v>
      </c>
      <c r="Q55" s="57">
        <v>7.5999999999999998E-2</v>
      </c>
      <c r="R55" s="43">
        <f t="shared" si="18"/>
        <v>1.0429999999999999</v>
      </c>
      <c r="S55" s="44">
        <v>7.0000000000000007E-2</v>
      </c>
      <c r="T55" s="60">
        <v>1043000</v>
      </c>
    </row>
    <row r="56" spans="1:20" x14ac:dyDescent="0.35">
      <c r="A56" t="s">
        <v>4</v>
      </c>
      <c r="C56" s="15">
        <f>IF(C$22&lt;&gt;"",C47-C52,"")</f>
        <v>0</v>
      </c>
      <c r="D56" s="15">
        <f t="shared" ref="D56:L56" si="23">IF(D$22&lt;&gt;"",D47-D52,"")</f>
        <v>0</v>
      </c>
      <c r="E56" s="15">
        <f t="shared" si="23"/>
        <v>0</v>
      </c>
      <c r="F56" s="15">
        <f t="shared" si="23"/>
        <v>0</v>
      </c>
      <c r="G56" s="15">
        <f t="shared" si="23"/>
        <v>0</v>
      </c>
      <c r="H56" s="15">
        <f t="shared" si="23"/>
        <v>0</v>
      </c>
      <c r="I56" s="15">
        <f t="shared" si="23"/>
        <v>0</v>
      </c>
      <c r="J56" s="15">
        <f t="shared" si="23"/>
        <v>0</v>
      </c>
      <c r="K56" s="15">
        <f t="shared" si="23"/>
        <v>0</v>
      </c>
      <c r="L56" s="15">
        <f t="shared" si="23"/>
        <v>0</v>
      </c>
      <c r="N56" s="41">
        <v>1050</v>
      </c>
      <c r="O56" s="42">
        <v>7.6828779999999997</v>
      </c>
      <c r="P56" s="43">
        <f t="shared" si="20"/>
        <v>0.71699999999999997</v>
      </c>
      <c r="Q56" s="57">
        <v>3.4000000000000002E-2</v>
      </c>
      <c r="R56" s="43">
        <f t="shared" si="18"/>
        <v>0.751</v>
      </c>
      <c r="S56" s="44">
        <v>7.0000000000000007E-2</v>
      </c>
      <c r="T56" s="60">
        <v>751000</v>
      </c>
    </row>
    <row r="57" spans="1:20" x14ac:dyDescent="0.35">
      <c r="A57" s="1" t="s">
        <v>129</v>
      </c>
      <c r="B57" s="1"/>
      <c r="C57" s="15">
        <f>IF(C$22&lt;&gt;"",SUM(C54:C56),"")</f>
        <v>20.14110232000003</v>
      </c>
      <c r="D57" s="15">
        <f t="shared" ref="D57:L57" si="24">IF(D$22&lt;&gt;"",SUM(D54:D56),"")</f>
        <v>19.211005839999459</v>
      </c>
      <c r="E57" s="15">
        <f t="shared" si="24"/>
        <v>18.395346086000032</v>
      </c>
      <c r="F57" s="15">
        <f t="shared" si="24"/>
        <v>17.604829527000007</v>
      </c>
      <c r="G57" s="15">
        <f t="shared" si="24"/>
        <v>16.839042162998837</v>
      </c>
      <c r="H57" s="15">
        <f t="shared" si="24"/>
        <v>16.097989993998262</v>
      </c>
      <c r="I57" s="15">
        <f t="shared" si="24"/>
        <v>17.379543013998259</v>
      </c>
      <c r="J57" s="15">
        <f t="shared" si="24"/>
        <v>18.621176208497687</v>
      </c>
      <c r="K57" s="15">
        <f t="shared" si="24"/>
        <v>19.824782610497117</v>
      </c>
      <c r="L57" s="15">
        <f t="shared" si="24"/>
        <v>21.284264219997112</v>
      </c>
      <c r="N57" s="41">
        <v>1075</v>
      </c>
      <c r="O57" s="42">
        <v>9.6009879999900001</v>
      </c>
      <c r="P57" s="43">
        <f t="shared" si="20"/>
        <v>0.63300000000000001</v>
      </c>
      <c r="Q57" s="57">
        <v>0.03</v>
      </c>
      <c r="R57" s="43">
        <f t="shared" si="18"/>
        <v>0.66300000000000003</v>
      </c>
      <c r="S57" s="44">
        <v>0.05</v>
      </c>
      <c r="T57" s="60">
        <v>663000</v>
      </c>
    </row>
    <row r="58" spans="1:20" x14ac:dyDescent="0.35">
      <c r="A58" s="1" t="s">
        <v>152</v>
      </c>
      <c r="B58" s="1"/>
      <c r="C58" s="15">
        <f>IF(C22&lt;&gt;"",C29+C22-C32-C49-C57*$B$29,"")</f>
        <v>8.5967059736492857</v>
      </c>
      <c r="D58" s="15">
        <f t="shared" ref="D58:L58" si="25">IF(D22&lt;&gt;"",D29+D22-D32-D49-D57*$B$29,"")</f>
        <v>8.1506653788596459</v>
      </c>
      <c r="E58" s="15">
        <f t="shared" si="25"/>
        <v>8.1105432230557888</v>
      </c>
      <c r="F58" s="15">
        <f t="shared" si="25"/>
        <v>8.1165711120387307</v>
      </c>
      <c r="G58" s="15">
        <f t="shared" si="25"/>
        <v>8.1224958231327555</v>
      </c>
      <c r="H58" s="15">
        <f t="shared" si="25"/>
        <v>8.1283151961931104</v>
      </c>
      <c r="I58" s="15">
        <f t="shared" si="25"/>
        <v>9.1340436849304609</v>
      </c>
      <c r="J58" s="15">
        <f t="shared" si="25"/>
        <v>9.0865996301392933</v>
      </c>
      <c r="K58" s="15">
        <f t="shared" si="25"/>
        <v>9.0442188051854302</v>
      </c>
      <c r="L58" s="15">
        <f t="shared" si="25"/>
        <v>8.8599725139474117</v>
      </c>
      <c r="N58" s="41">
        <v>1090</v>
      </c>
      <c r="O58" s="42">
        <v>10.857008</v>
      </c>
      <c r="P58" s="43">
        <f t="shared" si="20"/>
        <v>0.30000000000000004</v>
      </c>
      <c r="Q58" s="57">
        <v>4.1000000000000002E-2</v>
      </c>
      <c r="R58" s="43">
        <f t="shared" si="18"/>
        <v>0.34100000000000003</v>
      </c>
      <c r="S58" s="40"/>
      <c r="T58" s="60">
        <v>341000</v>
      </c>
    </row>
    <row r="60" spans="1:20" x14ac:dyDescent="0.35">
      <c r="A60" s="1" t="s">
        <v>131</v>
      </c>
      <c r="C60" s="12">
        <f>IF(C$22&lt;&gt;"",0.2,"")</f>
        <v>0.2</v>
      </c>
      <c r="D60" s="12">
        <f t="shared" ref="D60:L60" si="26">IF(D$22&lt;&gt;"",0.2,"")</f>
        <v>0.2</v>
      </c>
      <c r="E60" s="12">
        <f t="shared" si="26"/>
        <v>0.2</v>
      </c>
      <c r="F60" s="12">
        <f t="shared" si="26"/>
        <v>0.2</v>
      </c>
      <c r="G60" s="12">
        <f t="shared" si="26"/>
        <v>0.2</v>
      </c>
      <c r="H60" s="12">
        <f t="shared" si="26"/>
        <v>0.2</v>
      </c>
      <c r="I60" s="12">
        <f t="shared" si="26"/>
        <v>0.2</v>
      </c>
      <c r="J60" s="12">
        <f t="shared" si="26"/>
        <v>0.2</v>
      </c>
      <c r="K60" s="12">
        <f t="shared" si="26"/>
        <v>0.2</v>
      </c>
      <c r="L60" s="12">
        <f t="shared" si="26"/>
        <v>0.2</v>
      </c>
      <c r="N60" s="55">
        <f>31500000/SUM(70000,50000,109100)</f>
        <v>137.49454386730685</v>
      </c>
      <c r="O60">
        <f>15000000/109100</f>
        <v>137.4885426214482</v>
      </c>
    </row>
    <row r="61" spans="1:20" x14ac:dyDescent="0.35">
      <c r="A61" t="s">
        <v>132</v>
      </c>
      <c r="C61" s="15">
        <f t="shared" ref="C61:L61" si="27">IF(C$22&lt;&gt;"",C50+C60,"")</f>
        <v>7.0670000000000002</v>
      </c>
      <c r="D61" s="15">
        <f t="shared" si="27"/>
        <v>7.0670000000000002</v>
      </c>
      <c r="E61" s="15">
        <f t="shared" si="27"/>
        <v>6.9830000000000005</v>
      </c>
      <c r="F61" s="15">
        <f t="shared" si="27"/>
        <v>6.9830000000000005</v>
      </c>
      <c r="G61" s="15">
        <f t="shared" si="27"/>
        <v>6.9830000000000005</v>
      </c>
      <c r="H61" s="15">
        <f t="shared" si="27"/>
        <v>6.9830000000000005</v>
      </c>
      <c r="I61" s="15">
        <f t="shared" si="27"/>
        <v>6.9830000000000005</v>
      </c>
      <c r="J61" s="15">
        <f t="shared" si="27"/>
        <v>6.9830000000000005</v>
      </c>
      <c r="K61" s="15">
        <f t="shared" si="27"/>
        <v>6.9830000000000005</v>
      </c>
      <c r="L61" s="15">
        <f t="shared" si="27"/>
        <v>6.7330000000000005</v>
      </c>
    </row>
    <row r="63" spans="1:20" x14ac:dyDescent="0.35">
      <c r="D63" s="19"/>
    </row>
  </sheetData>
  <sortState ref="T51:T58">
    <sortCondition descending="1" ref="T51:T58"/>
  </sortState>
  <mergeCells count="5">
    <mergeCell ref="C5:H5"/>
    <mergeCell ref="C6:H6"/>
    <mergeCell ref="C7:H7"/>
    <mergeCell ref="C8:H8"/>
    <mergeCell ref="D15:I15"/>
  </mergeCells>
  <conditionalFormatting sqref="C49:L49">
    <cfRule type="cellIs" dxfId="23" priority="1" operator="greaterThan">
      <formula>$C$45</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583FB-2133-4215-BF55-5657B6D72C84}">
  <dimension ref="G1:P1"/>
  <sheetViews>
    <sheetView workbookViewId="0">
      <selection activeCell="X29" sqref="X29"/>
    </sheetView>
  </sheetViews>
  <sheetFormatPr defaultRowHeight="14.5" x14ac:dyDescent="0.35"/>
  <sheetData>
    <row r="1" spans="7:16" ht="36" x14ac:dyDescent="0.8">
      <c r="G1" s="53"/>
      <c r="P1" s="53"/>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57</v>
      </c>
    </row>
    <row r="3" spans="1:24" x14ac:dyDescent="0.35">
      <c r="A3" t="s">
        <v>79</v>
      </c>
    </row>
    <row r="5" spans="1:24" s="1" customFormat="1" x14ac:dyDescent="0.35">
      <c r="A5" s="1" t="s">
        <v>59</v>
      </c>
      <c r="B5" s="1" t="s">
        <v>58</v>
      </c>
      <c r="C5" s="14" t="s">
        <v>6</v>
      </c>
      <c r="D5" s="14" t="s">
        <v>7</v>
      </c>
      <c r="E5" s="14" t="s">
        <v>8</v>
      </c>
      <c r="F5" s="14" t="s">
        <v>9</v>
      </c>
      <c r="G5" s="14" t="s">
        <v>10</v>
      </c>
      <c r="H5" s="14" t="s">
        <v>11</v>
      </c>
      <c r="I5" s="14" t="s">
        <v>12</v>
      </c>
      <c r="J5" s="14" t="s">
        <v>13</v>
      </c>
      <c r="K5" s="14" t="s">
        <v>37</v>
      </c>
      <c r="L5" s="14" t="s">
        <v>38</v>
      </c>
      <c r="M5" s="14" t="s">
        <v>62</v>
      </c>
      <c r="N5" s="14" t="s">
        <v>63</v>
      </c>
      <c r="O5" s="14" t="s">
        <v>64</v>
      </c>
      <c r="P5" s="14" t="s">
        <v>65</v>
      </c>
      <c r="Q5" s="14" t="s">
        <v>66</v>
      </c>
      <c r="R5" s="14" t="s">
        <v>67</v>
      </c>
      <c r="S5" s="14" t="s">
        <v>68</v>
      </c>
      <c r="T5" s="14" t="s">
        <v>69</v>
      </c>
      <c r="U5" s="14" t="s">
        <v>70</v>
      </c>
      <c r="V5" s="1" t="s">
        <v>86</v>
      </c>
      <c r="W5" s="1" t="s">
        <v>87</v>
      </c>
      <c r="X5" s="1" t="s">
        <v>60</v>
      </c>
    </row>
    <row r="6" spans="1:24" x14ac:dyDescent="0.35">
      <c r="A6" t="s">
        <v>89</v>
      </c>
      <c r="B6" t="s">
        <v>90</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74</v>
      </c>
    </row>
    <row r="7" spans="1:24" x14ac:dyDescent="0.35">
      <c r="A7" t="s">
        <v>91</v>
      </c>
      <c r="B7" t="s">
        <v>61</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74</v>
      </c>
    </row>
    <row r="8" spans="1:24" x14ac:dyDescent="0.35">
      <c r="A8" t="s">
        <v>92</v>
      </c>
      <c r="B8" t="s">
        <v>76</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75</v>
      </c>
    </row>
    <row r="9" spans="1:24" x14ac:dyDescent="0.35">
      <c r="A9" t="s">
        <v>92</v>
      </c>
      <c r="B9" t="s">
        <v>77</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75</v>
      </c>
    </row>
    <row r="10" spans="1:24" x14ac:dyDescent="0.35">
      <c r="A10" t="s">
        <v>92</v>
      </c>
      <c r="B10" t="s">
        <v>78</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75</v>
      </c>
    </row>
    <row r="11" spans="1:24" x14ac:dyDescent="0.35">
      <c r="A11" t="s">
        <v>80</v>
      </c>
      <c r="B11" t="s">
        <v>93</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82</v>
      </c>
      <c r="B12" t="s">
        <v>83</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85</v>
      </c>
    </row>
    <row r="13" spans="1:24" x14ac:dyDescent="0.35">
      <c r="A13" t="s">
        <v>84</v>
      </c>
      <c r="B13" t="s">
        <v>83</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85</v>
      </c>
    </row>
    <row r="14" spans="1:24" x14ac:dyDescent="0.35">
      <c r="A14" t="s">
        <v>81</v>
      </c>
      <c r="B14" t="s">
        <v>83</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74</v>
      </c>
    </row>
    <row r="15" spans="1:24" x14ac:dyDescent="0.35">
      <c r="A15" t="s">
        <v>88</v>
      </c>
      <c r="B15" t="s">
        <v>76</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75</v>
      </c>
    </row>
    <row r="16" spans="1:24" x14ac:dyDescent="0.35">
      <c r="A16" t="s">
        <v>88</v>
      </c>
      <c r="B16" t="s">
        <v>77</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75</v>
      </c>
    </row>
    <row r="18" spans="1:21" x14ac:dyDescent="0.35">
      <c r="A18" s="1" t="s">
        <v>94</v>
      </c>
    </row>
    <row r="19" spans="1:21" x14ac:dyDescent="0.35">
      <c r="A19" t="s">
        <v>71</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72</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73</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126</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21"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2"/>
      <c r="C5" s="73"/>
      <c r="D5" s="73"/>
      <c r="E5" s="73"/>
      <c r="F5" s="73"/>
      <c r="G5" s="73"/>
      <c r="H5" s="73"/>
    </row>
    <row r="6" spans="1:11" x14ac:dyDescent="0.35">
      <c r="A6" s="17" t="s">
        <v>41</v>
      </c>
      <c r="B6" s="52"/>
      <c r="C6" s="73"/>
      <c r="D6" s="73"/>
      <c r="E6" s="73"/>
      <c r="F6" s="73"/>
      <c r="G6" s="73"/>
      <c r="H6" s="73"/>
    </row>
    <row r="7" spans="1:11" x14ac:dyDescent="0.35">
      <c r="A7" s="17" t="s">
        <v>42</v>
      </c>
      <c r="B7" s="52"/>
      <c r="C7" s="73"/>
      <c r="D7" s="73"/>
      <c r="E7" s="73"/>
      <c r="F7" s="73"/>
      <c r="G7" s="73"/>
      <c r="H7" s="73"/>
    </row>
    <row r="8" spans="1:11" x14ac:dyDescent="0.35">
      <c r="A8" s="17" t="s">
        <v>43</v>
      </c>
      <c r="B8" s="52"/>
      <c r="C8" s="73"/>
      <c r="D8" s="73"/>
      <c r="E8" s="73"/>
      <c r="F8" s="73"/>
      <c r="G8" s="73"/>
      <c r="H8" s="7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146</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127</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130</v>
      </c>
      <c r="B24" s="1"/>
      <c r="C24" s="15">
        <f>IF(C$22&lt;&gt;"",SUM(C25:C27),"")</f>
        <v>21.1</v>
      </c>
      <c r="D24" s="15">
        <f>IF(D$22&lt;&gt;"",C57,"")</f>
        <v>18.71110232000003</v>
      </c>
      <c r="E24" s="15">
        <f t="shared" ref="E24:L24" si="2">IF(E$22&lt;&gt;"",D57,"")</f>
        <v>16.392913683000028</v>
      </c>
      <c r="F24" s="15">
        <f t="shared" si="2"/>
        <v>15.05395331571655</v>
      </c>
      <c r="G24" s="15">
        <f t="shared" si="2"/>
        <v>14.723767238139169</v>
      </c>
      <c r="H24" s="15">
        <f t="shared" si="2"/>
        <v>14.407226771938737</v>
      </c>
      <c r="I24" s="15">
        <f t="shared" si="2"/>
        <v>14.508747251838164</v>
      </c>
      <c r="J24" s="15">
        <f t="shared" si="2"/>
        <v>14.607996684339339</v>
      </c>
      <c r="K24" s="15">
        <f t="shared" si="2"/>
        <v>14.702710079338168</v>
      </c>
      <c r="L24" s="15">
        <f t="shared" si="2"/>
        <v>14.795152484238169</v>
      </c>
    </row>
    <row r="25" spans="1:13" x14ac:dyDescent="0.35">
      <c r="A25" t="s">
        <v>122</v>
      </c>
      <c r="C25" s="15">
        <f>IF(C$22&lt;&gt;"",$B$19,"")</f>
        <v>11</v>
      </c>
      <c r="D25" s="15">
        <f>IF(D22&lt;&gt;"",C54,"")</f>
        <v>9.0172571336493021</v>
      </c>
      <c r="E25" s="15">
        <f t="shared" ref="E25:L27" si="3">IF(E22&lt;&gt;"",D54,"")</f>
        <v>7.1088601682676069</v>
      </c>
      <c r="F25" s="15">
        <f t="shared" si="3"/>
        <v>6.1</v>
      </c>
      <c r="G25" s="15">
        <f t="shared" si="3"/>
        <v>6.1</v>
      </c>
      <c r="H25" s="15">
        <f t="shared" si="3"/>
        <v>6.1</v>
      </c>
      <c r="I25" s="15">
        <f t="shared" si="3"/>
        <v>6.5047270927738641</v>
      </c>
      <c r="J25" s="15">
        <f t="shared" si="3"/>
        <v>6.8881038289447343</v>
      </c>
      <c r="K25" s="15">
        <f t="shared" si="3"/>
        <v>7.2503712989619817</v>
      </c>
      <c r="L25" s="15">
        <f t="shared" si="3"/>
        <v>7.5937558729898971</v>
      </c>
    </row>
    <row r="26" spans="1:13" x14ac:dyDescent="0.35">
      <c r="A26" t="s">
        <v>123</v>
      </c>
      <c r="C26" s="15">
        <f>IF(C$22&lt;&gt;"",$C$19,"")</f>
        <v>10.1</v>
      </c>
      <c r="D26" s="15">
        <f>IF(D23&lt;&gt;"",C55,"")</f>
        <v>9.6938451863507265</v>
      </c>
      <c r="E26" s="15">
        <f t="shared" si="3"/>
        <v>9.2840535147324221</v>
      </c>
      <c r="F26" s="15">
        <f t="shared" si="3"/>
        <v>8.9539533157165501</v>
      </c>
      <c r="G26" s="15">
        <f t="shared" si="3"/>
        <v>8.6237672381391697</v>
      </c>
      <c r="H26" s="15">
        <f t="shared" si="3"/>
        <v>8.3072267719387369</v>
      </c>
      <c r="I26" s="15">
        <f t="shared" si="3"/>
        <v>8.0040201590643001</v>
      </c>
      <c r="J26" s="15">
        <f t="shared" si="3"/>
        <v>7.7198928553946047</v>
      </c>
      <c r="K26" s="15">
        <f t="shared" si="3"/>
        <v>7.452338780376186</v>
      </c>
      <c r="L26" s="15">
        <f t="shared" si="3"/>
        <v>7.2013966112482724</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hidden="1" x14ac:dyDescent="0.35">
      <c r="A28" s="1" t="s">
        <v>121</v>
      </c>
      <c r="C28"/>
    </row>
    <row r="29" spans="1:13" hidden="1" x14ac:dyDescent="0.35">
      <c r="A29" t="s">
        <v>119</v>
      </c>
      <c r="B29" s="37">
        <v>0.5</v>
      </c>
      <c r="C29" s="15">
        <f>C25</f>
        <v>11</v>
      </c>
      <c r="D29" s="15">
        <f t="shared" ref="D29:L30" si="4">IF(D22&lt;&gt;"",$B29*D$24,"")</f>
        <v>9.3555511600000152</v>
      </c>
      <c r="E29" s="15">
        <f t="shared" si="4"/>
        <v>8.1964568415000141</v>
      </c>
      <c r="F29" s="15">
        <f t="shared" si="4"/>
        <v>7.5269766578582749</v>
      </c>
      <c r="G29" s="15">
        <f t="shared" si="4"/>
        <v>7.3618836190695847</v>
      </c>
      <c r="H29" s="15">
        <f t="shared" si="4"/>
        <v>7.2036133859693683</v>
      </c>
      <c r="I29" s="15">
        <f t="shared" si="4"/>
        <v>7.2543736259190821</v>
      </c>
      <c r="J29" s="15">
        <f t="shared" si="4"/>
        <v>7.3039983421696695</v>
      </c>
      <c r="K29" s="15">
        <f t="shared" si="4"/>
        <v>7.3513550396690839</v>
      </c>
      <c r="L29" s="15">
        <f t="shared" si="4"/>
        <v>7.3975762421190847</v>
      </c>
    </row>
    <row r="30" spans="1:13" hidden="1" x14ac:dyDescent="0.35">
      <c r="A30" t="s">
        <v>120</v>
      </c>
      <c r="B30" s="37">
        <f>1-B29</f>
        <v>0.5</v>
      </c>
      <c r="C30" s="15">
        <f>C26</f>
        <v>10.1</v>
      </c>
      <c r="D30" s="15">
        <f t="shared" si="4"/>
        <v>9.3555511600000152</v>
      </c>
      <c r="E30" s="15">
        <f t="shared" si="4"/>
        <v>8.1964568415000141</v>
      </c>
      <c r="F30" s="15">
        <f t="shared" si="4"/>
        <v>7.5269766578582749</v>
      </c>
      <c r="G30" s="15">
        <f t="shared" si="4"/>
        <v>7.3618836190695847</v>
      </c>
      <c r="H30" s="15">
        <f t="shared" si="4"/>
        <v>7.2036133859693683</v>
      </c>
      <c r="I30" s="15">
        <f t="shared" si="4"/>
        <v>7.2543736259190821</v>
      </c>
      <c r="J30" s="15">
        <f t="shared" si="4"/>
        <v>7.3039983421696695</v>
      </c>
      <c r="K30" s="15">
        <f t="shared" si="4"/>
        <v>7.3513550396690839</v>
      </c>
      <c r="L30" s="15">
        <f t="shared" si="4"/>
        <v>7.3975762421190847</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0.951188637</v>
      </c>
      <c r="E31" s="15">
        <f>IF(E$22&lt;&gt;"",VLOOKUP(E29*1000000,'Powell-Elevation-Area'!$B$5:$D$689,3)*$B$18/1000000 + VLOOKUP(E30*1000000,'Mead-Elevation-Area'!$B$5:$D$676,3)*$C$18/1000000,"")</f>
        <v>0.87773305499997312</v>
      </c>
      <c r="F31" s="15">
        <f>IF(F$22&lt;&gt;"",VLOOKUP(F29*1000000,'Powell-Elevation-Area'!$B$5:$D$689,3)*$B$18/1000000 + VLOOKUP(F30*1000000,'Mead-Elevation-Area'!$B$5:$D$676,3)*$C$18/1000000,"")</f>
        <v>0.83590071750057304</v>
      </c>
      <c r="G31" s="15">
        <f>IF(G$22&lt;&gt;"",VLOOKUP(G29*1000000,'Powell-Elevation-Area'!$B$5:$D$689,3)*$B$18/1000000 + VLOOKUP(G30*1000000,'Mead-Elevation-Area'!$B$5:$D$676,3)*$C$18/1000000,"")</f>
        <v>0.82557159509940004</v>
      </c>
      <c r="H31" s="15">
        <f>IF(H$22&lt;&gt;"",VLOOKUP(H29*1000000,'Powell-Elevation-Area'!$B$5:$D$689,3)*$B$18/1000000 + VLOOKUP(H30*1000000,'Mead-Elevation-Area'!$B$5:$D$676,3)*$C$18/1000000,"")</f>
        <v>0.81547952010057301</v>
      </c>
      <c r="I31" s="15">
        <f>IF(I$22&lt;&gt;"",VLOOKUP(I29*1000000,'Powell-Elevation-Area'!$B$5:$D$689,3)*$B$18/1000000 + VLOOKUP(I30*1000000,'Mead-Elevation-Area'!$B$5:$D$676,3)*$C$18/1000000,"")</f>
        <v>0.81775056749882702</v>
      </c>
      <c r="J31" s="15">
        <f>IF(J$22&lt;&gt;"",VLOOKUP(J29*1000000,'Powell-Elevation-Area'!$B$5:$D$689,3)*$B$18/1000000 + VLOOKUP(J30*1000000,'Mead-Elevation-Area'!$B$5:$D$676,3)*$C$18/1000000,"")</f>
        <v>0.82228660500117301</v>
      </c>
      <c r="K31" s="15">
        <f>IF(K$22&lt;&gt;"",VLOOKUP(K29*1000000,'Powell-Elevation-Area'!$B$5:$D$689,3)*$B$18/1000000 + VLOOKUP(K30*1000000,'Mead-Elevation-Area'!$B$5:$D$676,3)*$C$18/1000000,"")</f>
        <v>0.82455759509999993</v>
      </c>
      <c r="L31" s="15">
        <f>IF(L$22&lt;&gt;"",VLOOKUP(L29*1000000,'Powell-Elevation-Area'!$B$5:$D$689,3)*$B$18/1000000 + VLOOKUP(L30*1000000,'Mead-Elevation-Area'!$B$5:$D$676,3)*$C$18/1000000,"")</f>
        <v>0.82783664249940003</v>
      </c>
    </row>
    <row r="32" spans="1:13" hidden="1" x14ac:dyDescent="0.35">
      <c r="A32" t="s">
        <v>104</v>
      </c>
      <c r="B32" s="1"/>
      <c r="C32" s="15">
        <f>IF(C$22&lt;&gt;"",C$31*C25/C$24,"")</f>
        <v>0.5327428663506969</v>
      </c>
      <c r="D32" s="15">
        <f t="shared" ref="D32:L34" si="5">IF(D$22&lt;&gt;"",D$31*D25/D$24,"")</f>
        <v>0.458396965381695</v>
      </c>
      <c r="E32" s="15">
        <f t="shared" si="5"/>
        <v>0.38063285598410107</v>
      </c>
      <c r="F32" s="15">
        <f t="shared" si="5"/>
        <v>0.33871463992319345</v>
      </c>
      <c r="G32" s="15">
        <f t="shared" si="5"/>
        <v>0.34203112889896525</v>
      </c>
      <c r="H32" s="15">
        <f t="shared" si="5"/>
        <v>0.34527290722613518</v>
      </c>
      <c r="I32" s="15">
        <f t="shared" si="5"/>
        <v>0.36662326382912958</v>
      </c>
      <c r="J32" s="15">
        <f t="shared" si="5"/>
        <v>0.38773252998275209</v>
      </c>
      <c r="K32" s="15">
        <f t="shared" si="5"/>
        <v>0.40661542597208489</v>
      </c>
      <c r="L32" s="15">
        <f t="shared" si="5"/>
        <v>0.42489520622063093</v>
      </c>
    </row>
    <row r="33" spans="1:13" hidden="1" x14ac:dyDescent="0.35">
      <c r="A33" t="s">
        <v>105</v>
      </c>
      <c r="B33" s="1"/>
      <c r="C33" s="15">
        <f>IF(C$22&lt;&gt;"",C$31*C26/C$24,"")</f>
        <v>0.48915481364927621</v>
      </c>
      <c r="D33" s="15">
        <f t="shared" si="5"/>
        <v>0.49279167161830495</v>
      </c>
      <c r="E33" s="15">
        <f t="shared" si="5"/>
        <v>0.4971001990158721</v>
      </c>
      <c r="F33" s="15">
        <f t="shared" si="5"/>
        <v>0.49718607757737959</v>
      </c>
      <c r="G33" s="15">
        <f t="shared" si="5"/>
        <v>0.48354046620043478</v>
      </c>
      <c r="H33" s="15">
        <f t="shared" si="5"/>
        <v>0.47020661287443777</v>
      </c>
      <c r="I33" s="15">
        <f t="shared" si="5"/>
        <v>0.45112730366969739</v>
      </c>
      <c r="J33" s="15">
        <f t="shared" si="5"/>
        <v>0.43455407501842092</v>
      </c>
      <c r="K33" s="15">
        <f t="shared" si="5"/>
        <v>0.41794216912791515</v>
      </c>
      <c r="L33" s="15">
        <f t="shared" si="5"/>
        <v>0.40294143627876911</v>
      </c>
    </row>
    <row r="34" spans="1:13" hidden="1" x14ac:dyDescent="0.35">
      <c r="A34" t="s">
        <v>106</v>
      </c>
      <c r="B34" s="1"/>
      <c r="C34" s="15">
        <f>IF(C$22&lt;&gt;"",C$31*C27/C$24,"")</f>
        <v>0</v>
      </c>
      <c r="D34" s="15">
        <f t="shared" si="5"/>
        <v>0</v>
      </c>
      <c r="E34" s="15">
        <f t="shared" si="5"/>
        <v>0</v>
      </c>
      <c r="F34" s="15">
        <f t="shared" si="5"/>
        <v>0</v>
      </c>
      <c r="G34" s="15">
        <f t="shared" si="5"/>
        <v>0</v>
      </c>
      <c r="H34" s="15">
        <f t="shared" si="5"/>
        <v>0</v>
      </c>
      <c r="I34" s="15">
        <f t="shared" si="5"/>
        <v>0</v>
      </c>
      <c r="J34" s="15">
        <f t="shared" si="5"/>
        <v>0</v>
      </c>
      <c r="K34" s="15">
        <f t="shared" si="5"/>
        <v>0</v>
      </c>
      <c r="L34" s="15">
        <f t="shared" si="5"/>
        <v>0</v>
      </c>
    </row>
    <row r="35" spans="1:13" hidden="1" x14ac:dyDescent="0.35">
      <c r="A35" s="1" t="s">
        <v>124</v>
      </c>
      <c r="B35" s="1"/>
      <c r="C35" s="26">
        <f>IF(C22&lt;&gt;"",1.5,"")</f>
        <v>1.5</v>
      </c>
      <c r="D35" s="26">
        <f t="shared" ref="D35:L35" si="6">IF(D22&lt;&gt;"",1.5,"")</f>
        <v>1.5</v>
      </c>
      <c r="E35" s="26">
        <f t="shared" si="6"/>
        <v>1.5</v>
      </c>
      <c r="F35" s="26">
        <f t="shared" si="6"/>
        <v>1.5</v>
      </c>
      <c r="G35" s="26">
        <f t="shared" si="6"/>
        <v>1.5</v>
      </c>
      <c r="H35" s="26">
        <f t="shared" si="6"/>
        <v>1.5</v>
      </c>
      <c r="I35" s="26">
        <f t="shared" si="6"/>
        <v>1.5</v>
      </c>
      <c r="J35" s="26">
        <f t="shared" si="6"/>
        <v>1.5</v>
      </c>
      <c r="K35" s="26">
        <f t="shared" si="6"/>
        <v>1.5</v>
      </c>
      <c r="L35" s="26">
        <f t="shared" si="6"/>
        <v>1.5</v>
      </c>
    </row>
    <row r="36" spans="1:13" x14ac:dyDescent="0.35">
      <c r="A36" s="1" t="s">
        <v>139</v>
      </c>
      <c r="B36" s="1"/>
      <c r="C36" s="15">
        <f>IF(C$22&lt;&gt;"",C22-C35/2,"")</f>
        <v>10.25</v>
      </c>
      <c r="D36" s="15">
        <f t="shared" ref="D36:L36" si="7">IF(D$22&lt;&gt;"",D22-D35/2,"")</f>
        <v>10.25</v>
      </c>
      <c r="E36" s="15">
        <f t="shared" si="7"/>
        <v>10.25</v>
      </c>
      <c r="F36" s="15">
        <f t="shared" si="7"/>
        <v>10.25</v>
      </c>
      <c r="G36" s="15">
        <f t="shared" si="7"/>
        <v>10.25</v>
      </c>
      <c r="H36" s="15">
        <f t="shared" si="7"/>
        <v>10.25</v>
      </c>
      <c r="I36" s="15">
        <f t="shared" si="7"/>
        <v>10.25</v>
      </c>
      <c r="J36" s="15">
        <f t="shared" si="7"/>
        <v>10.25</v>
      </c>
      <c r="K36" s="15">
        <f t="shared" si="7"/>
        <v>10.25</v>
      </c>
      <c r="L36" s="15">
        <f t="shared" si="7"/>
        <v>10.25</v>
      </c>
    </row>
    <row r="37" spans="1:13" x14ac:dyDescent="0.35">
      <c r="A37" t="s">
        <v>0</v>
      </c>
      <c r="B37" s="25"/>
      <c r="C37" s="15">
        <f>IF(C22&lt;&gt;"",MAX(0,C36-C38),"")</f>
        <v>2.75</v>
      </c>
      <c r="D37" s="15">
        <f t="shared" ref="D37:L37" si="8">IF(D22&lt;&gt;"",MAX(0,D36-D38),"")</f>
        <v>2.75</v>
      </c>
      <c r="E37" s="15">
        <f t="shared" si="8"/>
        <v>2.75</v>
      </c>
      <c r="F37" s="15">
        <f t="shared" si="8"/>
        <v>2.75</v>
      </c>
      <c r="G37" s="15">
        <f t="shared" si="8"/>
        <v>2.75</v>
      </c>
      <c r="H37" s="15">
        <f t="shared" si="8"/>
        <v>2.75</v>
      </c>
      <c r="I37" s="15">
        <f t="shared" si="8"/>
        <v>2.75</v>
      </c>
      <c r="J37" s="15">
        <f t="shared" si="8"/>
        <v>2.75</v>
      </c>
      <c r="K37" s="15">
        <f t="shared" si="8"/>
        <v>2.75</v>
      </c>
      <c r="L37" s="15">
        <f t="shared" si="8"/>
        <v>2.75</v>
      </c>
    </row>
    <row r="38" spans="1:13" x14ac:dyDescent="0.35">
      <c r="A38" t="s">
        <v>1</v>
      </c>
      <c r="B38" s="46">
        <v>7.5</v>
      </c>
      <c r="C38" s="15">
        <f>IF(C22&lt;&gt;"",IF(C36&gt;$B38,$B38,C36),"")</f>
        <v>7.5</v>
      </c>
      <c r="D38" s="15">
        <f t="shared" ref="D38:L38" si="9">IF(D22&lt;&gt;"",IF(D36&gt;$B38,$B38,D36),"")</f>
        <v>7.5</v>
      </c>
      <c r="E38" s="15">
        <f t="shared" si="9"/>
        <v>7.5</v>
      </c>
      <c r="F38" s="15">
        <f t="shared" si="9"/>
        <v>7.5</v>
      </c>
      <c r="G38" s="15">
        <f t="shared" si="9"/>
        <v>7.5</v>
      </c>
      <c r="H38" s="15">
        <f t="shared" si="9"/>
        <v>7.5</v>
      </c>
      <c r="I38" s="15">
        <f t="shared" si="9"/>
        <v>7.5</v>
      </c>
      <c r="J38" s="15">
        <f t="shared" si="9"/>
        <v>7.5</v>
      </c>
      <c r="K38" s="15">
        <f t="shared" si="9"/>
        <v>7.5</v>
      </c>
      <c r="L38" s="15">
        <f t="shared" si="9"/>
        <v>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hidden="1" x14ac:dyDescent="0.35">
      <c r="A42" s="33" t="s">
        <v>110</v>
      </c>
      <c r="B42" s="1"/>
      <c r="C42" s="26"/>
      <c r="D42" s="26"/>
      <c r="E42" s="26"/>
      <c r="F42" s="26"/>
      <c r="G42" s="26"/>
      <c r="H42" s="26"/>
      <c r="I42" s="26"/>
      <c r="J42" s="26"/>
      <c r="K42" s="26"/>
      <c r="L42" s="26"/>
      <c r="M42" s="35"/>
    </row>
    <row r="43" spans="1:13" hidden="1"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13.217257133649303</v>
      </c>
      <c r="D45" s="15">
        <f t="shared" ref="D45:L45" si="10">IF(D$22&lt;&gt;"",D25+D37-D32-D40,"")</f>
        <v>11.308860168267607</v>
      </c>
      <c r="E45" s="15">
        <f t="shared" si="10"/>
        <v>9.4782273122835061</v>
      </c>
      <c r="F45" s="15">
        <f>IF(F$22&lt;&gt;"",F25+F37-F32-F40,"")</f>
        <v>8.5112853600768066</v>
      </c>
      <c r="G45" s="15">
        <f t="shared" si="10"/>
        <v>8.5079688711010348</v>
      </c>
      <c r="H45" s="15">
        <f t="shared" si="10"/>
        <v>8.5047270927738641</v>
      </c>
      <c r="I45" s="15">
        <f t="shared" si="10"/>
        <v>8.8881038289447343</v>
      </c>
      <c r="J45" s="15">
        <f t="shared" si="10"/>
        <v>9.2503712989619817</v>
      </c>
      <c r="K45" s="15">
        <f t="shared" si="10"/>
        <v>9.5937558729898971</v>
      </c>
      <c r="L45" s="15">
        <f t="shared" si="10"/>
        <v>9.918860666769266</v>
      </c>
    </row>
    <row r="46" spans="1:13" x14ac:dyDescent="0.35">
      <c r="A46" t="s">
        <v>3</v>
      </c>
      <c r="C46" s="15">
        <f>IF(C$22&lt;&gt;"",C26+C38-C33+C40+C42+C23-C35/2,"")</f>
        <v>17.160845186350727</v>
      </c>
      <c r="D46" s="15">
        <f t="shared" ref="D46:L46" si="11">IF(D$22&lt;&gt;"",D26+D38-D33+D40+D42+D23-D35/2,"")</f>
        <v>16.751053514732423</v>
      </c>
      <c r="E46" s="15">
        <f t="shared" si="11"/>
        <v>16.336953315716549</v>
      </c>
      <c r="F46" s="15">
        <f t="shared" si="11"/>
        <v>16.006767238139169</v>
      </c>
      <c r="G46" s="15">
        <f t="shared" si="11"/>
        <v>15.690226771938736</v>
      </c>
      <c r="H46" s="15">
        <f t="shared" si="11"/>
        <v>15.387020159064299</v>
      </c>
      <c r="I46" s="15">
        <f t="shared" si="11"/>
        <v>15.102892855394604</v>
      </c>
      <c r="J46" s="15">
        <f t="shared" si="11"/>
        <v>14.835338780376185</v>
      </c>
      <c r="K46" s="15">
        <f t="shared" si="11"/>
        <v>14.584396611248271</v>
      </c>
      <c r="L46" s="15">
        <f t="shared" si="11"/>
        <v>14.348455174969503</v>
      </c>
    </row>
    <row r="47" spans="1:13" x14ac:dyDescent="0.35">
      <c r="A47" t="s">
        <v>4</v>
      </c>
      <c r="C47" s="15">
        <f>IF(C$22&lt;&gt;"",C27+C35-C34-C42,"")</f>
        <v>1.5</v>
      </c>
      <c r="D47" s="15">
        <f t="shared" ref="D47:L47" si="12">IF(D$22&lt;&gt;"",D27+D35-D34-D42,"")</f>
        <v>1.5</v>
      </c>
      <c r="E47" s="15">
        <f t="shared" si="12"/>
        <v>1.5</v>
      </c>
      <c r="F47" s="15">
        <f t="shared" si="12"/>
        <v>1.5</v>
      </c>
      <c r="G47" s="15">
        <f t="shared" si="12"/>
        <v>1.5</v>
      </c>
      <c r="H47" s="15">
        <f t="shared" si="12"/>
        <v>1.5</v>
      </c>
      <c r="I47" s="15">
        <f t="shared" si="12"/>
        <v>1.5</v>
      </c>
      <c r="J47" s="15">
        <f t="shared" si="12"/>
        <v>1.5</v>
      </c>
      <c r="K47" s="15">
        <f t="shared" si="12"/>
        <v>1.5</v>
      </c>
      <c r="L47" s="15">
        <f t="shared" si="12"/>
        <v>1.5</v>
      </c>
    </row>
    <row r="48" spans="1:13" x14ac:dyDescent="0.35">
      <c r="A48" s="1" t="s">
        <v>140</v>
      </c>
      <c r="B48" s="1"/>
      <c r="C48" s="30"/>
      <c r="D48" s="2"/>
      <c r="E48" s="2"/>
      <c r="F48" s="2"/>
      <c r="G48" s="2"/>
      <c r="H48" s="2"/>
      <c r="I48" s="2"/>
      <c r="J48" s="2"/>
      <c r="K48" s="2"/>
      <c r="L48" s="2"/>
    </row>
    <row r="49" spans="1:18" x14ac:dyDescent="0.35">
      <c r="A49" t="s">
        <v>141</v>
      </c>
      <c r="C49" s="45">
        <f>IF(C45&gt;6.1+4.2,4.2,MAX(C45-6.1,0))</f>
        <v>4.2</v>
      </c>
      <c r="D49" s="45">
        <f t="shared" ref="D49:G49" si="13">IF(D45&gt;6.1+4.2,4.2,MAX(D45-6.1,0))</f>
        <v>4.2</v>
      </c>
      <c r="E49" s="45">
        <f t="shared" si="13"/>
        <v>3.3782273122835065</v>
      </c>
      <c r="F49" s="45">
        <f t="shared" si="13"/>
        <v>2.4112853600768069</v>
      </c>
      <c r="G49" s="45">
        <f t="shared" si="13"/>
        <v>2.4079688711010352</v>
      </c>
      <c r="H49" s="45">
        <v>2</v>
      </c>
      <c r="I49" s="45">
        <v>2</v>
      </c>
      <c r="J49" s="45">
        <v>2</v>
      </c>
      <c r="K49" s="45">
        <v>2</v>
      </c>
      <c r="L49" s="45">
        <v>2</v>
      </c>
      <c r="M49" s="51"/>
      <c r="N49" s="1" t="s">
        <v>133</v>
      </c>
    </row>
    <row r="50" spans="1:18" x14ac:dyDescent="0.35">
      <c r="A50" t="s">
        <v>142</v>
      </c>
      <c r="C50" s="45">
        <f>7.5-IF(C26&lt;$O$51,$P$51,IF(C26&lt;=$O$58,VLOOKUP(C26,$O$51:$P$58,2),0))</f>
        <v>6.867</v>
      </c>
      <c r="D50" s="45">
        <f t="shared" ref="D50:G50" si="14">7.5-IF(D26&lt;$O$51,$P$51,IF(D26&lt;=$O$58,VLOOKUP(D26,$O$51:$P$58,2),0))</f>
        <v>6.867</v>
      </c>
      <c r="E50" s="45">
        <f t="shared" si="14"/>
        <v>6.7829999999999995</v>
      </c>
      <c r="F50" s="45">
        <f t="shared" si="14"/>
        <v>6.7829999999999995</v>
      </c>
      <c r="G50" s="45">
        <f t="shared" si="14"/>
        <v>6.7829999999999995</v>
      </c>
      <c r="H50" s="45">
        <f t="shared" ref="H50:L50" si="15">G50</f>
        <v>6.7829999999999995</v>
      </c>
      <c r="I50" s="45">
        <f t="shared" si="15"/>
        <v>6.7829999999999995</v>
      </c>
      <c r="J50" s="45">
        <f t="shared" si="15"/>
        <v>6.7829999999999995</v>
      </c>
      <c r="K50" s="45">
        <f t="shared" si="15"/>
        <v>6.7829999999999995</v>
      </c>
      <c r="L50" s="45">
        <f t="shared" si="15"/>
        <v>6.7829999999999995</v>
      </c>
      <c r="N50" s="39" t="s">
        <v>134</v>
      </c>
      <c r="O50" s="39" t="s">
        <v>135</v>
      </c>
      <c r="P50" s="40" t="s">
        <v>136</v>
      </c>
      <c r="Q50" s="40" t="s">
        <v>137</v>
      </c>
      <c r="R50" s="39" t="s">
        <v>138</v>
      </c>
    </row>
    <row r="51" spans="1:18" x14ac:dyDescent="0.35">
      <c r="A51" t="s">
        <v>143</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144</v>
      </c>
      <c r="C52" s="26">
        <v>1.5</v>
      </c>
      <c r="D52" s="26">
        <v>1.5</v>
      </c>
      <c r="E52" s="26">
        <v>1.5</v>
      </c>
      <c r="F52" s="26">
        <v>1.5</v>
      </c>
      <c r="G52" s="26">
        <v>1.5</v>
      </c>
      <c r="H52" s="26">
        <v>1.5</v>
      </c>
      <c r="I52" s="26">
        <v>1.5</v>
      </c>
      <c r="J52" s="26">
        <v>1.5</v>
      </c>
      <c r="K52" s="26">
        <v>1.5</v>
      </c>
      <c r="L52" s="26">
        <v>1.5</v>
      </c>
      <c r="N52" s="41">
        <v>1030</v>
      </c>
      <c r="O52" s="42">
        <v>6.305377</v>
      </c>
      <c r="P52" s="43">
        <f t="shared" si="17"/>
        <v>1.117</v>
      </c>
      <c r="Q52" s="44">
        <v>7.0000000000000007E-2</v>
      </c>
      <c r="R52" s="43">
        <v>1.1870000000000001</v>
      </c>
    </row>
    <row r="53" spans="1:18" x14ac:dyDescent="0.35">
      <c r="A53" s="1" t="s">
        <v>145</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9.0172571336493021</v>
      </c>
      <c r="D54" s="15">
        <f t="shared" ref="D54:L54" si="18">IF(D$22&lt;&gt;"",D45-D49,"")</f>
        <v>7.1088601682676069</v>
      </c>
      <c r="E54" s="15">
        <f t="shared" si="18"/>
        <v>6.1</v>
      </c>
      <c r="F54" s="15">
        <f t="shared" si="18"/>
        <v>6.1</v>
      </c>
      <c r="G54" s="15">
        <f t="shared" si="18"/>
        <v>6.1</v>
      </c>
      <c r="H54" s="15">
        <f t="shared" si="18"/>
        <v>6.5047270927738641</v>
      </c>
      <c r="I54" s="15">
        <f t="shared" si="18"/>
        <v>6.8881038289447343</v>
      </c>
      <c r="J54" s="15">
        <f t="shared" si="18"/>
        <v>7.2503712989619817</v>
      </c>
      <c r="K54" s="15">
        <f t="shared" si="18"/>
        <v>7.5937558729898971</v>
      </c>
      <c r="L54" s="15">
        <f t="shared" si="18"/>
        <v>7.918860666769266</v>
      </c>
      <c r="N54" s="41">
        <v>1040</v>
      </c>
      <c r="O54" s="42">
        <v>6.977665</v>
      </c>
      <c r="P54" s="43">
        <f t="shared" si="17"/>
        <v>1.0169999999999999</v>
      </c>
      <c r="Q54" s="44">
        <v>7.0000000000000007E-2</v>
      </c>
      <c r="R54" s="43">
        <v>1.087</v>
      </c>
    </row>
    <row r="55" spans="1:18" x14ac:dyDescent="0.35">
      <c r="A55" t="s">
        <v>3</v>
      </c>
      <c r="C55" s="15">
        <f>IF(C$22&lt;&gt;"",C46-C50-C51,"")</f>
        <v>9.6938451863507265</v>
      </c>
      <c r="D55" s="15">
        <f t="shared" ref="D55:L55" si="19">IF(D$22&lt;&gt;"",D46-D50-D51,"")</f>
        <v>9.2840535147324221</v>
      </c>
      <c r="E55" s="15">
        <f t="shared" si="19"/>
        <v>8.9539533157165501</v>
      </c>
      <c r="F55" s="15">
        <f t="shared" si="19"/>
        <v>8.6237672381391697</v>
      </c>
      <c r="G55" s="15">
        <f t="shared" si="19"/>
        <v>8.3072267719387369</v>
      </c>
      <c r="H55" s="15">
        <f t="shared" si="19"/>
        <v>8.0040201590643001</v>
      </c>
      <c r="I55" s="15">
        <f t="shared" si="19"/>
        <v>7.7198928553946047</v>
      </c>
      <c r="J55" s="15">
        <f t="shared" si="19"/>
        <v>7.452338780376186</v>
      </c>
      <c r="K55" s="15">
        <f t="shared" si="19"/>
        <v>7.2013966112482724</v>
      </c>
      <c r="L55" s="15">
        <f t="shared" si="19"/>
        <v>6.9654551749695042</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v>7.6828779999999997</v>
      </c>
      <c r="P56" s="43">
        <f t="shared" si="17"/>
        <v>0.71700000000000008</v>
      </c>
      <c r="Q56" s="44">
        <v>7.0000000000000007E-2</v>
      </c>
      <c r="R56" s="43">
        <v>0.78700000000000003</v>
      </c>
    </row>
    <row r="57" spans="1:18" x14ac:dyDescent="0.35">
      <c r="A57" s="1" t="s">
        <v>129</v>
      </c>
      <c r="B57" s="1"/>
      <c r="C57" s="15">
        <f>IF(C$22&lt;&gt;"",SUM(C54:C56),"")</f>
        <v>18.71110232000003</v>
      </c>
      <c r="D57" s="15">
        <f t="shared" ref="D57:L57" si="21">IF(D$22&lt;&gt;"",SUM(D54:D56),"")</f>
        <v>16.392913683000028</v>
      </c>
      <c r="E57" s="15">
        <f t="shared" si="21"/>
        <v>15.05395331571655</v>
      </c>
      <c r="F57" s="15">
        <f t="shared" si="21"/>
        <v>14.723767238139169</v>
      </c>
      <c r="G57" s="15">
        <f t="shared" si="21"/>
        <v>14.407226771938737</v>
      </c>
      <c r="H57" s="15">
        <f t="shared" si="21"/>
        <v>14.508747251838164</v>
      </c>
      <c r="I57" s="15">
        <f t="shared" si="21"/>
        <v>14.607996684339339</v>
      </c>
      <c r="J57" s="15">
        <f t="shared" si="21"/>
        <v>14.702710079338168</v>
      </c>
      <c r="K57" s="15">
        <f t="shared" si="21"/>
        <v>14.795152484238169</v>
      </c>
      <c r="L57" s="15">
        <f t="shared" si="21"/>
        <v>14.88431584173877</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131</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132</v>
      </c>
      <c r="C60" s="15">
        <f>IF(C$22&lt;&gt;"",C50+C59,"")</f>
        <v>7.0670000000000002</v>
      </c>
      <c r="D60" s="15">
        <f t="shared" ref="D60:L60" si="23">IF(D$22&lt;&gt;"",D50+D59,"")</f>
        <v>7.0670000000000002</v>
      </c>
      <c r="E60" s="15">
        <f t="shared" si="23"/>
        <v>6.9829999999999997</v>
      </c>
      <c r="F60" s="15">
        <f t="shared" si="23"/>
        <v>6.9829999999999997</v>
      </c>
      <c r="G60" s="15">
        <f t="shared" si="23"/>
        <v>6.9829999999999997</v>
      </c>
      <c r="H60" s="15">
        <f t="shared" si="23"/>
        <v>6.9829999999999997</v>
      </c>
      <c r="I60" s="15">
        <f t="shared" si="23"/>
        <v>6.9829999999999997</v>
      </c>
      <c r="J60" s="15">
        <f t="shared" si="23"/>
        <v>6.9829999999999997</v>
      </c>
      <c r="K60" s="15">
        <f t="shared" si="23"/>
        <v>6.9829999999999997</v>
      </c>
      <c r="L60" s="15">
        <f t="shared" si="23"/>
        <v>6.9829999999999997</v>
      </c>
    </row>
    <row r="62" spans="1:18" x14ac:dyDescent="0.35">
      <c r="D62" s="19"/>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ReadMe-Directions</vt:lpstr>
      <vt:lpstr>Master</vt:lpstr>
      <vt:lpstr>11.0-Trade</vt:lpstr>
      <vt:lpstr>11.0-LawOfRiver</vt:lpstr>
      <vt:lpstr>11.0-Plots</vt:lpstr>
      <vt:lpstr>MillenniumRecovers-LawOfRiver</vt:lpstr>
      <vt:lpstr>Millennium-Plots</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2021-06-07T22:41:11Z</dcterms:modified>
</cp:coreProperties>
</file>