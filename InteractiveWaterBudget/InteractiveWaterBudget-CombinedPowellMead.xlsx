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8C254D04-C367-4FE1-B259-69C8DCC964D6}" xr6:coauthVersionLast="36" xr6:coauthVersionMax="36" xr10:uidLastSave="{00000000-0000-0000-0000-000000000000}"/>
  <bookViews>
    <workbookView xWindow="0" yWindow="0" windowWidth="19200" windowHeight="6640" xr2:uid="{5373AB19-D84C-490D-97DC-C516D358024A}"/>
  </bookViews>
  <sheets>
    <sheet name="ReadMe-Directions" sheetId="6" r:id="rId1"/>
    <sheet name="Master" sheetId="5" r:id="rId2"/>
    <sheet name="11.0-Trade" sheetId="12" r:id="rId3"/>
    <sheet name="11.0-LawOfRiver" sheetId="13" r:id="rId4"/>
    <sheet name="11.0-Plots" sheetId="19" r:id="rId5"/>
    <sheet name="MilleniumRecovers-LawOfRiver" sheetId="11" r:id="rId6"/>
    <sheet name="Mill-Plots" sheetId="20" r:id="rId7"/>
    <sheet name="HydrologicScenarios" sheetId="7" r:id="rId8"/>
    <sheet name="Powell-Elevation-Area" sheetId="2" r:id="rId9"/>
    <sheet name="Mead-Elevation-Area" sheetId="10" r:id="rId10"/>
    <sheet name="11.0-LawOfRiverShort" sheetId="16" r:id="rId1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32" i="11" l="1"/>
  <c r="L58" i="13"/>
  <c r="K58" i="13"/>
  <c r="J58" i="13"/>
  <c r="I58" i="13"/>
  <c r="H58" i="13"/>
  <c r="G58" i="13"/>
  <c r="F58" i="13"/>
  <c r="E58" i="13"/>
  <c r="D58" i="13"/>
  <c r="C58" i="13"/>
  <c r="L58" i="12"/>
  <c r="K58" i="12"/>
  <c r="J58" i="12"/>
  <c r="I58" i="12"/>
  <c r="H58" i="12"/>
  <c r="G58" i="12"/>
  <c r="F58" i="12"/>
  <c r="E58" i="12"/>
  <c r="D58" i="12"/>
  <c r="C58" i="12"/>
  <c r="C58" i="5"/>
  <c r="D58" i="5"/>
  <c r="E58" i="5"/>
  <c r="F58" i="5"/>
  <c r="G58" i="5"/>
  <c r="H58" i="5"/>
  <c r="I58" i="5"/>
  <c r="J58" i="5"/>
  <c r="K58" i="5"/>
  <c r="L58" i="5"/>
  <c r="D58" i="11"/>
  <c r="E58" i="11"/>
  <c r="F58" i="11"/>
  <c r="G58" i="11"/>
  <c r="H58" i="11"/>
  <c r="I58" i="11"/>
  <c r="J58" i="11"/>
  <c r="K58" i="11"/>
  <c r="L58" i="11"/>
  <c r="C58" i="11"/>
  <c r="C46" i="16" l="1"/>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38" i="16" l="1"/>
  <c r="D37" i="16" s="1"/>
  <c r="C37" i="16"/>
  <c r="C32" i="16"/>
  <c r="C33" i="16"/>
  <c r="C55" i="16" s="1"/>
  <c r="D26" i="16" s="1"/>
  <c r="C34" i="16"/>
  <c r="C47" i="16" s="1"/>
  <c r="C56" i="16" s="1"/>
  <c r="D51" i="16"/>
  <c r="E22" i="16"/>
  <c r="D50" i="16" l="1"/>
  <c r="D60" i="16" s="1"/>
  <c r="E59" i="16"/>
  <c r="E23" i="16"/>
  <c r="E35" i="16"/>
  <c r="E36" i="16" s="1"/>
  <c r="F22" i="16"/>
  <c r="E51" i="16"/>
  <c r="E41" i="12"/>
  <c r="F41" i="12"/>
  <c r="G41" i="12"/>
  <c r="D22" i="12"/>
  <c r="D22" i="13"/>
  <c r="C60" i="13"/>
  <c r="P58" i="13"/>
  <c r="P57" i="13"/>
  <c r="P56" i="13"/>
  <c r="P55" i="13"/>
  <c r="P54" i="13"/>
  <c r="P53" i="13"/>
  <c r="P52" i="13"/>
  <c r="P51" i="13"/>
  <c r="C51" i="13"/>
  <c r="M43" i="13"/>
  <c r="M41" i="13"/>
  <c r="B30" i="13"/>
  <c r="C27" i="13"/>
  <c r="C26" i="13"/>
  <c r="C25" i="13"/>
  <c r="C23" i="13"/>
  <c r="C60" i="12"/>
  <c r="P58" i="12"/>
  <c r="P57" i="12"/>
  <c r="P56" i="12"/>
  <c r="P55" i="12"/>
  <c r="P54" i="12"/>
  <c r="P53" i="12"/>
  <c r="P52" i="12"/>
  <c r="P51" i="12"/>
  <c r="C51" i="12"/>
  <c r="M43" i="12"/>
  <c r="D41" i="12"/>
  <c r="C41" i="12"/>
  <c r="B30" i="12"/>
  <c r="C27" i="12"/>
  <c r="C26" i="12"/>
  <c r="C25" i="12"/>
  <c r="C23" i="12"/>
  <c r="C30" i="13" l="1"/>
  <c r="C35" i="13"/>
  <c r="C30" i="12"/>
  <c r="C35" i="12"/>
  <c r="C49" i="16"/>
  <c r="C54" i="16" s="1"/>
  <c r="E38" i="16"/>
  <c r="E37" i="16" s="1"/>
  <c r="F35" i="16"/>
  <c r="G22" i="16"/>
  <c r="F51" i="16"/>
  <c r="F23" i="16"/>
  <c r="F36" i="16"/>
  <c r="F38" i="16" s="1"/>
  <c r="F59" i="16"/>
  <c r="C50" i="12"/>
  <c r="D50" i="12" s="1"/>
  <c r="E50" i="12" s="1"/>
  <c r="F50" i="12" s="1"/>
  <c r="G50" i="12" s="1"/>
  <c r="H50" i="12" s="1"/>
  <c r="I50" i="12" s="1"/>
  <c r="J50" i="12" s="1"/>
  <c r="K50" i="12" s="1"/>
  <c r="L50" i="12" s="1"/>
  <c r="E22" i="12"/>
  <c r="F22" i="12" s="1"/>
  <c r="C50" i="13"/>
  <c r="C61" i="13" s="1"/>
  <c r="M41" i="12"/>
  <c r="D51" i="12"/>
  <c r="D23" i="12"/>
  <c r="D60" i="12"/>
  <c r="C24" i="12"/>
  <c r="D23" i="13"/>
  <c r="E22" i="13"/>
  <c r="D51" i="13"/>
  <c r="D60" i="13"/>
  <c r="C24" i="13"/>
  <c r="C29" i="13"/>
  <c r="C31" i="13" s="1"/>
  <c r="C29" i="12"/>
  <c r="C31" i="12" s="1"/>
  <c r="C54" i="5"/>
  <c r="C52" i="13" l="1"/>
  <c r="C36" i="13"/>
  <c r="C38" i="13" s="1"/>
  <c r="C37" i="13" s="1"/>
  <c r="C52" i="12"/>
  <c r="C36" i="12"/>
  <c r="C38" i="12" s="1"/>
  <c r="C37" i="12" s="1"/>
  <c r="D25" i="16"/>
  <c r="C57" i="16"/>
  <c r="D24" i="16" s="1"/>
  <c r="D29" i="16" s="1"/>
  <c r="F37" i="16"/>
  <c r="G51" i="16"/>
  <c r="H22" i="16"/>
  <c r="G35" i="16"/>
  <c r="G23" i="16"/>
  <c r="G36" i="16"/>
  <c r="G59" i="16"/>
  <c r="E23" i="12"/>
  <c r="G22" i="12"/>
  <c r="F23" i="12"/>
  <c r="F60" i="12"/>
  <c r="F61" i="12" s="1"/>
  <c r="E51" i="12"/>
  <c r="D61" i="12"/>
  <c r="E60" i="12"/>
  <c r="E61" i="12" s="1"/>
  <c r="F51" i="12"/>
  <c r="C61" i="12"/>
  <c r="F22" i="13"/>
  <c r="E60" i="13"/>
  <c r="E51" i="13"/>
  <c r="E23" i="13"/>
  <c r="C34" i="13"/>
  <c r="C47" i="13" s="1"/>
  <c r="C56" i="13" s="1"/>
  <c r="C33" i="13"/>
  <c r="C46" i="13" s="1"/>
  <c r="C55" i="13" s="1"/>
  <c r="D26" i="13" s="1"/>
  <c r="C32" i="13"/>
  <c r="C45" i="13" s="1"/>
  <c r="C49" i="13" s="1"/>
  <c r="C34" i="12"/>
  <c r="C47" i="12" s="1"/>
  <c r="C33" i="12"/>
  <c r="C32" i="12"/>
  <c r="H50" i="5"/>
  <c r="I50" i="5" s="1"/>
  <c r="J50" i="5" s="1"/>
  <c r="K50" i="5" s="1"/>
  <c r="L50" i="5" s="1"/>
  <c r="D50" i="13" l="1"/>
  <c r="D61" i="13" s="1"/>
  <c r="D35" i="13"/>
  <c r="C45" i="12"/>
  <c r="C54" i="12" s="1"/>
  <c r="C57" i="12" s="1"/>
  <c r="D24" i="12" s="1"/>
  <c r="C46" i="12"/>
  <c r="C55" i="12" s="1"/>
  <c r="D26" i="12" s="1"/>
  <c r="D35" i="12" s="1"/>
  <c r="C56" i="12"/>
  <c r="D30" i="16"/>
  <c r="D31" i="16" s="1"/>
  <c r="D27" i="16"/>
  <c r="G38" i="16"/>
  <c r="G37" i="16" s="1"/>
  <c r="I22" i="16"/>
  <c r="H59" i="16"/>
  <c r="H23" i="16"/>
  <c r="H35" i="16"/>
  <c r="H36" i="16" s="1"/>
  <c r="H51" i="16"/>
  <c r="G60" i="12"/>
  <c r="G61" i="12" s="1"/>
  <c r="G23" i="12"/>
  <c r="G51" i="12"/>
  <c r="H22" i="12"/>
  <c r="F23" i="13"/>
  <c r="F51" i="13"/>
  <c r="G22" i="13"/>
  <c r="F60" i="13"/>
  <c r="C54" i="13"/>
  <c r="H22" i="5"/>
  <c r="I22" i="5" s="1"/>
  <c r="J22" i="5" s="1"/>
  <c r="K22" i="5" s="1"/>
  <c r="L22" i="5" s="1"/>
  <c r="L51" i="5" s="1"/>
  <c r="D35" i="5"/>
  <c r="C35" i="5"/>
  <c r="C36" i="5" s="1"/>
  <c r="L60" i="11"/>
  <c r="K60" i="11"/>
  <c r="J60" i="11"/>
  <c r="I60" i="11"/>
  <c r="H60" i="11"/>
  <c r="G60" i="11"/>
  <c r="F60" i="11"/>
  <c r="E60" i="11"/>
  <c r="D60" i="11"/>
  <c r="C60" i="11"/>
  <c r="P58" i="11"/>
  <c r="P57" i="11"/>
  <c r="P56" i="11"/>
  <c r="P55" i="11"/>
  <c r="P54" i="11"/>
  <c r="P53" i="11"/>
  <c r="P52" i="11"/>
  <c r="P51" i="11"/>
  <c r="L51" i="11"/>
  <c r="K51" i="11"/>
  <c r="J51" i="11"/>
  <c r="I51" i="11"/>
  <c r="H51" i="11"/>
  <c r="G51" i="11"/>
  <c r="F51" i="11"/>
  <c r="E51" i="11"/>
  <c r="D51" i="11"/>
  <c r="C51" i="11"/>
  <c r="M43" i="11"/>
  <c r="M41" i="11"/>
  <c r="B30" i="11"/>
  <c r="C27" i="11"/>
  <c r="C26" i="11"/>
  <c r="C50" i="11" s="1"/>
  <c r="C25" i="11"/>
  <c r="C29" i="11" s="1"/>
  <c r="L23" i="11"/>
  <c r="K23" i="11"/>
  <c r="J23" i="11"/>
  <c r="I23" i="11"/>
  <c r="H23" i="11"/>
  <c r="G23" i="11"/>
  <c r="F23" i="11"/>
  <c r="E23" i="11"/>
  <c r="D23" i="11"/>
  <c r="C23" i="11"/>
  <c r="P58" i="5"/>
  <c r="P57" i="5"/>
  <c r="P56" i="5"/>
  <c r="P55" i="5"/>
  <c r="P54" i="5"/>
  <c r="P53" i="5"/>
  <c r="P52" i="5"/>
  <c r="P51" i="5"/>
  <c r="D23" i="5"/>
  <c r="D60" i="5"/>
  <c r="C60"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D36" i="13" l="1"/>
  <c r="D38" i="13" s="1"/>
  <c r="D37" i="13" s="1"/>
  <c r="D52" i="13"/>
  <c r="D52" i="12"/>
  <c r="D36" i="12"/>
  <c r="D38" i="12" s="1"/>
  <c r="D37" i="12" s="1"/>
  <c r="D25" i="12"/>
  <c r="C31" i="11"/>
  <c r="C35" i="11"/>
  <c r="C36" i="11" s="1"/>
  <c r="C61" i="11"/>
  <c r="D32" i="16"/>
  <c r="D45" i="16" s="1"/>
  <c r="D49" i="16" s="1"/>
  <c r="D54" i="16" s="1"/>
  <c r="D34" i="16"/>
  <c r="D47" i="16" s="1"/>
  <c r="D56" i="16" s="1"/>
  <c r="D33" i="16"/>
  <c r="D46" i="16" s="1"/>
  <c r="D55" i="16" s="1"/>
  <c r="E26" i="16" s="1"/>
  <c r="E50" i="16" s="1"/>
  <c r="E60" i="16" s="1"/>
  <c r="H38" i="16"/>
  <c r="H37" i="16" s="1"/>
  <c r="I23" i="16"/>
  <c r="I59" i="16"/>
  <c r="I51" i="16"/>
  <c r="I35" i="16"/>
  <c r="I36" i="16" s="1"/>
  <c r="J22" i="16"/>
  <c r="H51" i="12"/>
  <c r="I22" i="12"/>
  <c r="H60" i="12"/>
  <c r="H61" i="12" s="1"/>
  <c r="H23" i="12"/>
  <c r="H22" i="13"/>
  <c r="G23" i="13"/>
  <c r="G60" i="13"/>
  <c r="G51" i="13"/>
  <c r="C57" i="13"/>
  <c r="D24" i="13" s="1"/>
  <c r="D29" i="13" s="1"/>
  <c r="D25" i="13"/>
  <c r="D29" i="12"/>
  <c r="D27" i="12"/>
  <c r="D30" i="12"/>
  <c r="C31" i="5"/>
  <c r="K23" i="5"/>
  <c r="L60" i="5"/>
  <c r="I51" i="5"/>
  <c r="F23" i="5"/>
  <c r="L35" i="5"/>
  <c r="K60" i="5"/>
  <c r="E23" i="5"/>
  <c r="H51" i="5"/>
  <c r="K35" i="5"/>
  <c r="J60" i="5"/>
  <c r="L23" i="5"/>
  <c r="I35" i="5"/>
  <c r="I60" i="5"/>
  <c r="G35" i="5"/>
  <c r="H60" i="5"/>
  <c r="J23" i="5"/>
  <c r="F35" i="5"/>
  <c r="G60" i="5"/>
  <c r="I23" i="5"/>
  <c r="E35" i="5"/>
  <c r="F60" i="5"/>
  <c r="H23" i="5"/>
  <c r="K51" i="5"/>
  <c r="E60" i="5"/>
  <c r="G23" i="5"/>
  <c r="J51" i="5"/>
  <c r="J35" i="5"/>
  <c r="H35" i="5"/>
  <c r="C30" i="5"/>
  <c r="C24" i="11"/>
  <c r="C30" i="11"/>
  <c r="C38" i="5"/>
  <c r="C37" i="5" s="1"/>
  <c r="C61" i="5"/>
  <c r="C24" i="5"/>
  <c r="C52" i="11" l="1"/>
  <c r="C33" i="11"/>
  <c r="C32" i="11"/>
  <c r="I38" i="16"/>
  <c r="I37" i="16" s="1"/>
  <c r="D57" i="16"/>
  <c r="E24" i="16" s="1"/>
  <c r="E25" i="16"/>
  <c r="J36" i="16"/>
  <c r="J38" i="16" s="1"/>
  <c r="J23" i="16"/>
  <c r="J35" i="16"/>
  <c r="J59" i="16"/>
  <c r="K22" i="16"/>
  <c r="J51" i="16"/>
  <c r="J22" i="12"/>
  <c r="I51" i="12"/>
  <c r="I23" i="12"/>
  <c r="I60" i="12"/>
  <c r="I61" i="12" s="1"/>
  <c r="D31" i="12"/>
  <c r="D32" i="12" s="1"/>
  <c r="D45" i="12" s="1"/>
  <c r="D54" i="12" s="1"/>
  <c r="E25" i="12" s="1"/>
  <c r="I22" i="13"/>
  <c r="H23" i="13"/>
  <c r="H51" i="13"/>
  <c r="H60" i="13"/>
  <c r="D31" i="13"/>
  <c r="D33" i="13" s="1"/>
  <c r="D46" i="13" s="1"/>
  <c r="D55" i="13" s="1"/>
  <c r="E26" i="13" s="1"/>
  <c r="D30" i="13"/>
  <c r="D27" i="13"/>
  <c r="C32" i="5"/>
  <c r="C33" i="5"/>
  <c r="C34" i="5"/>
  <c r="C47" i="5" s="1"/>
  <c r="C56" i="5" s="1"/>
  <c r="C46" i="5"/>
  <c r="C34" i="11"/>
  <c r="C47" i="11" s="1"/>
  <c r="C56" i="11" s="1"/>
  <c r="C38" i="11" l="1"/>
  <c r="C46" i="11" s="1"/>
  <c r="C55" i="11" s="1"/>
  <c r="D26" i="11" s="1"/>
  <c r="D50" i="11" s="1"/>
  <c r="E50" i="13"/>
  <c r="E61" i="13" s="1"/>
  <c r="E35" i="13"/>
  <c r="J37" i="16"/>
  <c r="K36" i="16"/>
  <c r="K59" i="16"/>
  <c r="K23" i="16"/>
  <c r="K35" i="16"/>
  <c r="L22" i="16"/>
  <c r="K51" i="16"/>
  <c r="E27" i="16"/>
  <c r="E29" i="16"/>
  <c r="E31" i="16" s="1"/>
  <c r="E30" i="16"/>
  <c r="J23" i="12"/>
  <c r="J51" i="12"/>
  <c r="K22" i="12"/>
  <c r="J60" i="12"/>
  <c r="J61" i="12" s="1"/>
  <c r="D33" i="12"/>
  <c r="D46" i="12" s="1"/>
  <c r="D55" i="12" s="1"/>
  <c r="E26" i="12" s="1"/>
  <c r="D34" i="12"/>
  <c r="D47" i="12" s="1"/>
  <c r="D56" i="12" s="1"/>
  <c r="I23" i="13"/>
  <c r="I60" i="13"/>
  <c r="J22" i="13"/>
  <c r="I51" i="13"/>
  <c r="D32" i="13"/>
  <c r="D45" i="13" s="1"/>
  <c r="D49" i="13" s="1"/>
  <c r="D34" i="13"/>
  <c r="D47" i="13" s="1"/>
  <c r="D56" i="13" s="1"/>
  <c r="E36" i="13" l="1"/>
  <c r="E38" i="13" s="1"/>
  <c r="E37" i="13" s="1"/>
  <c r="E52" i="13"/>
  <c r="D35" i="11"/>
  <c r="D52" i="11" s="1"/>
  <c r="C37" i="11"/>
  <c r="C45" i="11" s="1"/>
  <c r="E35" i="12"/>
  <c r="E52" i="12" s="1"/>
  <c r="L36" i="16"/>
  <c r="L59" i="16"/>
  <c r="L23" i="16"/>
  <c r="L35" i="16"/>
  <c r="L38" i="16"/>
  <c r="L51" i="16"/>
  <c r="L37" i="16"/>
  <c r="K38" i="16"/>
  <c r="K37" i="16" s="1"/>
  <c r="E33" i="16"/>
  <c r="E46" i="16" s="1"/>
  <c r="E55" i="16" s="1"/>
  <c r="F26" i="16" s="1"/>
  <c r="E32" i="16"/>
  <c r="E45" i="16" s="1"/>
  <c r="E34" i="16"/>
  <c r="E47" i="16" s="1"/>
  <c r="E56" i="16" s="1"/>
  <c r="K23" i="12"/>
  <c r="K51" i="12"/>
  <c r="K60" i="12"/>
  <c r="K61" i="12" s="1"/>
  <c r="L22" i="12"/>
  <c r="D57" i="12"/>
  <c r="E24" i="12" s="1"/>
  <c r="E27" i="12" s="1"/>
  <c r="K22" i="13"/>
  <c r="J51" i="13"/>
  <c r="J60" i="13"/>
  <c r="J23" i="13"/>
  <c r="D54" i="13"/>
  <c r="C49" i="11" l="1"/>
  <c r="D36" i="11"/>
  <c r="D38" i="11" s="1"/>
  <c r="D37" i="11" s="1"/>
  <c r="E36" i="12"/>
  <c r="E38" i="12" s="1"/>
  <c r="E37" i="12" s="1"/>
  <c r="E49" i="16"/>
  <c r="E54" i="16" s="1"/>
  <c r="F50" i="16"/>
  <c r="F60" i="16" s="1"/>
  <c r="L23" i="12"/>
  <c r="L60" i="12"/>
  <c r="L61" i="12" s="1"/>
  <c r="L51" i="12"/>
  <c r="E29" i="12"/>
  <c r="E30" i="12"/>
  <c r="L22" i="13"/>
  <c r="K51" i="13"/>
  <c r="K60" i="13"/>
  <c r="K23" i="13"/>
  <c r="D57" i="13"/>
  <c r="E24" i="13" s="1"/>
  <c r="E25" i="13"/>
  <c r="C54" i="11" l="1"/>
  <c r="C57" i="11"/>
  <c r="D24" i="11" s="1"/>
  <c r="D29" i="11" s="1"/>
  <c r="D25" i="11"/>
  <c r="E57" i="16"/>
  <c r="F24" i="16" s="1"/>
  <c r="F25" i="16"/>
  <c r="E31" i="12"/>
  <c r="E33" i="12" s="1"/>
  <c r="E46" i="12" s="1"/>
  <c r="E55" i="12" s="1"/>
  <c r="F26" i="12" s="1"/>
  <c r="F35" i="12" s="1"/>
  <c r="L23" i="13"/>
  <c r="L60" i="13"/>
  <c r="L51" i="13"/>
  <c r="E27" i="13"/>
  <c r="E29" i="13"/>
  <c r="E31" i="13" s="1"/>
  <c r="E30" i="13"/>
  <c r="D27" i="11" l="1"/>
  <c r="D30" i="11"/>
  <c r="F36" i="12"/>
  <c r="F38" i="12" s="1"/>
  <c r="F37" i="12" s="1"/>
  <c r="F52" i="12"/>
  <c r="F27" i="16"/>
  <c r="F29" i="16"/>
  <c r="F31" i="16" s="1"/>
  <c r="F30" i="16"/>
  <c r="E34" i="12"/>
  <c r="E47" i="12" s="1"/>
  <c r="E56" i="12" s="1"/>
  <c r="E32" i="12"/>
  <c r="E45" i="12" s="1"/>
  <c r="E54" i="12" s="1"/>
  <c r="F25" i="12" s="1"/>
  <c r="E34" i="13"/>
  <c r="E47" i="13" s="1"/>
  <c r="E56" i="13" s="1"/>
  <c r="E32" i="13"/>
  <c r="E45" i="13" s="1"/>
  <c r="E49" i="13" s="1"/>
  <c r="E33" i="13"/>
  <c r="E46" i="13" s="1"/>
  <c r="E55" i="13" s="1"/>
  <c r="F26" i="13" s="1"/>
  <c r="F35" i="13" s="1"/>
  <c r="D31" i="11" l="1"/>
  <c r="D32" i="11" s="1"/>
  <c r="D61" i="11"/>
  <c r="F36" i="13"/>
  <c r="F38" i="13" s="1"/>
  <c r="F37" i="13" s="1"/>
  <c r="F52" i="13"/>
  <c r="F32" i="16"/>
  <c r="F45" i="16" s="1"/>
  <c r="F34" i="16"/>
  <c r="F47" i="16" s="1"/>
  <c r="F56" i="16" s="1"/>
  <c r="F33" i="16"/>
  <c r="F46" i="16" s="1"/>
  <c r="F55" i="16" s="1"/>
  <c r="G26" i="16" s="1"/>
  <c r="E57" i="12"/>
  <c r="F24" i="12" s="1"/>
  <c r="F27" i="12" s="1"/>
  <c r="F50" i="13"/>
  <c r="F61" i="13" s="1"/>
  <c r="E54" i="13"/>
  <c r="D45" i="11" l="1"/>
  <c r="D33" i="11"/>
  <c r="D46" i="11" s="1"/>
  <c r="D55" i="11" s="1"/>
  <c r="E26" i="11" s="1"/>
  <c r="D34" i="11"/>
  <c r="D47" i="11" s="1"/>
  <c r="D56" i="11" s="1"/>
  <c r="D49" i="11"/>
  <c r="D54" i="11" s="1"/>
  <c r="G50" i="16"/>
  <c r="F49" i="16"/>
  <c r="F54" i="16" s="1"/>
  <c r="F30" i="12"/>
  <c r="F29" i="12"/>
  <c r="F31" i="12" s="1"/>
  <c r="F33" i="12" s="1"/>
  <c r="F46" i="12" s="1"/>
  <c r="F55" i="12" s="1"/>
  <c r="G26" i="12" s="1"/>
  <c r="G35" i="12" s="1"/>
  <c r="E57" i="13"/>
  <c r="F24" i="13" s="1"/>
  <c r="F25" i="13"/>
  <c r="E35" i="11" l="1"/>
  <c r="E52" i="11" s="1"/>
  <c r="E50" i="11"/>
  <c r="E25" i="11"/>
  <c r="D57" i="11"/>
  <c r="E24" i="11" s="1"/>
  <c r="G36" i="12"/>
  <c r="G38" i="12" s="1"/>
  <c r="G37" i="12" s="1"/>
  <c r="G52" i="12"/>
  <c r="F57" i="16"/>
  <c r="G24" i="16" s="1"/>
  <c r="G25" i="16"/>
  <c r="H50" i="16"/>
  <c r="G60" i="16"/>
  <c r="F34" i="12"/>
  <c r="F47" i="12" s="1"/>
  <c r="F56" i="12" s="1"/>
  <c r="F32" i="12"/>
  <c r="F45" i="12" s="1"/>
  <c r="F54" i="12" s="1"/>
  <c r="G25" i="12" s="1"/>
  <c r="F27" i="13"/>
  <c r="F29" i="13"/>
  <c r="F31" i="13" s="1"/>
  <c r="F30" i="13"/>
  <c r="E36" i="11" l="1"/>
  <c r="E38" i="11" s="1"/>
  <c r="E37" i="11" s="1"/>
  <c r="E29" i="11"/>
  <c r="E27" i="11"/>
  <c r="E30" i="11"/>
  <c r="E61" i="11" s="1"/>
  <c r="I50" i="16"/>
  <c r="H60" i="16"/>
  <c r="G27" i="16"/>
  <c r="G29" i="16"/>
  <c r="G31" i="16" s="1"/>
  <c r="G30" i="16"/>
  <c r="F57" i="12"/>
  <c r="G24" i="12" s="1"/>
  <c r="G29" i="12" s="1"/>
  <c r="F32" i="13"/>
  <c r="F45" i="13" s="1"/>
  <c r="F49" i="13" s="1"/>
  <c r="F34" i="13"/>
  <c r="F47" i="13" s="1"/>
  <c r="F56" i="13" s="1"/>
  <c r="F33" i="13"/>
  <c r="F46" i="13" s="1"/>
  <c r="F55" i="13" s="1"/>
  <c r="G26" i="13" s="1"/>
  <c r="G35" i="13" s="1"/>
  <c r="E31" i="11" l="1"/>
  <c r="E33" i="11" s="1"/>
  <c r="E46" i="11" s="1"/>
  <c r="E55" i="11" s="1"/>
  <c r="F26" i="11" s="1"/>
  <c r="F50" i="11" s="1"/>
  <c r="G36" i="13"/>
  <c r="G52" i="13"/>
  <c r="G38" i="13"/>
  <c r="G37" i="13" s="1"/>
  <c r="G33" i="16"/>
  <c r="G46" i="16" s="1"/>
  <c r="G55" i="16" s="1"/>
  <c r="H26" i="16" s="1"/>
  <c r="G32" i="16"/>
  <c r="G45" i="16" s="1"/>
  <c r="G34" i="16"/>
  <c r="G47" i="16" s="1"/>
  <c r="G56" i="16" s="1"/>
  <c r="J50" i="16"/>
  <c r="I60" i="16"/>
  <c r="G27" i="12"/>
  <c r="G30" i="12"/>
  <c r="G31" i="12" s="1"/>
  <c r="G34" i="12" s="1"/>
  <c r="G47" i="12" s="1"/>
  <c r="G56" i="12" s="1"/>
  <c r="G50" i="13"/>
  <c r="F54" i="13"/>
  <c r="E32" i="11" l="1"/>
  <c r="E34" i="11"/>
  <c r="E47" i="11" s="1"/>
  <c r="E56" i="11" s="1"/>
  <c r="F35" i="11"/>
  <c r="K50" i="16"/>
  <c r="J60" i="16"/>
  <c r="G49" i="16"/>
  <c r="G54" i="16" s="1"/>
  <c r="G32" i="12"/>
  <c r="G45" i="12" s="1"/>
  <c r="G54" i="12" s="1"/>
  <c r="G33" i="12"/>
  <c r="G46" i="12" s="1"/>
  <c r="G55" i="12" s="1"/>
  <c r="H26" i="12" s="1"/>
  <c r="H35" i="12" s="1"/>
  <c r="F57" i="13"/>
  <c r="G24" i="13" s="1"/>
  <c r="G25" i="13"/>
  <c r="H50" i="13"/>
  <c r="G61" i="13"/>
  <c r="H36" i="12" l="1"/>
  <c r="H52" i="12"/>
  <c r="E45" i="11"/>
  <c r="E49" i="11" s="1"/>
  <c r="E54" i="11" s="1"/>
  <c r="F25" i="11" s="1"/>
  <c r="E57" i="11"/>
  <c r="F24" i="11" s="1"/>
  <c r="F36" i="11"/>
  <c r="F38" i="11" s="1"/>
  <c r="F37" i="11" s="1"/>
  <c r="F52" i="11"/>
  <c r="H38" i="12"/>
  <c r="H37" i="12" s="1"/>
  <c r="G57" i="16"/>
  <c r="H24" i="16" s="1"/>
  <c r="H25" i="16"/>
  <c r="L50" i="16"/>
  <c r="L60" i="16" s="1"/>
  <c r="K60" i="16"/>
  <c r="G57" i="12"/>
  <c r="H24" i="12" s="1"/>
  <c r="H30" i="12" s="1"/>
  <c r="H25" i="12"/>
  <c r="I50" i="13"/>
  <c r="H61" i="13"/>
  <c r="G27" i="13"/>
  <c r="G29" i="13"/>
  <c r="G30" i="13"/>
  <c r="F30" i="11" l="1"/>
  <c r="F61" i="11" s="1"/>
  <c r="F29" i="11"/>
  <c r="F27" i="11"/>
  <c r="H27" i="16"/>
  <c r="H29" i="16"/>
  <c r="H30" i="16"/>
  <c r="G31" i="13"/>
  <c r="G33" i="13" s="1"/>
  <c r="G46" i="13" s="1"/>
  <c r="G55" i="13" s="1"/>
  <c r="H26" i="13" s="1"/>
  <c r="H35" i="13" s="1"/>
  <c r="H29" i="12"/>
  <c r="H31" i="12" s="1"/>
  <c r="H33" i="12" s="1"/>
  <c r="H46" i="12" s="1"/>
  <c r="H55" i="12" s="1"/>
  <c r="I26" i="12" s="1"/>
  <c r="I35" i="12" s="1"/>
  <c r="H27" i="12"/>
  <c r="J50" i="13"/>
  <c r="I61" i="13"/>
  <c r="I36" i="12" l="1"/>
  <c r="I52" i="12"/>
  <c r="F31" i="11"/>
  <c r="F34" i="11" s="1"/>
  <c r="F47" i="11" s="1"/>
  <c r="F56" i="11" s="1"/>
  <c r="I38" i="12"/>
  <c r="I37" i="12"/>
  <c r="H36" i="13"/>
  <c r="H38" i="13" s="1"/>
  <c r="H37" i="13" s="1"/>
  <c r="H52" i="13"/>
  <c r="H31" i="16"/>
  <c r="H34" i="16" s="1"/>
  <c r="H47" i="16" s="1"/>
  <c r="H56" i="16" s="1"/>
  <c r="G32" i="13"/>
  <c r="G45" i="13" s="1"/>
  <c r="G49" i="13" s="1"/>
  <c r="G34" i="13"/>
  <c r="G47" i="13" s="1"/>
  <c r="G56" i="13" s="1"/>
  <c r="H32" i="12"/>
  <c r="H45" i="12" s="1"/>
  <c r="H54" i="12" s="1"/>
  <c r="I25" i="12" s="1"/>
  <c r="H34" i="12"/>
  <c r="H47" i="12" s="1"/>
  <c r="H56" i="12" s="1"/>
  <c r="K50" i="13"/>
  <c r="J61" i="13"/>
  <c r="F33" i="11" l="1"/>
  <c r="F46" i="11" s="1"/>
  <c r="F55" i="11" s="1"/>
  <c r="G26" i="11" s="1"/>
  <c r="F32" i="11"/>
  <c r="G35" i="11"/>
  <c r="G36" i="11" s="1"/>
  <c r="G38" i="11" s="1"/>
  <c r="G37" i="11" s="1"/>
  <c r="G50" i="11"/>
  <c r="H33" i="16"/>
  <c r="H46" i="16" s="1"/>
  <c r="H55" i="16" s="1"/>
  <c r="I26" i="16" s="1"/>
  <c r="H32" i="16"/>
  <c r="H45" i="16" s="1"/>
  <c r="H54" i="16" s="1"/>
  <c r="G54" i="13"/>
  <c r="G57" i="13" s="1"/>
  <c r="H24" i="13" s="1"/>
  <c r="H57" i="12"/>
  <c r="I24" i="12" s="1"/>
  <c r="I27" i="12" s="1"/>
  <c r="L50" i="13"/>
  <c r="L61" i="13" s="1"/>
  <c r="K61" i="13"/>
  <c r="F45" i="11" l="1"/>
  <c r="F49" i="11" s="1"/>
  <c r="F54" i="11" s="1"/>
  <c r="G52" i="11"/>
  <c r="H57" i="16"/>
  <c r="I24" i="16" s="1"/>
  <c r="I27" i="16" s="1"/>
  <c r="I25" i="16"/>
  <c r="H25" i="13"/>
  <c r="I29" i="12"/>
  <c r="I31" i="12" s="1"/>
  <c r="I32" i="12" s="1"/>
  <c r="I45" i="12" s="1"/>
  <c r="I54" i="12" s="1"/>
  <c r="J25" i="12" s="1"/>
  <c r="I30" i="12"/>
  <c r="H27" i="13"/>
  <c r="H29" i="13"/>
  <c r="H30" i="13"/>
  <c r="G25" i="11" l="1"/>
  <c r="F57" i="11"/>
  <c r="H31" i="13"/>
  <c r="H34" i="13" s="1"/>
  <c r="H47" i="13" s="1"/>
  <c r="H56" i="13" s="1"/>
  <c r="I30" i="16"/>
  <c r="I29" i="16"/>
  <c r="I31" i="16" s="1"/>
  <c r="I34" i="16" s="1"/>
  <c r="I47" i="16" s="1"/>
  <c r="I56" i="16" s="1"/>
  <c r="I33" i="12"/>
  <c r="I46" i="12" s="1"/>
  <c r="I55" i="12" s="1"/>
  <c r="J26" i="12" s="1"/>
  <c r="J35" i="12" s="1"/>
  <c r="I34" i="12"/>
  <c r="I47" i="12" s="1"/>
  <c r="I56" i="12" s="1"/>
  <c r="G24" i="11" l="1"/>
  <c r="J36" i="12"/>
  <c r="J38" i="12" s="1"/>
  <c r="J37" i="12" s="1"/>
  <c r="J52" i="12"/>
  <c r="H32" i="13"/>
  <c r="H45" i="13" s="1"/>
  <c r="H54" i="13" s="1"/>
  <c r="I25" i="13" s="1"/>
  <c r="H33" i="13"/>
  <c r="H46" i="13" s="1"/>
  <c r="H55" i="13" s="1"/>
  <c r="I26" i="13" s="1"/>
  <c r="I35" i="13" s="1"/>
  <c r="I32" i="16"/>
  <c r="I45" i="16" s="1"/>
  <c r="I54" i="16" s="1"/>
  <c r="J25" i="16" s="1"/>
  <c r="I33" i="16"/>
  <c r="I46" i="16" s="1"/>
  <c r="I55" i="16" s="1"/>
  <c r="J26" i="16" s="1"/>
  <c r="I57" i="12"/>
  <c r="J24" i="12" s="1"/>
  <c r="J27" i="12" s="1"/>
  <c r="G27" i="11" l="1"/>
  <c r="G30" i="11"/>
  <c r="G61" i="11" s="1"/>
  <c r="G29" i="11"/>
  <c r="I36" i="13"/>
  <c r="I38" i="13" s="1"/>
  <c r="I37" i="13" s="1"/>
  <c r="I52" i="13"/>
  <c r="H57" i="13"/>
  <c r="I24" i="13" s="1"/>
  <c r="I30" i="13" s="1"/>
  <c r="I57" i="16"/>
  <c r="J24" i="16" s="1"/>
  <c r="J27" i="16" s="1"/>
  <c r="J29" i="12"/>
  <c r="J30" i="12"/>
  <c r="G31" i="11" l="1"/>
  <c r="I29" i="13"/>
  <c r="I31" i="13" s="1"/>
  <c r="I33" i="13" s="1"/>
  <c r="I46" i="13" s="1"/>
  <c r="I55" i="13" s="1"/>
  <c r="J26" i="13" s="1"/>
  <c r="J35" i="13" s="1"/>
  <c r="I27" i="13"/>
  <c r="J30" i="16"/>
  <c r="J29" i="16"/>
  <c r="J31" i="16" s="1"/>
  <c r="J34" i="16" s="1"/>
  <c r="J47" i="16" s="1"/>
  <c r="J56" i="16" s="1"/>
  <c r="J31" i="12"/>
  <c r="J32" i="12" s="1"/>
  <c r="J45" i="12" s="1"/>
  <c r="J54" i="12" s="1"/>
  <c r="K25" i="12" s="1"/>
  <c r="G32" i="11" l="1"/>
  <c r="G34" i="11"/>
  <c r="G47" i="11" s="1"/>
  <c r="G56" i="11" s="1"/>
  <c r="G33" i="11"/>
  <c r="G46" i="11" s="1"/>
  <c r="G55" i="11" s="1"/>
  <c r="H26" i="11" s="1"/>
  <c r="J36" i="13"/>
  <c r="J38" i="13" s="1"/>
  <c r="J37" i="13" s="1"/>
  <c r="J52" i="13"/>
  <c r="I34" i="13"/>
  <c r="I47" i="13" s="1"/>
  <c r="I56" i="13" s="1"/>
  <c r="I32" i="13"/>
  <c r="I45" i="13" s="1"/>
  <c r="I54" i="13" s="1"/>
  <c r="J25" i="13" s="1"/>
  <c r="J32" i="16"/>
  <c r="J45" i="16" s="1"/>
  <c r="J54" i="16" s="1"/>
  <c r="K25" i="16" s="1"/>
  <c r="J33" i="16"/>
  <c r="J46" i="16" s="1"/>
  <c r="J55" i="16" s="1"/>
  <c r="K26" i="16" s="1"/>
  <c r="J34" i="12"/>
  <c r="J47" i="12" s="1"/>
  <c r="J56" i="12" s="1"/>
  <c r="J33" i="12"/>
  <c r="J46" i="12" s="1"/>
  <c r="J55" i="12" s="1"/>
  <c r="K26" i="12" s="1"/>
  <c r="K35" i="12" s="1"/>
  <c r="H50" i="11" l="1"/>
  <c r="H61" i="11" s="1"/>
  <c r="H35" i="11"/>
  <c r="G45" i="11"/>
  <c r="G49" i="11" s="1"/>
  <c r="G54" i="11" s="1"/>
  <c r="K36" i="12"/>
  <c r="K38" i="12" s="1"/>
  <c r="K37" i="12" s="1"/>
  <c r="K52" i="12"/>
  <c r="I57" i="13"/>
  <c r="J24" i="13" s="1"/>
  <c r="J27" i="13" s="1"/>
  <c r="J57" i="16"/>
  <c r="K24" i="16" s="1"/>
  <c r="K27" i="16" s="1"/>
  <c r="J57" i="12"/>
  <c r="K24" i="12" s="1"/>
  <c r="K30" i="12" s="1"/>
  <c r="J30" i="13" l="1"/>
  <c r="J29" i="13"/>
  <c r="H25" i="11"/>
  <c r="G57" i="11"/>
  <c r="H36" i="11"/>
  <c r="H38" i="11" s="1"/>
  <c r="H37" i="11" s="1"/>
  <c r="H52" i="11"/>
  <c r="J31" i="13"/>
  <c r="J32" i="13" s="1"/>
  <c r="J45" i="13" s="1"/>
  <c r="J54" i="13" s="1"/>
  <c r="K29" i="16"/>
  <c r="K30" i="16"/>
  <c r="K29" i="12"/>
  <c r="K31" i="12" s="1"/>
  <c r="K32" i="12" s="1"/>
  <c r="K45" i="12" s="1"/>
  <c r="K54" i="12" s="1"/>
  <c r="L25" i="12" s="1"/>
  <c r="K27" i="12"/>
  <c r="H24" i="11" l="1"/>
  <c r="J34" i="13"/>
  <c r="J47" i="13" s="1"/>
  <c r="J56" i="13" s="1"/>
  <c r="J33" i="13"/>
  <c r="J46" i="13" s="1"/>
  <c r="J55" i="13" s="1"/>
  <c r="K26" i="13" s="1"/>
  <c r="K35" i="13" s="1"/>
  <c r="K31" i="16"/>
  <c r="K32" i="16" s="1"/>
  <c r="K45" i="16" s="1"/>
  <c r="K54" i="16" s="1"/>
  <c r="L25" i="16" s="1"/>
  <c r="K33" i="12"/>
  <c r="K46" i="12" s="1"/>
  <c r="K55" i="12" s="1"/>
  <c r="L26" i="12" s="1"/>
  <c r="L35" i="12" s="1"/>
  <c r="K34" i="12"/>
  <c r="K47" i="12" s="1"/>
  <c r="K56" i="12" s="1"/>
  <c r="K25" i="13"/>
  <c r="H29" i="11" l="1"/>
  <c r="H30" i="11"/>
  <c r="H27" i="11"/>
  <c r="L36" i="12"/>
  <c r="L38" i="12" s="1"/>
  <c r="L37" i="12" s="1"/>
  <c r="L52" i="12"/>
  <c r="J57" i="13"/>
  <c r="K24" i="13" s="1"/>
  <c r="K27" i="13" s="1"/>
  <c r="K36" i="13"/>
  <c r="K38" i="13" s="1"/>
  <c r="K37" i="13" s="1"/>
  <c r="K52" i="13"/>
  <c r="K33" i="16"/>
  <c r="K46" i="16" s="1"/>
  <c r="K55" i="16" s="1"/>
  <c r="L26" i="16" s="1"/>
  <c r="K34" i="16"/>
  <c r="K47" i="16" s="1"/>
  <c r="K56" i="16" s="1"/>
  <c r="K57" i="12"/>
  <c r="L24" i="12" s="1"/>
  <c r="L27" i="12" s="1"/>
  <c r="K30" i="13" l="1"/>
  <c r="K29" i="13"/>
  <c r="K31" i="13" s="1"/>
  <c r="K33" i="13" s="1"/>
  <c r="K46" i="13" s="1"/>
  <c r="K55" i="13" s="1"/>
  <c r="L26" i="13" s="1"/>
  <c r="L35" i="13" s="1"/>
  <c r="H31" i="11"/>
  <c r="K57" i="16"/>
  <c r="L24" i="16" s="1"/>
  <c r="L30" i="16" s="1"/>
  <c r="L29" i="12"/>
  <c r="L30" i="12"/>
  <c r="K34" i="13" l="1"/>
  <c r="K47" i="13" s="1"/>
  <c r="K56" i="13" s="1"/>
  <c r="K57" i="13" s="1"/>
  <c r="L24" i="13" s="1"/>
  <c r="K32" i="13"/>
  <c r="K45" i="13" s="1"/>
  <c r="K54" i="13" s="1"/>
  <c r="L25" i="13" s="1"/>
  <c r="H32" i="11"/>
  <c r="H34" i="11"/>
  <c r="H47" i="11" s="1"/>
  <c r="H56" i="11" s="1"/>
  <c r="H33" i="11"/>
  <c r="H46" i="11" s="1"/>
  <c r="H55" i="11" s="1"/>
  <c r="I26" i="11" s="1"/>
  <c r="L36" i="13"/>
  <c r="L38" i="13" s="1"/>
  <c r="L37" i="13" s="1"/>
  <c r="L52" i="13"/>
  <c r="L27" i="16"/>
  <c r="L29" i="16"/>
  <c r="L31" i="16" s="1"/>
  <c r="L32" i="16" s="1"/>
  <c r="L45" i="16" s="1"/>
  <c r="L54" i="16" s="1"/>
  <c r="L31" i="12"/>
  <c r="L34" i="12" s="1"/>
  <c r="L47" i="12" s="1"/>
  <c r="L56" i="12" s="1"/>
  <c r="I35" i="11" l="1"/>
  <c r="I50" i="11"/>
  <c r="I61" i="11" s="1"/>
  <c r="H45" i="11"/>
  <c r="H49" i="11" s="1"/>
  <c r="H54" i="11" s="1"/>
  <c r="L33" i="16"/>
  <c r="L46" i="16" s="1"/>
  <c r="L55" i="16" s="1"/>
  <c r="L34" i="16"/>
  <c r="L47" i="16" s="1"/>
  <c r="L56" i="16" s="1"/>
  <c r="L32" i="12"/>
  <c r="L45" i="12" s="1"/>
  <c r="L54" i="12" s="1"/>
  <c r="L33" i="12"/>
  <c r="L46" i="12" s="1"/>
  <c r="L55" i="12" s="1"/>
  <c r="L27" i="13"/>
  <c r="L29" i="13"/>
  <c r="L31" i="13" s="1"/>
  <c r="L30" i="13"/>
  <c r="I25" i="11" l="1"/>
  <c r="H57" i="11"/>
  <c r="I36" i="11"/>
  <c r="I38" i="11" s="1"/>
  <c r="I37" i="11" s="1"/>
  <c r="I52" i="11"/>
  <c r="L57" i="16"/>
  <c r="L57" i="12"/>
  <c r="L34" i="13"/>
  <c r="L47" i="13" s="1"/>
  <c r="L56" i="13" s="1"/>
  <c r="L33" i="13"/>
  <c r="L46" i="13" s="1"/>
  <c r="L55" i="13" s="1"/>
  <c r="L32" i="13"/>
  <c r="L45" i="13" s="1"/>
  <c r="L54" i="13" s="1"/>
  <c r="M43" i="5"/>
  <c r="I24" i="11" l="1"/>
  <c r="L57" i="13"/>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I30" i="11" l="1"/>
  <c r="I29" i="11"/>
  <c r="I27" i="11"/>
  <c r="M41" i="5"/>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I31" i="11" l="1"/>
  <c r="V11" i="7"/>
  <c r="W11" i="7"/>
  <c r="V6" i="7"/>
  <c r="W6" i="7"/>
  <c r="D36" i="5"/>
  <c r="I33" i="11" l="1"/>
  <c r="I46" i="11" s="1"/>
  <c r="I55" i="11" s="1"/>
  <c r="J26" i="11" s="1"/>
  <c r="I32" i="11"/>
  <c r="I34" i="11"/>
  <c r="I47" i="11" s="1"/>
  <c r="I56" i="11" s="1"/>
  <c r="D38" i="5"/>
  <c r="D37" i="5" s="1"/>
  <c r="V8" i="7"/>
  <c r="W8" i="7"/>
  <c r="I45" i="11" l="1"/>
  <c r="I49" i="11" s="1"/>
  <c r="I54" i="11" s="1"/>
  <c r="J50" i="11"/>
  <c r="J35" i="11"/>
  <c r="F36" i="5"/>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J52" i="11" l="1"/>
  <c r="J36" i="11"/>
  <c r="J38" i="11" s="1"/>
  <c r="J37" i="11" s="1"/>
  <c r="J25" i="11"/>
  <c r="I57" i="11"/>
  <c r="F38" i="5"/>
  <c r="F37" i="5" s="1"/>
  <c r="E38" i="5"/>
  <c r="E37" i="5" s="1"/>
  <c r="H36" i="5"/>
  <c r="G36" i="5"/>
  <c r="D25" i="5"/>
  <c r="C55" i="5"/>
  <c r="D26" i="5" s="1"/>
  <c r="V10" i="7"/>
  <c r="W10" i="7"/>
  <c r="I36" i="5"/>
  <c r="K13" i="2"/>
  <c r="L13" i="2" s="1"/>
  <c r="K8" i="2"/>
  <c r="J24" i="11" l="1"/>
  <c r="G38" i="5"/>
  <c r="G37" i="5" s="1"/>
  <c r="H38" i="5"/>
  <c r="H37" i="5" s="1"/>
  <c r="I38" i="5"/>
  <c r="I37" i="5" s="1"/>
  <c r="D61" i="5"/>
  <c r="C57" i="5"/>
  <c r="D24" i="5" s="1"/>
  <c r="J36" i="5"/>
  <c r="N13" i="2"/>
  <c r="O13" i="2"/>
  <c r="M13" i="2"/>
  <c r="J27" i="11" l="1"/>
  <c r="J29" i="11"/>
  <c r="J30" i="11"/>
  <c r="J61" i="11" s="1"/>
  <c r="J38" i="5"/>
  <c r="J37" i="5" s="1"/>
  <c r="D29" i="5"/>
  <c r="D31" i="5" s="1"/>
  <c r="D33" i="5" s="1"/>
  <c r="D27" i="5"/>
  <c r="D30" i="5"/>
  <c r="K36" i="5"/>
  <c r="P13" i="2"/>
  <c r="J31" i="11" l="1"/>
  <c r="D32" i="5"/>
  <c r="D45" i="5" s="1"/>
  <c r="D54" i="5" s="1"/>
  <c r="E25" i="5" s="1"/>
  <c r="D34" i="5"/>
  <c r="D47" i="5" s="1"/>
  <c r="D56" i="5" s="1"/>
  <c r="K38" i="5"/>
  <c r="K37" i="5" s="1"/>
  <c r="D46" i="5"/>
  <c r="D55" i="5" s="1"/>
  <c r="L36" i="5"/>
  <c r="J34" i="11" l="1"/>
  <c r="J47" i="11" s="1"/>
  <c r="J56" i="11" s="1"/>
  <c r="J33" i="11"/>
  <c r="J46" i="11" s="1"/>
  <c r="J55" i="11" s="1"/>
  <c r="K26" i="11" s="1"/>
  <c r="J32" i="11"/>
  <c r="L38" i="5"/>
  <c r="L37" i="5" s="1"/>
  <c r="E26" i="5"/>
  <c r="D57" i="5"/>
  <c r="E24" i="5" s="1"/>
  <c r="E29" i="5" s="1"/>
  <c r="J45" i="11" l="1"/>
  <c r="J49" i="11" s="1"/>
  <c r="J54" i="11" s="1"/>
  <c r="K35" i="11"/>
  <c r="K50" i="11"/>
  <c r="E61" i="5"/>
  <c r="E30" i="5"/>
  <c r="E31" i="5" s="1"/>
  <c r="E33" i="5" s="1"/>
  <c r="E27" i="5"/>
  <c r="K52" i="11" l="1"/>
  <c r="K36" i="11"/>
  <c r="K38" i="11" s="1"/>
  <c r="K37" i="11" s="1"/>
  <c r="J57" i="11"/>
  <c r="K25" i="11"/>
  <c r="E32" i="5"/>
  <c r="E45" i="5" s="1"/>
  <c r="E54" i="5" s="1"/>
  <c r="F25" i="5" s="1"/>
  <c r="E34" i="5"/>
  <c r="E47" i="5" s="1"/>
  <c r="E56" i="5" s="1"/>
  <c r="E46" i="5"/>
  <c r="E55" i="5" s="1"/>
  <c r="K24" i="11" l="1"/>
  <c r="E57" i="5"/>
  <c r="F24" i="5" s="1"/>
  <c r="F27" i="5" s="1"/>
  <c r="F26" i="5"/>
  <c r="F61" i="5"/>
  <c r="K30" i="11" l="1"/>
  <c r="K61" i="11" s="1"/>
  <c r="K27" i="11"/>
  <c r="K29" i="11"/>
  <c r="F30" i="5"/>
  <c r="F29" i="5"/>
  <c r="K31" i="11" l="1"/>
  <c r="F31" i="5"/>
  <c r="F34" i="5" s="1"/>
  <c r="F47" i="5" s="1"/>
  <c r="F56" i="5" s="1"/>
  <c r="K33" i="11" l="1"/>
  <c r="K46" i="11" s="1"/>
  <c r="K55" i="11" s="1"/>
  <c r="L26" i="11" s="1"/>
  <c r="K32" i="11"/>
  <c r="K34" i="11"/>
  <c r="K47" i="11" s="1"/>
  <c r="K56" i="11" s="1"/>
  <c r="F33" i="5"/>
  <c r="F46" i="5" s="1"/>
  <c r="F55" i="5" s="1"/>
  <c r="G26" i="5" s="1"/>
  <c r="F32" i="5"/>
  <c r="G61" i="5"/>
  <c r="K45" i="11" l="1"/>
  <c r="K49" i="11" s="1"/>
  <c r="K54" i="11" s="1"/>
  <c r="L50" i="11"/>
  <c r="L35" i="11"/>
  <c r="F45" i="5"/>
  <c r="F54" i="5" s="1"/>
  <c r="L36" i="11" l="1"/>
  <c r="L38" i="11" s="1"/>
  <c r="L37" i="11" s="1"/>
  <c r="L52" i="11"/>
  <c r="L25" i="11"/>
  <c r="K57" i="11"/>
  <c r="G25" i="5"/>
  <c r="F57" i="5"/>
  <c r="G24" i="5" s="1"/>
  <c r="G29" i="5" s="1"/>
  <c r="L24" i="11" l="1"/>
  <c r="G30" i="5"/>
  <c r="G31" i="5" s="1"/>
  <c r="G34" i="5" s="1"/>
  <c r="G47" i="5" s="1"/>
  <c r="G56" i="5" s="1"/>
  <c r="G27" i="5"/>
  <c r="L30" i="11" l="1"/>
  <c r="L61" i="11" s="1"/>
  <c r="L27" i="11"/>
  <c r="L29" i="11"/>
  <c r="G33" i="5"/>
  <c r="G46" i="5" s="1"/>
  <c r="G55" i="5" s="1"/>
  <c r="H26" i="5" s="1"/>
  <c r="G32" i="5"/>
  <c r="G45" i="5" s="1"/>
  <c r="G54" i="5" s="1"/>
  <c r="H25" i="5" s="1"/>
  <c r="H61" i="5"/>
  <c r="L31" i="11" l="1"/>
  <c r="G57" i="5"/>
  <c r="H24" i="5" s="1"/>
  <c r="H29" i="5" s="1"/>
  <c r="L34" i="11" l="1"/>
  <c r="L47" i="11" s="1"/>
  <c r="L56" i="11" s="1"/>
  <c r="L33" i="11"/>
  <c r="L46" i="11" s="1"/>
  <c r="L55" i="11" s="1"/>
  <c r="L32" i="11"/>
  <c r="H27" i="5"/>
  <c r="H30" i="5"/>
  <c r="H31" i="5" s="1"/>
  <c r="H33" i="5" s="1"/>
  <c r="H46" i="5" s="1"/>
  <c r="H55" i="5" s="1"/>
  <c r="I26" i="5" s="1"/>
  <c r="L45" i="11" l="1"/>
  <c r="L49" i="11" s="1"/>
  <c r="L54" i="11" s="1"/>
  <c r="L57" i="11" s="1"/>
  <c r="H34" i="5"/>
  <c r="H47" i="5" s="1"/>
  <c r="H56" i="5" s="1"/>
  <c r="H32" i="5"/>
  <c r="H45" i="5" s="1"/>
  <c r="H54" i="5" s="1"/>
  <c r="I25" i="5" s="1"/>
  <c r="I61" i="5"/>
  <c r="H57" i="5" l="1"/>
  <c r="I24" i="5" s="1"/>
  <c r="I27" i="5" s="1"/>
  <c r="I30" i="5" l="1"/>
  <c r="I29" i="5"/>
  <c r="I31" i="5" s="1"/>
  <c r="I33" i="5" s="1"/>
  <c r="I46" i="5" s="1"/>
  <c r="I55" i="5" s="1"/>
  <c r="J26" i="5" s="1"/>
  <c r="J61" i="5"/>
  <c r="I32" i="5" l="1"/>
  <c r="I45" i="5" s="1"/>
  <c r="I54" i="5" s="1"/>
  <c r="J25" i="5" s="1"/>
  <c r="I34" i="5"/>
  <c r="I47" i="5" s="1"/>
  <c r="I56" i="5" s="1"/>
  <c r="I57" i="5" l="1"/>
  <c r="J24" i="5" s="1"/>
  <c r="J29" i="5" s="1"/>
  <c r="K61" i="5"/>
  <c r="J30" i="5" l="1"/>
  <c r="J27" i="5"/>
  <c r="J31" i="5" l="1"/>
  <c r="J32" i="5" l="1"/>
  <c r="J45" i="5" s="1"/>
  <c r="J54" i="5" s="1"/>
  <c r="K25" i="5" s="1"/>
  <c r="J33" i="5"/>
  <c r="J46" i="5" s="1"/>
  <c r="J55" i="5" s="1"/>
  <c r="K26" i="5" s="1"/>
  <c r="J34" i="5"/>
  <c r="J47" i="5" s="1"/>
  <c r="J56" i="5" s="1"/>
  <c r="L61" i="5"/>
  <c r="J57" i="5" l="1"/>
  <c r="K24" i="5" s="1"/>
  <c r="K27" i="5" s="1"/>
  <c r="K29" i="5" l="1"/>
  <c r="K30" i="5"/>
  <c r="K31" i="5" l="1"/>
  <c r="K34" i="5" s="1"/>
  <c r="K47" i="5" s="1"/>
  <c r="K56" i="5" s="1"/>
  <c r="K33" i="5" l="1"/>
  <c r="K46" i="5" s="1"/>
  <c r="K55" i="5" s="1"/>
  <c r="L26" i="5" s="1"/>
  <c r="K32" i="5"/>
  <c r="K45" i="5" s="1"/>
  <c r="K54" i="5" s="1"/>
  <c r="L25" i="5" s="1"/>
  <c r="K57" i="5" l="1"/>
  <c r="L24" i="5" s="1"/>
  <c r="L30" i="5" s="1"/>
  <c r="L27" i="5" l="1"/>
  <c r="L29" i="5"/>
  <c r="L31" i="5" s="1"/>
  <c r="L34" i="5" s="1"/>
  <c r="L47" i="5" s="1"/>
  <c r="L56" i="5" s="1"/>
  <c r="L32" i="5" l="1"/>
  <c r="L45" i="5" s="1"/>
  <c r="L54" i="5" s="1"/>
  <c r="L33" i="5"/>
  <c r="L46" i="5" s="1"/>
  <c r="L55" i="5" s="1"/>
  <c r="L57" i="5" l="1"/>
</calcChain>
</file>

<file path=xl/sharedStrings.xml><?xml version="1.0" encoding="utf-8"?>
<sst xmlns="http://schemas.openxmlformats.org/spreadsheetml/2006/main" count="526" uniqueCount="172">
  <si>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</si>
  <si>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</si>
  <si>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</si>
  <si>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</si>
  <si>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</si>
  <si>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</si>
  <si>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</si>
  <si>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</si>
  <si>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</si>
  <si>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</si>
  <si>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</si>
  <si>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</si>
  <si>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</si>
  <si>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</si>
  <si>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</si>
  <si>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</si>
  <si>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</si>
  <si>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</si>
  <si>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</si>
  <si>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</si>
  <si>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</si>
  <si>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</si>
  <si>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</si>
  <si>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</si>
  <si>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</si>
  <si>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</si>
  <si>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</si>
  <si>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</si>
  <si>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</si>
  <si>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</si>
  <si>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</si>
  <si>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</si>
  <si>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</si>
  <si>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</si>
  <si>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</si>
  <si>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</si>
  <si>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</si>
  <si>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</si>
  <si>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</si>
  <si>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</si>
  <si>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</si>
  <si>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</si>
  <si>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</si>
  <si>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</si>
  <si>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</si>
  <si>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</si>
  <si>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</si>
  <si>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</si>
  <si>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</si>
  <si>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</si>
  <si>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</si>
  <si>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</si>
  <si>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</si>
  <si>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</si>
  <si>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</si>
  <si>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</si>
  <si>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Continue to Year 2 in Column D. Facilitator enters next Natural Inflow to Lake Powell in Cell D22.</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</si>
  <si>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</si>
  <si>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</si>
  <si>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</si>
  <si>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</si>
  <si>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</si>
  <si>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</si>
  <si>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</si>
  <si>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</si>
  <si>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</si>
  <si>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</si>
  <si>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</si>
  <si>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</si>
  <si>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</si>
  <si>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</si>
  <si>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</si>
  <si>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</si>
  <si>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</si>
  <si>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</si>
  <si>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</si>
  <si>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</si>
  <si>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</si>
  <si>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</si>
  <si>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</si>
  <si>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</si>
  <si>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</si>
  <si>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</si>
  <si>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</si>
  <si>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</si>
  <si>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</si>
  <si>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</si>
  <si>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</si>
  <si>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</si>
  <si>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</si>
  <si>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</si>
  <si>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</si>
  <si>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</si>
  <si>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</si>
  <si>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</si>
  <si>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</si>
  <si>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</si>
  <si>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</si>
  <si>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</si>
  <si>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</si>
  <si>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</si>
  <si>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</si>
  <si>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</si>
  <si>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</si>
  <si>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</si>
  <si>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</si>
  <si>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</si>
  <si>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</si>
  <si>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</si>
  <si>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</si>
  <si>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</si>
  <si>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</si>
  <si>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</si>
  <si>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</si>
  <si>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</si>
  <si>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</si>
  <si>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</si>
  <si>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</si>
  <si>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</si>
  <si>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</si>
  <si>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</si>
  <si>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</si>
  <si>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</si>
  <si>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</si>
  <si>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</si>
  <si>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</si>
  <si>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</si>
  <si>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</si>
  <si>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</si>
  <si>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</si>
  <si>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</si>
  <si>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</si>
  <si>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</si>
  <si>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</si>
  <si>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</si>
  <si>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</si>
  <si>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</si>
  <si>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</si>
  <si>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</si>
  <si>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</si>
  <si>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</si>
  <si>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</si>
  <si>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</si>
  <si>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</si>
  <si>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</si>
  <si>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</si>
  <si>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</si>
  <si>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</si>
  <si>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</si>
  <si>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A completed role play with Lee Ferry natural flow of 11.0 maf per year for 5 years following the Law of the River for all political decisions</t>
  </si>
  <si>
    <t>A completed role play with Lee Ferry natural flow of 11.0 maf per year for 5 years allowing trades between users. Trades in Years 1 through 3 earn the Upper Basin $0.5 Billion and get the Upper Basin on a path of conservation and softer landing for this severe event.</t>
  </si>
  <si>
    <t xml:space="preserve">   Starting storage (million acre feet)</t>
  </si>
  <si>
    <t>MellenniumRecovery-LawOfRiver</t>
  </si>
  <si>
    <t>A completed role play of the Millennium Drought (12.4 maf every year natural flow at Lee Ferry) for 6 years followed by 14.4 maf every year in Years 7, 8, 9, and 10. The Law of the River is followed for all political decisions.</t>
  </si>
  <si>
    <t>11.0-Plots</t>
  </si>
  <si>
    <t>Plots of Lower and Upper Basin Consumptive Use and Account Balances that compare results for 11.0-Trade and 11.0-LawOfRiver</t>
  </si>
  <si>
    <t>Powell Release - to store physically</t>
  </si>
  <si>
    <t>DER</t>
  </si>
  <si>
    <t>Follow the law of the river operations</t>
  </si>
  <si>
    <t>6 years of Millenium drought continued (12.4 maf every year) followed by recover to 14.4 maf per year</t>
  </si>
  <si>
    <t>Move this Excel workbook into Google Docs so that all players can access syncronously.</t>
  </si>
  <si>
    <t>On the new worksheet, assign a role to each person (Rows 5 to 8).</t>
  </si>
  <si>
    <t>Enter starting storages for Lake Powell and Lake Mead in Row 19.</t>
  </si>
  <si>
    <t>In Year 1, Facilitator enters the natural inflow to Lake Powell in Cell C22 and Intervening Grand Canyon inflow in Cell C23.</t>
  </si>
  <si>
    <t>The spreadsheet uses political decisions to split storage among Powell and Mead and partition natural flow to calculate reservoir evaporation and available water to release/use (Rows 44 to 47).</t>
  </si>
  <si>
    <t>Each player enters their account withdrawal/consumptive use in Cells C49:C52. The spreadsheet will show a red background if a player tries to consume more than their account balance!</t>
  </si>
  <si>
    <t>The Upper Basin and Mexico can additionally transfer water with compensation to the Lower Basin in Cells C40:C40.</t>
  </si>
  <si>
    <t>Observe the ending storages in accounts, combined storage, and Lake Powell release in Cells C54 to C58.</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</si>
  <si>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</si>
  <si>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</si>
  <si>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</si>
  <si>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This interactive water budget allows a facilitator and representatives of the Upper Basin, Lower Basin, and Mexico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the Upper Basin player can voluntarily trade and transfer stored water to the Lower Basin player with compensation. The Mexico player can also voluntarily trade and transfer stored water to the Lower Basin player with compensation. The trades move water from one account to another; trades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</si>
</sst>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s>
  <borders count="12">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rgb="FF7F7F7F"/>
      </left>
      <right/>
      <top/>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69">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3" fillId="2" borderId="1" xfId="2" applyAlignment="1">
      <alignment horizontal="center"/>
    </xf>
    <xf numFmtId="164" fontId="0" fillId="0" borderId="0" xfId="0" applyNumberFormat="1"/>
    <xf numFmtId="0" fontId="3" fillId="2" borderId="1" xfId="2"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3" fillId="2" borderId="1" xfId="2" applyAlignment="1">
      <alignment horizontal="center"/>
    </xf>
    <xf numFmtId="0" fontId="6" fillId="0" borderId="0" xfId="0" applyFont="1"/>
    <xf numFmtId="164" fontId="1" fillId="0" borderId="0" xfId="0" applyNumberFormat="1" applyFont="1"/>
    <xf numFmtId="0" fontId="3" fillId="2" borderId="11" xfId="2" applyBorder="1" applyAlignment="1">
      <alignment horizontal="center"/>
    </xf>
    <xf numFmtId="0" fontId="3" fillId="2" borderId="0" xfId="2" applyBorder="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lgDash"/>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'11.0-LawOfRiver'!$C$49:$G$49</c:f>
              <c:numCache>
                <c:formatCode>0.0</c:formatCode>
                <c:ptCount val="5"/>
                <c:pt idx="0">
                  <c:v>4.2</c:v>
                </c:pt>
                <c:pt idx="1">
                  <c:v>4.2</c:v>
                </c:pt>
                <c:pt idx="2">
                  <c:v>3.4608534728531506</c:v>
                </c:pt>
                <c:pt idx="3">
                  <c:v>2.4472257667257882</c:v>
                </c:pt>
                <c:pt idx="4">
                  <c:v>2.4441651622382192</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'11.0-Trade'!$C$49:$G$49</c:f>
              <c:numCache>
                <c:formatCode>0.0</c:formatCode>
                <c:ptCount val="5"/>
                <c:pt idx="0">
                  <c:v>3.7</c:v>
                </c:pt>
                <c:pt idx="1">
                  <c:v>3.3</c:v>
                </c:pt>
                <c:pt idx="2">
                  <c:v>2.9</c:v>
                </c:pt>
                <c:pt idx="3">
                  <c:v>2.7</c:v>
                </c:pt>
                <c:pt idx="4">
                  <c:v>2.7</c:v>
                </c:pt>
              </c:numCache>
            </c:numRef>
          </c:val>
          <c:smooth val="0"/>
          <c:extLst>
            <c:ext xmlns:c16="http://schemas.microsoft.com/office/drawing/2014/chart" uri="{C3380CC4-5D6E-409C-BE32-E72D297353CC}">
              <c16:uniqueId val="{00000001-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'11.0-Trade'!$C$25:$G$25</c:f>
              <c:numCache>
                <c:formatCode>0.0</c:formatCode>
                <c:ptCount val="5"/>
                <c:pt idx="0">
                  <c:v>11</c:v>
                </c:pt>
                <c:pt idx="1">
                  <c:v>9.0422571336493043</c:v>
                </c:pt>
                <c:pt idx="2">
                  <c:v>7.6634520548331819</c:v>
                </c:pt>
                <c:pt idx="3">
                  <c:v>6.7418099968023153</c:v>
                </c:pt>
                <c:pt idx="4">
                  <c:v>6.4602708271803406</c:v>
                </c:pt>
              </c:numCache>
            </c:numRef>
          </c:val>
          <c:smooth val="0"/>
          <c:extLst>
            <c:ext xmlns:c16="http://schemas.microsoft.com/office/drawing/2014/chart" uri="{C3380CC4-5D6E-409C-BE32-E72D297353CC}">
              <c16:uniqueId val="{00000000-A243-4D6A-9A25-2CBF47155BF4}"/>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'11.0-LawOfRiver'!$C$25:$G$25</c:f>
              <c:numCache>
                <c:formatCode>0.0</c:formatCode>
                <c:ptCount val="5"/>
                <c:pt idx="0">
                  <c:v>11</c:v>
                </c:pt>
                <c:pt idx="1">
                  <c:v>9.0422571336493043</c:v>
                </c:pt>
                <c:pt idx="2">
                  <c:v>7.1583227281020116</c:v>
                </c:pt>
                <c:pt idx="3">
                  <c:v>6.1</c:v>
                </c:pt>
                <c:pt idx="4">
                  <c:v>6.1</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'11.0-Trade'!$C$50:$G$50</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'11.0-LawOfRiver'!$C$50:$G$50</c:f>
              <c:numCache>
                <c:formatCode>0.0</c:formatCode>
                <c:ptCount val="5"/>
                <c:pt idx="0">
                  <c:v>6.867</c:v>
                </c:pt>
                <c:pt idx="1">
                  <c:v>6.867</c:v>
                </c:pt>
                <c:pt idx="2">
                  <c:v>6.7829999999999995</c:v>
                </c:pt>
                <c:pt idx="3">
                  <c:v>6.7829999999999995</c:v>
                </c:pt>
                <c:pt idx="4">
                  <c:v>6.7829999999999995</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'11.0-LawOfRiver'!$C$21:$G$21</c:f>
              <c:strCache>
                <c:ptCount val="5"/>
                <c:pt idx="0">
                  <c:v>Year 1</c:v>
                </c:pt>
                <c:pt idx="1">
                  <c:v>Year 2</c:v>
                </c:pt>
                <c:pt idx="2">
                  <c:v>Year 3</c:v>
                </c:pt>
                <c:pt idx="3">
                  <c:v>Year 4</c:v>
                </c:pt>
                <c:pt idx="4">
                  <c:v>Year 5</c:v>
                </c:pt>
              </c:strCache>
            </c:strRef>
          </c:cat>
          <c:val>
            <c:numRef>
              <c:f>'11.0-LawOfRiver'!$C$26:$G$26</c:f>
              <c:numCache>
                <c:formatCode>0.0</c:formatCode>
                <c:ptCount val="5"/>
                <c:pt idx="0">
                  <c:v>10.1</c:v>
                </c:pt>
                <c:pt idx="1">
                  <c:v>9.718845186350725</c:v>
                </c:pt>
                <c:pt idx="2">
                  <c:v>9.3335709548974197</c:v>
                </c:pt>
                <c:pt idx="3">
                  <c:v>9.0368781650462786</c:v>
                </c:pt>
                <c:pt idx="4">
                  <c:v>8.7384806907198929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'11.0-Trade'!$C$21:$G$21</c:f>
              <c:strCache>
                <c:ptCount val="5"/>
                <c:pt idx="0">
                  <c:v>Year 1</c:v>
                </c:pt>
                <c:pt idx="1">
                  <c:v>Year 2</c:v>
                </c:pt>
                <c:pt idx="2">
                  <c:v>Year 3</c:v>
                </c:pt>
                <c:pt idx="3">
                  <c:v>Year 4</c:v>
                </c:pt>
                <c:pt idx="4">
                  <c:v>Year 5</c:v>
                </c:pt>
              </c:strCache>
            </c:strRef>
          </c:cat>
          <c:val>
            <c:numRef>
              <c:f>'11.0-Trade'!$C$26:$G$26</c:f>
              <c:numCache>
                <c:formatCode>0.0</c:formatCode>
                <c:ptCount val="5"/>
                <c:pt idx="0">
                  <c:v>10.1</c:v>
                </c:pt>
                <c:pt idx="1">
                  <c:v>10.218845186350725</c:v>
                </c:pt>
                <c:pt idx="2">
                  <c:v>10.213990511167419</c:v>
                </c:pt>
                <c:pt idx="3">
                  <c:v>10.193338646698306</c:v>
                </c:pt>
                <c:pt idx="4">
                  <c:v>9.7622661278208565</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385794462191724"/>
          <c:y val="3.4745872660633781E-2"/>
          <c:w val="0.82523052422514986"/>
          <c:h val="0.87719197828007334"/>
        </c:manualLayout>
      </c:layout>
      <c:lineChart>
        <c:grouping val="standard"/>
        <c:varyColors val="0"/>
        <c:ser>
          <c:idx val="0"/>
          <c:order val="0"/>
          <c:tx>
            <c:v>LowerBasin</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'MilleniumRecovers-LawOfRiver'!$C$50:$L$50</c:f>
              <c:numCache>
                <c:formatCode>0.0</c:formatCode>
                <c:ptCount val="10"/>
                <c:pt idx="0">
                  <c:v>6.867</c:v>
                </c:pt>
                <c:pt idx="1">
                  <c:v>6.867</c:v>
                </c:pt>
                <c:pt idx="2">
                  <c:v>6.7829999999999995</c:v>
                </c:pt>
                <c:pt idx="3">
                  <c:v>6.7829999999999995</c:v>
                </c:pt>
                <c:pt idx="4">
                  <c:v>6.7829999999999995</c:v>
                </c:pt>
                <c:pt idx="5">
                  <c:v>6.7829999999999995</c:v>
                </c:pt>
                <c:pt idx="6">
                  <c:v>6.7829999999999995</c:v>
                </c:pt>
                <c:pt idx="7">
                  <c:v>6.7829999999999995</c:v>
                </c:pt>
                <c:pt idx="8">
                  <c:v>6.7829999999999995</c:v>
                </c:pt>
                <c:pt idx="9">
                  <c:v>6.5330000000000004</c:v>
                </c:pt>
              </c:numCache>
            </c:numRef>
          </c:val>
          <c:smooth val="0"/>
          <c:extLst>
            <c:ext xmlns:c16="http://schemas.microsoft.com/office/drawing/2014/chart" uri="{C3380CC4-5D6E-409C-BE32-E72D297353CC}">
              <c16:uniqueId val="{00000001-57FE-44A3-B45F-1A0B1069B9CD}"/>
            </c:ext>
          </c:extLst>
        </c:ser>
        <c:ser>
          <c:idx val="1"/>
          <c:order val="1"/>
          <c:tx>
            <c:v>Upper Basin</c:v>
          </c:tx>
          <c:spPr>
            <a:ln w="19050" cap="rnd">
              <a:solidFill>
                <a:srgbClr val="FF0000"/>
              </a:solidFill>
              <a:prstDash val="lgDash"/>
              <a:round/>
            </a:ln>
            <a:effectLst/>
          </c:spPr>
          <c:marker>
            <c:symbol val="triangle"/>
            <c:size val="8"/>
            <c:spPr>
              <a:solidFill>
                <a:srgbClr val="FF0000"/>
              </a:solidFill>
              <a:ln w="9525">
                <a:solidFill>
                  <a:srgbClr val="FF0000"/>
                </a:solidFill>
              </a:ln>
              <a:effectLst/>
            </c:spPr>
          </c:marker>
          <c:cat>
            <c:strRef>
              <c:f>'MilleniumRecovers-LawOfRiver'!$C$21:$L$21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'MilleniumRecovers-LawOfRiver'!$C$49:$L$49</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57FE-44A3-B45F-1A0B1069B9C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77188148400426904"/>
          <c:y val="0.50918779787545598"/>
          <c:w val="0.18955436667271974"/>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5590706538203605"/>
          <c:y val="3.4745872660633781E-2"/>
          <c:w val="0.82940309212417163"/>
          <c:h val="0.87719197828007334"/>
        </c:manualLayout>
      </c:layout>
      <c:lineChart>
        <c:grouping val="standard"/>
        <c:varyColors val="0"/>
        <c:ser>
          <c:idx val="0"/>
          <c:order val="0"/>
          <c:tx>
            <c:v>Lower Basin</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'MilleniumRecovers-LawOfRiver'!$C$26:$L$26</c:f>
              <c:numCache>
                <c:formatCode>0.0</c:formatCode>
                <c:ptCount val="10"/>
                <c:pt idx="0">
                  <c:v>10.1</c:v>
                </c:pt>
                <c:pt idx="1">
                  <c:v>9.718845186350725</c:v>
                </c:pt>
                <c:pt idx="2">
                  <c:v>9.3481138753816442</c:v>
                </c:pt>
                <c:pt idx="3">
                  <c:v>9.0807126641286047</c:v>
                </c:pt>
                <c:pt idx="4">
                  <c:v>8.8186369751811853</c:v>
                </c:pt>
                <c:pt idx="5">
                  <c:v>8.5624659271690966</c:v>
                </c:pt>
                <c:pt idx="6">
                  <c:v>8.3121650598230055</c:v>
                </c:pt>
                <c:pt idx="7">
                  <c:v>8.066965637509341</c:v>
                </c:pt>
                <c:pt idx="8">
                  <c:v>7.8483404860342372</c:v>
                </c:pt>
                <c:pt idx="9">
                  <c:v>7.6529385247092119</c:v>
                </c:pt>
              </c:numCache>
            </c:numRef>
          </c:val>
          <c:smooth val="0"/>
          <c:extLst>
            <c:ext xmlns:c16="http://schemas.microsoft.com/office/drawing/2014/chart" uri="{C3380CC4-5D6E-409C-BE32-E72D297353CC}">
              <c16:uniqueId val="{00000000-B189-4BFA-859E-30997C832872}"/>
            </c:ext>
          </c:extLst>
        </c:ser>
        <c:ser>
          <c:idx val="1"/>
          <c:order val="1"/>
          <c:tx>
            <c:v>Upper Basin</c:v>
          </c:tx>
          <c:spPr>
            <a:ln w="19050" cap="rnd">
              <a:solidFill>
                <a:srgbClr val="FF0000"/>
              </a:solidFill>
              <a:prstDash val="lgDash"/>
              <a:round/>
            </a:ln>
            <a:effectLst/>
          </c:spPr>
          <c:marker>
            <c:symbol val="triangle"/>
            <c:size val="8"/>
            <c:spPr>
              <a:solidFill>
                <a:srgbClr val="FF0000"/>
              </a:solidFill>
              <a:ln w="9525">
                <a:solidFill>
                  <a:srgbClr val="FF0000"/>
                </a:solidFill>
              </a:ln>
              <a:effectLst/>
            </c:spPr>
          </c:marker>
          <c:cat>
            <c:strRef>
              <c:f>'MilleniumRecovers-LawOfRiver'!$C$21:$L$21</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'MilleniumRecovers-LawOfRiver'!$C$25:$L$25</c:f>
              <c:numCache>
                <c:formatCode>0.0</c:formatCode>
                <c:ptCount val="10"/>
                <c:pt idx="0">
                  <c:v>11</c:v>
                </c:pt>
                <c:pt idx="1">
                  <c:v>10.442257133649303</c:v>
                </c:pt>
                <c:pt idx="2">
                  <c:v>9.9028919646178117</c:v>
                </c:pt>
                <c:pt idx="3">
                  <c:v>9.3906334218714242</c:v>
                </c:pt>
                <c:pt idx="4">
                  <c:v>8.8957190323188442</c:v>
                </c:pt>
                <c:pt idx="5">
                  <c:v>8.4185431968321076</c:v>
                </c:pt>
                <c:pt idx="6">
                  <c:v>7.9588448561782004</c:v>
                </c:pt>
                <c:pt idx="7">
                  <c:v>9.5156542708912966</c:v>
                </c:pt>
                <c:pt idx="8">
                  <c:v>11.00449205836523</c:v>
                </c:pt>
                <c:pt idx="9">
                  <c:v>12.432277863190858</c:v>
                </c:pt>
              </c:numCache>
            </c:numRef>
          </c:val>
          <c:smooth val="0"/>
          <c:extLst>
            <c:ext xmlns:c16="http://schemas.microsoft.com/office/drawing/2014/chart" uri="{C3380CC4-5D6E-409C-BE32-E72D297353CC}">
              <c16:uniqueId val="{00000001-B189-4BFA-859E-30997C83287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layout>
            <c:manualLayout>
              <c:xMode val="edge"/>
              <c:yMode val="edge"/>
              <c:x val="1.7898588062878196E-2"/>
              <c:y val="4.747682429088701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22221</xdr:colOff>
      <xdr:row>1</xdr:row>
      <xdr:rowOff>122237</xdr:rowOff>
    </xdr:from>
    <xdr:to>
      <xdr:col>17</xdr:col>
      <xdr:colOff>523875</xdr:colOff>
      <xdr:row>19</xdr:row>
      <xdr:rowOff>149225</xdr:rowOff>
    </xdr:to>
    <xdr:graphicFrame macro="">
      <xdr:nvGraphicFramePr>
        <xdr:cNvPr id="2" name="Chart 1">
          <a:extLst>
            <a:ext uri="{FF2B5EF4-FFF2-40B4-BE49-F238E27FC236}">
              <a16:creationId xmlns:a16="http://schemas.microsoft.com/office/drawing/2014/main" id="{BF6FEC03-7063-4E5F-B478-4B086BC80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6350</xdr:colOff>
      <xdr:row>19</xdr:row>
      <xdr:rowOff>153987</xdr:rowOff>
    </xdr:from>
    <xdr:to>
      <xdr:col>17</xdr:col>
      <xdr:colOff>523875</xdr:colOff>
      <xdr:row>37</xdr:row>
      <xdr:rowOff>158750</xdr:rowOff>
    </xdr:to>
    <xdr:graphicFrame macro="">
      <xdr:nvGraphicFramePr>
        <xdr:cNvPr id="3" name="Chart 1">
          <a:extLst>
            <a:ext uri="{FF2B5EF4-FFF2-40B4-BE49-F238E27FC236}">
              <a16:creationId xmlns:a16="http://schemas.microsoft.com/office/drawing/2014/main" id="{F01DAF2B-1D71-4A35-BC14-0AE1D9C72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2"/>
  <sheetViews>
    <sheetView tabSelected="1" zoomScale="150" zoomScaleNormal="150" workbookViewId="0">
      <selection activeCell="A5" sqref="A5"/>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114</v>
      </c>
      <c r="B1" s="1"/>
      <c r="C1" s="2"/>
      <c r="D1"/>
    </row>
    <row r="2" spans="1:12" x14ac:dyDescent="0.35">
      <c r="A2" s="1"/>
      <c r="B2" s="1"/>
      <c r="C2" s="2"/>
      <c r="D2"/>
    </row>
    <row r="3" spans="1:12" x14ac:dyDescent="0.35">
      <c r="A3" s="1" t="s">
        <v>39</v>
      </c>
      <c r="B3" s="1"/>
      <c r="C3" s="2"/>
      <c r="D3"/>
    </row>
    <row r="4" spans="1:12" ht="187.5" customHeight="1" x14ac:dyDescent="0.35">
      <c r="A4" s="63" t="s">
        <v>171</v>
      </c>
      <c r="B4" s="63"/>
      <c r="C4" s="63"/>
      <c r="D4" s="63"/>
      <c r="E4" s="63"/>
      <c r="F4" s="63"/>
      <c r="G4" s="63"/>
      <c r="H4" s="63"/>
      <c r="I4" s="63"/>
      <c r="J4" s="63"/>
      <c r="K4" s="63"/>
      <c r="L4" s="63"/>
    </row>
    <row r="5" spans="1:12" ht="13.5" customHeight="1" x14ac:dyDescent="0.35">
      <c r="B5" s="16"/>
      <c r="C5" s="16"/>
      <c r="D5" s="16"/>
      <c r="E5" s="16"/>
      <c r="F5" s="16"/>
      <c r="G5" s="16"/>
      <c r="H5" s="16"/>
      <c r="I5" s="16"/>
      <c r="J5" s="16"/>
      <c r="K5" s="16"/>
      <c r="L5" s="16"/>
    </row>
    <row r="6" spans="1:12" ht="16.5" customHeight="1" x14ac:dyDescent="0.35">
      <c r="A6" s="54" t="s">
        <v>113</v>
      </c>
      <c r="B6" s="55"/>
      <c r="C6" s="55"/>
      <c r="D6" s="55"/>
      <c r="E6" s="55"/>
      <c r="F6" s="55"/>
      <c r="G6" s="55"/>
      <c r="H6" s="55"/>
      <c r="I6" s="55"/>
      <c r="J6" s="55"/>
      <c r="K6" s="55"/>
      <c r="L6" s="56"/>
    </row>
    <row r="7" spans="1:12" ht="16.5" customHeight="1" x14ac:dyDescent="0.35">
      <c r="A7" s="29">
        <v>1</v>
      </c>
      <c r="B7" s="57" t="s">
        <v>160</v>
      </c>
      <c r="C7" s="57"/>
      <c r="D7" s="57"/>
      <c r="E7" s="57"/>
      <c r="F7" s="57"/>
      <c r="G7" s="57"/>
      <c r="H7" s="57"/>
      <c r="I7" s="57"/>
      <c r="J7" s="57"/>
      <c r="K7" s="57"/>
      <c r="L7" s="58"/>
    </row>
    <row r="8" spans="1:12" ht="16.5" customHeight="1" x14ac:dyDescent="0.35">
      <c r="A8" s="29">
        <v>2</v>
      </c>
      <c r="B8" s="57" t="s">
        <v>95</v>
      </c>
      <c r="C8" s="57"/>
      <c r="D8" s="57"/>
      <c r="E8" s="57"/>
      <c r="F8" s="57"/>
      <c r="G8" s="57"/>
      <c r="H8" s="57"/>
      <c r="I8" s="57"/>
      <c r="J8" s="57"/>
      <c r="K8" s="57"/>
      <c r="L8" s="58"/>
    </row>
    <row r="9" spans="1:12" ht="16.5" customHeight="1" x14ac:dyDescent="0.35">
      <c r="A9" s="29">
        <v>3</v>
      </c>
      <c r="B9" s="57" t="s">
        <v>161</v>
      </c>
      <c r="C9" s="57"/>
      <c r="D9" s="57"/>
      <c r="E9" s="57"/>
      <c r="F9" s="57"/>
      <c r="G9" s="57"/>
      <c r="H9" s="57"/>
      <c r="I9" s="57"/>
      <c r="J9" s="57"/>
      <c r="K9" s="57"/>
      <c r="L9" s="58"/>
    </row>
    <row r="10" spans="1:12" ht="32.5" customHeight="1" x14ac:dyDescent="0.35">
      <c r="A10" s="29">
        <v>4</v>
      </c>
      <c r="B10" s="57" t="s">
        <v>96</v>
      </c>
      <c r="C10" s="57"/>
      <c r="D10" s="57"/>
      <c r="E10" s="57"/>
      <c r="F10" s="57"/>
      <c r="G10" s="57"/>
      <c r="H10" s="57"/>
      <c r="I10" s="57"/>
      <c r="J10" s="57"/>
      <c r="K10" s="57"/>
      <c r="L10" s="58"/>
    </row>
    <row r="11" spans="1:12" ht="16.5" customHeight="1" x14ac:dyDescent="0.35">
      <c r="A11" s="29">
        <v>5</v>
      </c>
      <c r="B11" s="57" t="s">
        <v>162</v>
      </c>
      <c r="C11" s="57"/>
      <c r="D11" s="57"/>
      <c r="E11" s="57"/>
      <c r="F11" s="57"/>
      <c r="G11" s="57"/>
      <c r="H11" s="57"/>
      <c r="I11" s="57"/>
      <c r="J11" s="57"/>
      <c r="K11" s="57"/>
      <c r="L11" s="58"/>
    </row>
    <row r="12" spans="1:12" ht="16.5" customHeight="1" x14ac:dyDescent="0.35">
      <c r="A12" s="29">
        <v>6</v>
      </c>
      <c r="B12" s="57" t="s">
        <v>163</v>
      </c>
      <c r="C12" s="57"/>
      <c r="D12" s="57"/>
      <c r="E12" s="57"/>
      <c r="F12" s="57"/>
      <c r="G12" s="57"/>
      <c r="H12" s="57"/>
      <c r="I12" s="57"/>
      <c r="J12" s="57"/>
      <c r="K12" s="57"/>
      <c r="L12" s="58"/>
    </row>
    <row r="13" spans="1:12" ht="32.5" customHeight="1" x14ac:dyDescent="0.35">
      <c r="A13" s="29">
        <v>7</v>
      </c>
      <c r="B13" s="57" t="s">
        <v>164</v>
      </c>
      <c r="C13" s="57"/>
      <c r="D13" s="57"/>
      <c r="E13" s="57"/>
      <c r="F13" s="57"/>
      <c r="G13" s="57"/>
      <c r="H13" s="57"/>
      <c r="I13" s="57"/>
      <c r="J13" s="57"/>
      <c r="K13" s="57"/>
      <c r="L13" s="58"/>
    </row>
    <row r="14" spans="1:12" ht="32.5" customHeight="1" x14ac:dyDescent="0.35">
      <c r="A14" s="29">
        <v>8</v>
      </c>
      <c r="B14" s="57" t="s">
        <v>165</v>
      </c>
      <c r="C14" s="57"/>
      <c r="D14" s="57"/>
      <c r="E14" s="57"/>
      <c r="F14" s="57"/>
      <c r="G14" s="57"/>
      <c r="H14" s="57"/>
      <c r="I14" s="57"/>
      <c r="J14" s="57"/>
      <c r="K14" s="57"/>
      <c r="L14" s="58"/>
    </row>
    <row r="15" spans="1:12" ht="16.5" customHeight="1" x14ac:dyDescent="0.35">
      <c r="A15" s="29">
        <v>9</v>
      </c>
      <c r="B15" s="57" t="s">
        <v>166</v>
      </c>
      <c r="C15" s="57"/>
      <c r="D15" s="57"/>
      <c r="E15" s="57"/>
      <c r="F15" s="57"/>
      <c r="G15" s="57"/>
      <c r="H15" s="57"/>
      <c r="I15" s="57"/>
      <c r="J15" s="57"/>
      <c r="K15" s="57"/>
      <c r="L15" s="58"/>
    </row>
    <row r="16" spans="1:12" ht="16.5" customHeight="1" x14ac:dyDescent="0.35">
      <c r="A16" s="29">
        <v>10</v>
      </c>
      <c r="B16" s="57" t="s">
        <v>167</v>
      </c>
      <c r="C16" s="57"/>
      <c r="D16" s="57"/>
      <c r="E16" s="57"/>
      <c r="F16" s="57"/>
      <c r="G16" s="57"/>
      <c r="H16" s="57"/>
      <c r="I16" s="57"/>
      <c r="J16" s="57"/>
      <c r="K16" s="57"/>
      <c r="L16" s="58"/>
    </row>
    <row r="17" spans="1:12" ht="16.5" customHeight="1" x14ac:dyDescent="0.35">
      <c r="A17" s="29">
        <v>11</v>
      </c>
      <c r="B17" s="57" t="s">
        <v>56</v>
      </c>
      <c r="C17" s="57"/>
      <c r="D17" s="57"/>
      <c r="E17" s="57"/>
      <c r="F17" s="57"/>
      <c r="G17" s="57"/>
      <c r="H17" s="57"/>
      <c r="I17" s="57"/>
      <c r="J17" s="57"/>
      <c r="K17" s="57"/>
      <c r="L17" s="58"/>
    </row>
    <row r="18" spans="1:12" ht="16.5" customHeight="1" x14ac:dyDescent="0.35">
      <c r="A18" s="29">
        <v>12</v>
      </c>
      <c r="B18" s="59" t="s">
        <v>168</v>
      </c>
      <c r="C18" s="59"/>
      <c r="D18" s="59"/>
      <c r="E18" s="59"/>
      <c r="F18" s="59"/>
      <c r="G18" s="59"/>
      <c r="H18" s="59"/>
      <c r="I18" s="59"/>
      <c r="J18" s="59"/>
      <c r="K18" s="59"/>
      <c r="L18" s="60"/>
    </row>
    <row r="19" spans="1:12" ht="32" customHeight="1" x14ac:dyDescent="0.35">
      <c r="A19" s="29">
        <v>13</v>
      </c>
      <c r="B19" s="61" t="s">
        <v>169</v>
      </c>
      <c r="C19" s="61"/>
      <c r="D19" s="61"/>
      <c r="E19" s="61"/>
      <c r="F19" s="61"/>
      <c r="G19" s="61"/>
      <c r="H19" s="61"/>
      <c r="I19" s="61"/>
      <c r="J19" s="61"/>
      <c r="K19" s="61"/>
      <c r="L19" s="62"/>
    </row>
    <row r="20" spans="1:12" ht="16.5" customHeight="1" x14ac:dyDescent="0.35">
      <c r="B20" s="27"/>
      <c r="C20" s="27"/>
      <c r="D20" s="27"/>
      <c r="E20" s="27"/>
      <c r="F20" s="27"/>
      <c r="G20" s="27"/>
      <c r="H20" s="27"/>
      <c r="I20" s="27"/>
      <c r="J20" s="27"/>
      <c r="K20" s="27"/>
      <c r="L20" s="27"/>
    </row>
    <row r="21" spans="1:12" x14ac:dyDescent="0.35">
      <c r="A21" s="1" t="s">
        <v>97</v>
      </c>
    </row>
    <row r="22" spans="1:12" x14ac:dyDescent="0.35">
      <c r="B22" s="2" t="s">
        <v>98</v>
      </c>
      <c r="C22" t="s">
        <v>99</v>
      </c>
    </row>
    <row r="23" spans="1:12" x14ac:dyDescent="0.35">
      <c r="B23" s="2" t="s">
        <v>147</v>
      </c>
      <c r="C23" t="s">
        <v>150</v>
      </c>
    </row>
    <row r="24" spans="1:12" x14ac:dyDescent="0.35">
      <c r="B24" s="2" t="s">
        <v>148</v>
      </c>
      <c r="C24" t="s">
        <v>149</v>
      </c>
    </row>
    <row r="25" spans="1:12" x14ac:dyDescent="0.35">
      <c r="B25" s="2" t="s">
        <v>154</v>
      </c>
      <c r="C25" t="s">
        <v>155</v>
      </c>
    </row>
    <row r="26" spans="1:12" x14ac:dyDescent="0.35">
      <c r="B26" s="2" t="s">
        <v>152</v>
      </c>
      <c r="C26" t="s">
        <v>153</v>
      </c>
    </row>
    <row r="27" spans="1:12" x14ac:dyDescent="0.35">
      <c r="B27" s="2" t="s">
        <v>100</v>
      </c>
      <c r="C27" t="s">
        <v>101</v>
      </c>
    </row>
    <row r="28" spans="1:12" x14ac:dyDescent="0.35">
      <c r="B28" s="2" t="s">
        <v>102</v>
      </c>
      <c r="C28" t="s">
        <v>103</v>
      </c>
    </row>
    <row r="31" spans="1:12" x14ac:dyDescent="0.35">
      <c r="A31" s="1" t="s">
        <v>51</v>
      </c>
    </row>
    <row r="32" spans="1:12" ht="30.5" customHeight="1" x14ac:dyDescent="0.35">
      <c r="A32" s="53" t="s">
        <v>170</v>
      </c>
      <c r="B32" s="53"/>
      <c r="C32" s="53"/>
      <c r="D32" s="53"/>
      <c r="E32" s="53"/>
      <c r="F32" s="53"/>
      <c r="G32" s="53"/>
      <c r="H32" s="53"/>
      <c r="I32" s="53"/>
      <c r="J32" s="53"/>
      <c r="K32" s="53"/>
      <c r="L32" s="53"/>
    </row>
  </sheetData>
  <mergeCells count="16">
    <mergeCell ref="A4:L4"/>
    <mergeCell ref="B9:L9"/>
    <mergeCell ref="B11:L11"/>
    <mergeCell ref="B12:L12"/>
    <mergeCell ref="B13:L13"/>
    <mergeCell ref="A32:L32"/>
    <mergeCell ref="A6:L6"/>
    <mergeCell ref="B10:L10"/>
    <mergeCell ref="B7:L7"/>
    <mergeCell ref="B8:L8"/>
    <mergeCell ref="B15:L15"/>
    <mergeCell ref="B16:L16"/>
    <mergeCell ref="B17:L17"/>
    <mergeCell ref="B18:L18"/>
    <mergeCell ref="B19:L19"/>
    <mergeCell ref="B14:L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3"/>
  <sheetViews>
    <sheetView topLeftCell="A42" zoomScale="150" zoomScaleNormal="150" workbookViewId="0">
      <selection activeCell="A58" sqref="A58:M58"/>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64"/>
      <c r="D5" s="64"/>
      <c r="E5" s="64"/>
      <c r="F5" s="64"/>
      <c r="G5" s="64"/>
      <c r="H5" s="64"/>
    </row>
    <row r="6" spans="1:11" x14ac:dyDescent="0.35">
      <c r="A6" s="17" t="s">
        <v>41</v>
      </c>
      <c r="B6" s="13"/>
      <c r="C6" s="64"/>
      <c r="D6" s="64"/>
      <c r="E6" s="64"/>
      <c r="F6" s="64"/>
      <c r="G6" s="64"/>
      <c r="H6" s="64"/>
    </row>
    <row r="7" spans="1:11" x14ac:dyDescent="0.35">
      <c r="A7" s="17" t="s">
        <v>42</v>
      </c>
      <c r="B7" s="13"/>
      <c r="C7" s="64"/>
      <c r="D7" s="64"/>
      <c r="E7" s="64"/>
      <c r="F7" s="64"/>
      <c r="G7" s="64"/>
      <c r="H7" s="64"/>
    </row>
    <row r="8" spans="1:11" x14ac:dyDescent="0.35">
      <c r="A8" s="17" t="s">
        <v>43</v>
      </c>
      <c r="B8" s="13"/>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118</v>
      </c>
    </row>
    <row r="19" spans="1:13" x14ac:dyDescent="0.35">
      <c r="A19" t="s">
        <v>151</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c r="D22" s="12"/>
      <c r="E22" s="12"/>
      <c r="F22" s="12"/>
      <c r="G22" s="12"/>
      <c r="H22" s="12">
        <f t="shared" ref="H22:L22" si="0">G22</f>
        <v>0</v>
      </c>
      <c r="I22" s="12">
        <f t="shared" si="0"/>
        <v>0</v>
      </c>
      <c r="J22" s="12">
        <f t="shared" si="0"/>
        <v>0</v>
      </c>
      <c r="K22" s="12">
        <f t="shared" si="0"/>
        <v>0</v>
      </c>
      <c r="L22" s="12">
        <f t="shared" si="0"/>
        <v>0</v>
      </c>
    </row>
    <row r="23" spans="1:13" x14ac:dyDescent="0.35">
      <c r="A23" s="1" t="s">
        <v>127</v>
      </c>
      <c r="B23" s="1"/>
      <c r="C23" s="12" t="str">
        <f>IF(C$22&lt;&gt;"",0.8,"")</f>
        <v/>
      </c>
      <c r="D23" s="12" t="str">
        <f t="shared" ref="D23:L23" si="1">IF(D$22&lt;&gt;"",0.8,"")</f>
        <v/>
      </c>
      <c r="E23" s="12" t="str">
        <f t="shared" si="1"/>
        <v/>
      </c>
      <c r="F23" s="12" t="str">
        <f t="shared" si="1"/>
        <v/>
      </c>
      <c r="G23" s="12" t="str">
        <f t="shared" si="1"/>
        <v/>
      </c>
      <c r="H23" s="12">
        <f t="shared" si="1"/>
        <v>0.8</v>
      </c>
      <c r="I23" s="12">
        <f t="shared" si="1"/>
        <v>0.8</v>
      </c>
      <c r="J23" s="12">
        <f t="shared" si="1"/>
        <v>0.8</v>
      </c>
      <c r="K23" s="12">
        <f t="shared" si="1"/>
        <v>0.8</v>
      </c>
      <c r="L23" s="12">
        <f t="shared" si="1"/>
        <v>0.8</v>
      </c>
    </row>
    <row r="24" spans="1:13" x14ac:dyDescent="0.35">
      <c r="A24" s="1" t="s">
        <v>130</v>
      </c>
      <c r="B24" s="1"/>
      <c r="C24" s="15" t="str">
        <f>IF(C$22&lt;&gt;"",SUM(C25:C27),"")</f>
        <v/>
      </c>
      <c r="D24" s="15" t="str">
        <f>IF(D$22&lt;&gt;"",C57,"")</f>
        <v/>
      </c>
      <c r="E24" s="15" t="str">
        <f t="shared" ref="E24:L24" si="2">IF(E$22&lt;&gt;"",D57,"")</f>
        <v/>
      </c>
      <c r="F24" s="15" t="str">
        <f t="shared" si="2"/>
        <v/>
      </c>
      <c r="G24" s="15" t="str">
        <f t="shared" si="2"/>
        <v/>
      </c>
      <c r="H24" s="15" t="str">
        <f t="shared" si="2"/>
        <v/>
      </c>
      <c r="I24" s="15" t="e">
        <f t="shared" si="2"/>
        <v>#VALUE!</v>
      </c>
      <c r="J24" s="15" t="e">
        <f t="shared" si="2"/>
        <v>#VALUE!</v>
      </c>
      <c r="K24" s="15" t="e">
        <f t="shared" si="2"/>
        <v>#VALUE!</v>
      </c>
      <c r="L24" s="15" t="e">
        <f t="shared" si="2"/>
        <v>#VALUE!</v>
      </c>
    </row>
    <row r="25" spans="1:13" x14ac:dyDescent="0.35">
      <c r="A25" t="s">
        <v>122</v>
      </c>
      <c r="C25" s="15" t="str">
        <f>IF(C$22&lt;&gt;"",$B$19,"")</f>
        <v/>
      </c>
      <c r="D25" s="15" t="str">
        <f>IF(D22&lt;&gt;"",C54,"")</f>
        <v/>
      </c>
      <c r="E25" s="15" t="str">
        <f t="shared" ref="E25:L25" si="3">IF(E22&lt;&gt;"",D54,"")</f>
        <v/>
      </c>
      <c r="F25" s="15" t="str">
        <f t="shared" si="3"/>
        <v/>
      </c>
      <c r="G25" s="15" t="str">
        <f t="shared" si="3"/>
        <v/>
      </c>
      <c r="H25" s="15" t="str">
        <f t="shared" si="3"/>
        <v/>
      </c>
      <c r="I25" s="15" t="e">
        <f t="shared" si="3"/>
        <v>#VALUE!</v>
      </c>
      <c r="J25" s="15" t="e">
        <f t="shared" si="3"/>
        <v>#VALUE!</v>
      </c>
      <c r="K25" s="15" t="e">
        <f t="shared" si="3"/>
        <v>#VALUE!</v>
      </c>
      <c r="L25" s="15" t="e">
        <f t="shared" si="3"/>
        <v>#VALUE!</v>
      </c>
    </row>
    <row r="26" spans="1:13" x14ac:dyDescent="0.35">
      <c r="A26" t="s">
        <v>123</v>
      </c>
      <c r="C26" s="15" t="str">
        <f>IF(C$22&lt;&gt;"",$C$19,"")</f>
        <v/>
      </c>
      <c r="D26" s="15" t="str">
        <f>IF(D23&lt;&gt;"",C55,"")</f>
        <v/>
      </c>
      <c r="E26" s="15" t="str">
        <f t="shared" ref="E26:L27" si="4">IF(E23&lt;&gt;"",D55,"")</f>
        <v/>
      </c>
      <c r="F26" s="15" t="str">
        <f t="shared" si="4"/>
        <v/>
      </c>
      <c r="G26" s="15" t="str">
        <f t="shared" si="4"/>
        <v/>
      </c>
      <c r="H26" s="15" t="str">
        <f t="shared" si="4"/>
        <v/>
      </c>
      <c r="I26" s="15" t="e">
        <f t="shared" si="4"/>
        <v>#VALUE!</v>
      </c>
      <c r="J26" s="15" t="e">
        <f t="shared" si="4"/>
        <v>#VALUE!</v>
      </c>
      <c r="K26" s="15" t="e">
        <f t="shared" si="4"/>
        <v>#VALUE!</v>
      </c>
      <c r="L26" s="15" t="e">
        <f t="shared" si="4"/>
        <v>#VALUE!</v>
      </c>
    </row>
    <row r="27" spans="1:13" x14ac:dyDescent="0.35">
      <c r="A27" t="s">
        <v>32</v>
      </c>
      <c r="C27" s="15" t="str">
        <f>IF(C22&lt;&gt;"",0,"")</f>
        <v/>
      </c>
      <c r="D27" s="15" t="str">
        <f>IF(D24&lt;&gt;"",C56,"")</f>
        <v/>
      </c>
      <c r="E27" s="15" t="str">
        <f t="shared" si="4"/>
        <v/>
      </c>
      <c r="F27" s="15" t="str">
        <f t="shared" si="4"/>
        <v/>
      </c>
      <c r="G27" s="15" t="str">
        <f t="shared" si="4"/>
        <v/>
      </c>
      <c r="H27" s="15" t="str">
        <f t="shared" si="4"/>
        <v/>
      </c>
      <c r="I27" s="15" t="e">
        <f t="shared" si="4"/>
        <v>#VALUE!</v>
      </c>
      <c r="J27" s="15" t="e">
        <f t="shared" si="4"/>
        <v>#VALUE!</v>
      </c>
      <c r="K27" s="15" t="e">
        <f t="shared" si="4"/>
        <v>#VALUE!</v>
      </c>
      <c r="L27" s="15" t="e">
        <f t="shared" si="4"/>
        <v>#VALUE!</v>
      </c>
    </row>
    <row r="28" spans="1:13" x14ac:dyDescent="0.35">
      <c r="A28" s="1" t="s">
        <v>121</v>
      </c>
      <c r="C28"/>
    </row>
    <row r="29" spans="1:13" x14ac:dyDescent="0.35">
      <c r="A29" t="s">
        <v>119</v>
      </c>
      <c r="B29" s="37">
        <v>0.5</v>
      </c>
      <c r="C29" s="15" t="str">
        <f>C25</f>
        <v/>
      </c>
      <c r="D29" s="15" t="str">
        <f t="shared" ref="D29:L29" si="5">IF(D22&lt;&gt;"",$B29*D$24,"")</f>
        <v/>
      </c>
      <c r="E29" s="15" t="str">
        <f t="shared" si="5"/>
        <v/>
      </c>
      <c r="F29" s="15" t="str">
        <f t="shared" si="5"/>
        <v/>
      </c>
      <c r="G29" s="15" t="str">
        <f t="shared" si="5"/>
        <v/>
      </c>
      <c r="H29" s="15" t="e">
        <f t="shared" si="5"/>
        <v>#VALUE!</v>
      </c>
      <c r="I29" s="15" t="e">
        <f t="shared" si="5"/>
        <v>#VALUE!</v>
      </c>
      <c r="J29" s="15" t="e">
        <f t="shared" si="5"/>
        <v>#VALUE!</v>
      </c>
      <c r="K29" s="15" t="e">
        <f t="shared" si="5"/>
        <v>#VALUE!</v>
      </c>
      <c r="L29" s="15" t="e">
        <f t="shared" si="5"/>
        <v>#VALUE!</v>
      </c>
    </row>
    <row r="30" spans="1:13" x14ac:dyDescent="0.35">
      <c r="A30" t="s">
        <v>120</v>
      </c>
      <c r="B30" s="37">
        <f>1-B29</f>
        <v>0.5</v>
      </c>
      <c r="C30" s="15" t="str">
        <f>C26</f>
        <v/>
      </c>
      <c r="D30" s="15" t="str">
        <f t="shared" ref="D30:L30" si="6">IF(D23&lt;&gt;"",$B30*D$24,"")</f>
        <v/>
      </c>
      <c r="E30" s="15" t="str">
        <f t="shared" si="6"/>
        <v/>
      </c>
      <c r="F30" s="15" t="str">
        <f t="shared" si="6"/>
        <v/>
      </c>
      <c r="G30" s="15" t="str">
        <f t="shared" si="6"/>
        <v/>
      </c>
      <c r="H30" s="15" t="e">
        <f t="shared" si="6"/>
        <v>#VALUE!</v>
      </c>
      <c r="I30" s="15" t="e">
        <f t="shared" si="6"/>
        <v>#VALUE!</v>
      </c>
      <c r="J30" s="15" t="e">
        <f t="shared" si="6"/>
        <v>#VALUE!</v>
      </c>
      <c r="K30" s="15" t="e">
        <f t="shared" si="6"/>
        <v>#VALUE!</v>
      </c>
      <c r="L30" s="15" t="e">
        <f t="shared" si="6"/>
        <v>#VALUE!</v>
      </c>
    </row>
    <row r="31" spans="1:13" x14ac:dyDescent="0.35">
      <c r="A31" s="1" t="s">
        <v>125</v>
      </c>
      <c r="B31" s="1"/>
      <c r="C31" s="15" t="str">
        <f>IF(C$22&lt;&gt;"",VLOOKUP(C29*1000000,'Powell-Elevation-Area'!$B$5:$D$689,3)*$B$18/1000000 + VLOOKUP(C30*1000000,'Mead-Elevation-Area'!$B$5:$D$676,3)*$C$18/1000000,"")</f>
        <v/>
      </c>
      <c r="D31" s="15" t="str">
        <f>IF(D$22&lt;&gt;"",VLOOKUP(D29*1000000,'Powell-Elevation-Area'!$B$5:$D$689,3)*$B$18/1000000 + VLOOKUP(D30*1000000,'Mead-Elevation-Area'!$B$5:$D$676,3)*$C$18/1000000,"")</f>
        <v/>
      </c>
      <c r="E31" s="15" t="str">
        <f>IF(E$22&lt;&gt;"",VLOOKUP(E29*1000000,'Powell-Elevation-Area'!$B$5:$D$689,3)*$B$18/1000000 + VLOOKUP(E30*1000000,'Mead-Elevation-Area'!$B$5:$D$676,3)*$C$18/1000000,"")</f>
        <v/>
      </c>
      <c r="F31" s="15" t="str">
        <f>IF(F$22&lt;&gt;"",VLOOKUP(F29*1000000,'Powell-Elevation-Area'!$B$5:$D$689,3)*$B$18/1000000 + VLOOKUP(F30*1000000,'Mead-Elevation-Area'!$B$5:$D$676,3)*$C$18/1000000,"")</f>
        <v/>
      </c>
      <c r="G31" s="15" t="str">
        <f>IF(G$22&lt;&gt;"",VLOOKUP(G29*1000000,'Powell-Elevation-Area'!$B$5:$D$689,3)*$B$18/1000000 + VLOOKUP(G30*1000000,'Mead-Elevation-Area'!$B$5:$D$676,3)*$C$18/1000000,"")</f>
        <v/>
      </c>
      <c r="H31" s="15" t="e">
        <f>IF(H$22&lt;&gt;"",VLOOKUP(H29*1000000,'Powell-Elevation-Area'!$B$5:$D$689,3)*$B$18/1000000 + VLOOKUP(H30*1000000,'Mead-Elevation-Area'!$B$5:$D$676,3)*$C$18/1000000,"")</f>
        <v>#VALUE!</v>
      </c>
      <c r="I31" s="15" t="e">
        <f>IF(I$22&lt;&gt;"",VLOOKUP(I29*1000000,'Powell-Elevation-Area'!$B$5:$D$689,3)*$B$18/1000000 + VLOOKUP(I30*1000000,'Mead-Elevation-Area'!$B$5:$D$676,3)*$C$18/1000000,"")</f>
        <v>#VALUE!</v>
      </c>
      <c r="J31" s="15" t="e">
        <f>IF(J$22&lt;&gt;"",VLOOKUP(J29*1000000,'Powell-Elevation-Area'!$B$5:$D$689,3)*$B$18/1000000 + VLOOKUP(J30*1000000,'Mead-Elevation-Area'!$B$5:$D$676,3)*$C$18/1000000,"")</f>
        <v>#VALUE!</v>
      </c>
      <c r="K31" s="15" t="e">
        <f>IF(K$22&lt;&gt;"",VLOOKUP(K29*1000000,'Powell-Elevation-Area'!$B$5:$D$689,3)*$B$18/1000000 + VLOOKUP(K30*1000000,'Mead-Elevation-Area'!$B$5:$D$676,3)*$C$18/1000000,"")</f>
        <v>#VALUE!</v>
      </c>
      <c r="L31" s="15" t="e">
        <f>IF(L$22&lt;&gt;"",VLOOKUP(L29*1000000,'Powell-Elevation-Area'!$B$5:$D$689,3)*$B$18/1000000 + VLOOKUP(L30*1000000,'Mead-Elevation-Area'!$B$5:$D$676,3)*$C$18/1000000,"")</f>
        <v>#VALUE!</v>
      </c>
    </row>
    <row r="32" spans="1:13" x14ac:dyDescent="0.35">
      <c r="A32" t="s">
        <v>104</v>
      </c>
      <c r="B32" s="1"/>
      <c r="C32" s="15" t="str">
        <f>IF(C$22&lt;&gt;"",C$31*C25/C$24,"")</f>
        <v/>
      </c>
      <c r="D32" s="15" t="str">
        <f t="shared" ref="D32:L32" si="7">IF(D$22&lt;&gt;"",D$31*D25/D$24,"")</f>
        <v/>
      </c>
      <c r="E32" s="15" t="str">
        <f t="shared" si="7"/>
        <v/>
      </c>
      <c r="F32" s="15" t="str">
        <f t="shared" si="7"/>
        <v/>
      </c>
      <c r="G32" s="15" t="str">
        <f t="shared" si="7"/>
        <v/>
      </c>
      <c r="H32" s="15" t="e">
        <f t="shared" si="7"/>
        <v>#VALUE!</v>
      </c>
      <c r="I32" s="15" t="e">
        <f t="shared" si="7"/>
        <v>#VALUE!</v>
      </c>
      <c r="J32" s="15" t="e">
        <f t="shared" si="7"/>
        <v>#VALUE!</v>
      </c>
      <c r="K32" s="15" t="e">
        <f t="shared" si="7"/>
        <v>#VALUE!</v>
      </c>
      <c r="L32" s="15" t="e">
        <f t="shared" si="7"/>
        <v>#VALUE!</v>
      </c>
    </row>
    <row r="33" spans="1:13" x14ac:dyDescent="0.35">
      <c r="A33" t="s">
        <v>105</v>
      </c>
      <c r="B33" s="1"/>
      <c r="C33" s="15" t="str">
        <f>IF(C$22&lt;&gt;"",C$31*C26/C$24,"")</f>
        <v/>
      </c>
      <c r="D33" s="15" t="str">
        <f t="shared" ref="D33:L33" si="8">IF(D$22&lt;&gt;"",D$31*D26/D$24,"")</f>
        <v/>
      </c>
      <c r="E33" s="15" t="str">
        <f t="shared" si="8"/>
        <v/>
      </c>
      <c r="F33" s="15" t="str">
        <f t="shared" si="8"/>
        <v/>
      </c>
      <c r="G33" s="15" t="str">
        <f t="shared" si="8"/>
        <v/>
      </c>
      <c r="H33" s="15" t="e">
        <f t="shared" si="8"/>
        <v>#VALUE!</v>
      </c>
      <c r="I33" s="15" t="e">
        <f t="shared" si="8"/>
        <v>#VALUE!</v>
      </c>
      <c r="J33" s="15" t="e">
        <f t="shared" si="8"/>
        <v>#VALUE!</v>
      </c>
      <c r="K33" s="15" t="e">
        <f t="shared" si="8"/>
        <v>#VALUE!</v>
      </c>
      <c r="L33" s="15" t="e">
        <f t="shared" si="8"/>
        <v>#VALUE!</v>
      </c>
    </row>
    <row r="34" spans="1:13" x14ac:dyDescent="0.35">
      <c r="A34" t="s">
        <v>106</v>
      </c>
      <c r="B34" s="1"/>
      <c r="C34" s="15" t="str">
        <f>IF(C$22&lt;&gt;"",C$31*C27/C$24,"")</f>
        <v/>
      </c>
      <c r="D34" s="15" t="str">
        <f t="shared" ref="D34:L34" si="9">IF(D$22&lt;&gt;"",D$31*D27/D$24,"")</f>
        <v/>
      </c>
      <c r="E34" s="15" t="str">
        <f t="shared" si="9"/>
        <v/>
      </c>
      <c r="F34" s="15" t="str">
        <f t="shared" si="9"/>
        <v/>
      </c>
      <c r="G34" s="15" t="str">
        <f t="shared" si="9"/>
        <v/>
      </c>
      <c r="H34" s="15" t="e">
        <f t="shared" si="9"/>
        <v>#VALUE!</v>
      </c>
      <c r="I34" s="15" t="e">
        <f t="shared" si="9"/>
        <v>#VALUE!</v>
      </c>
      <c r="J34" s="15" t="e">
        <f t="shared" si="9"/>
        <v>#VALUE!</v>
      </c>
      <c r="K34" s="15" t="e">
        <f t="shared" si="9"/>
        <v>#VALUE!</v>
      </c>
      <c r="L34" s="15" t="e">
        <f t="shared" si="9"/>
        <v>#VALUE!</v>
      </c>
    </row>
    <row r="35" spans="1:13" x14ac:dyDescent="0.35">
      <c r="A35" s="1" t="s">
        <v>124</v>
      </c>
      <c r="B35" s="1"/>
      <c r="C35" s="26" t="str">
        <f>IF(C22&lt;&gt;"",1.5,"")</f>
        <v/>
      </c>
      <c r="D35" s="26" t="str">
        <f t="shared" ref="D35:L35" si="10">IF(D22&lt;&gt;"",1.5,"")</f>
        <v/>
      </c>
      <c r="E35" s="26" t="str">
        <f t="shared" si="10"/>
        <v/>
      </c>
      <c r="F35" s="26" t="str">
        <f t="shared" si="10"/>
        <v/>
      </c>
      <c r="G35" s="26" t="str">
        <f t="shared" si="10"/>
        <v/>
      </c>
      <c r="H35" s="26">
        <f t="shared" si="10"/>
        <v>1.5</v>
      </c>
      <c r="I35" s="26">
        <f t="shared" si="10"/>
        <v>1.5</v>
      </c>
      <c r="J35" s="26">
        <f t="shared" si="10"/>
        <v>1.5</v>
      </c>
      <c r="K35" s="26">
        <f t="shared" si="10"/>
        <v>1.5</v>
      </c>
      <c r="L35" s="26">
        <f t="shared" si="10"/>
        <v>1.5</v>
      </c>
    </row>
    <row r="36" spans="1:13" x14ac:dyDescent="0.35">
      <c r="A36" s="1" t="s">
        <v>139</v>
      </c>
      <c r="B36" s="1"/>
      <c r="C36" s="15" t="str">
        <f>IF(C$22&lt;&gt;"",C22-C35/2,"")</f>
        <v/>
      </c>
      <c r="D36" s="15" t="str">
        <f t="shared" ref="D36:L36" si="11">IF(D$22&lt;&gt;"",D22-D35/2,"")</f>
        <v/>
      </c>
      <c r="E36" s="15" t="str">
        <f t="shared" si="11"/>
        <v/>
      </c>
      <c r="F36" s="15" t="str">
        <f t="shared" si="11"/>
        <v/>
      </c>
      <c r="G36" s="15" t="str">
        <f t="shared" si="11"/>
        <v/>
      </c>
      <c r="H36" s="15">
        <f t="shared" si="11"/>
        <v>-0.75</v>
      </c>
      <c r="I36" s="15">
        <f t="shared" si="11"/>
        <v>-0.75</v>
      </c>
      <c r="J36" s="15">
        <f t="shared" si="11"/>
        <v>-0.75</v>
      </c>
      <c r="K36" s="15">
        <f t="shared" si="11"/>
        <v>-0.75</v>
      </c>
      <c r="L36" s="15">
        <f t="shared" si="11"/>
        <v>-0.75</v>
      </c>
    </row>
    <row r="37" spans="1:13" x14ac:dyDescent="0.35">
      <c r="A37" t="s">
        <v>0</v>
      </c>
      <c r="B37" s="25"/>
      <c r="C37" s="15" t="str">
        <f>IF(C22&lt;&gt;"",MAX(0,C36-C38),"")</f>
        <v/>
      </c>
      <c r="D37" s="15" t="str">
        <f t="shared" ref="D37:L37" si="12">IF(D22&lt;&gt;"",MAX(0,D36-D38),"")</f>
        <v/>
      </c>
      <c r="E37" s="15" t="str">
        <f t="shared" si="12"/>
        <v/>
      </c>
      <c r="F37" s="15" t="str">
        <f t="shared" si="12"/>
        <v/>
      </c>
      <c r="G37" s="15" t="str">
        <f t="shared" si="12"/>
        <v/>
      </c>
      <c r="H37" s="15">
        <f t="shared" si="12"/>
        <v>0</v>
      </c>
      <c r="I37" s="15">
        <f t="shared" si="12"/>
        <v>0</v>
      </c>
      <c r="J37" s="15">
        <f t="shared" si="12"/>
        <v>0</v>
      </c>
      <c r="K37" s="15">
        <f t="shared" si="12"/>
        <v>0</v>
      </c>
      <c r="L37" s="15">
        <f t="shared" si="12"/>
        <v>0</v>
      </c>
    </row>
    <row r="38" spans="1:13" x14ac:dyDescent="0.35">
      <c r="A38" t="s">
        <v>1</v>
      </c>
      <c r="B38" s="46">
        <v>7.5</v>
      </c>
      <c r="C38" s="15" t="str">
        <f>IF(C22&lt;&gt;"",IF(C36&gt;$B38,$B38,C36),"")</f>
        <v/>
      </c>
      <c r="D38" s="15" t="str">
        <f t="shared" ref="D38:L38" si="13">IF(D22&lt;&gt;"",IF(D36&gt;$B38,$B38,D36),"")</f>
        <v/>
      </c>
      <c r="E38" s="15" t="str">
        <f t="shared" si="13"/>
        <v/>
      </c>
      <c r="F38" s="15" t="str">
        <f t="shared" si="13"/>
        <v/>
      </c>
      <c r="G38" s="15" t="str">
        <f t="shared" si="13"/>
        <v/>
      </c>
      <c r="H38" s="15">
        <f t="shared" si="13"/>
        <v>-0.75</v>
      </c>
      <c r="I38" s="15">
        <f t="shared" si="13"/>
        <v>-0.75</v>
      </c>
      <c r="J38" s="15">
        <f t="shared" si="13"/>
        <v>-0.75</v>
      </c>
      <c r="K38" s="15">
        <f t="shared" si="13"/>
        <v>-0.75</v>
      </c>
      <c r="L38" s="15">
        <f t="shared" si="13"/>
        <v>-0.75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t="str">
        <f>IF(C$22&lt;&gt;"",C25+C37-C32-C40,"")</f>
        <v/>
      </c>
      <c r="D45" s="15" t="str">
        <f t="shared" ref="D45:L45" si="14">IF(D$22&lt;&gt;"",D25+D37-D32-D40,"")</f>
        <v/>
      </c>
      <c r="E45" s="15" t="str">
        <f t="shared" si="14"/>
        <v/>
      </c>
      <c r="F45" s="15" t="str">
        <f>IF(F$22&lt;&gt;"",F25+F37-F32-F40,"")</f>
        <v/>
      </c>
      <c r="G45" s="15" t="str">
        <f t="shared" si="14"/>
        <v/>
      </c>
      <c r="H45" s="15" t="e">
        <f t="shared" si="14"/>
        <v>#VALUE!</v>
      </c>
      <c r="I45" s="15" t="e">
        <f t="shared" si="14"/>
        <v>#VALUE!</v>
      </c>
      <c r="J45" s="15" t="e">
        <f t="shared" si="14"/>
        <v>#VALUE!</v>
      </c>
      <c r="K45" s="15" t="e">
        <f t="shared" si="14"/>
        <v>#VALUE!</v>
      </c>
      <c r="L45" s="15" t="e">
        <f t="shared" si="14"/>
        <v>#VALUE!</v>
      </c>
    </row>
    <row r="46" spans="1:13" x14ac:dyDescent="0.35">
      <c r="A46" t="s">
        <v>3</v>
      </c>
      <c r="C46" s="15" t="str">
        <f>IF(C$22&lt;&gt;"",C26+C38-C33+C40+C42+C23-C35/2,"")</f>
        <v/>
      </c>
      <c r="D46" s="15" t="str">
        <f t="shared" ref="D46:L46" si="15">IF(D$22&lt;&gt;"",D26+D38-D33+D40+D42+D23-D35/2,"")</f>
        <v/>
      </c>
      <c r="E46" s="15" t="str">
        <f t="shared" si="15"/>
        <v/>
      </c>
      <c r="F46" s="15" t="str">
        <f t="shared" si="15"/>
        <v/>
      </c>
      <c r="G46" s="15" t="str">
        <f t="shared" si="15"/>
        <v/>
      </c>
      <c r="H46" s="15" t="e">
        <f t="shared" si="15"/>
        <v>#VALUE!</v>
      </c>
      <c r="I46" s="15" t="e">
        <f t="shared" si="15"/>
        <v>#VALUE!</v>
      </c>
      <c r="J46" s="15" t="e">
        <f t="shared" si="15"/>
        <v>#VALUE!</v>
      </c>
      <c r="K46" s="15" t="e">
        <f t="shared" si="15"/>
        <v>#VALUE!</v>
      </c>
      <c r="L46" s="15" t="e">
        <f t="shared" si="15"/>
        <v>#VALUE!</v>
      </c>
    </row>
    <row r="47" spans="1:13" x14ac:dyDescent="0.35">
      <c r="A47" t="s">
        <v>4</v>
      </c>
      <c r="C47" s="15" t="str">
        <f>IF(C$22&lt;&gt;"",C27+C35-C34-C42,"")</f>
        <v/>
      </c>
      <c r="D47" s="15" t="str">
        <f t="shared" ref="D47:L47" si="16">IF(D$22&lt;&gt;"",D27+D35-D34-D42,"")</f>
        <v/>
      </c>
      <c r="E47" s="15" t="str">
        <f t="shared" si="16"/>
        <v/>
      </c>
      <c r="F47" s="15" t="str">
        <f t="shared" si="16"/>
        <v/>
      </c>
      <c r="G47" s="15" t="str">
        <f t="shared" si="16"/>
        <v/>
      </c>
      <c r="H47" s="15" t="e">
        <f t="shared" si="16"/>
        <v>#VALUE!</v>
      </c>
      <c r="I47" s="15" t="e">
        <f t="shared" si="16"/>
        <v>#VALUE!</v>
      </c>
      <c r="J47" s="15" t="e">
        <f t="shared" si="16"/>
        <v>#VALUE!</v>
      </c>
      <c r="K47" s="15" t="e">
        <f t="shared" si="16"/>
        <v>#VALUE!</v>
      </c>
      <c r="L47" s="15" t="e">
        <f t="shared" si="16"/>
        <v>#VALUE!</v>
      </c>
    </row>
    <row r="48" spans="1:13" x14ac:dyDescent="0.35">
      <c r="A48" s="1" t="s">
        <v>140</v>
      </c>
      <c r="B48" s="1"/>
      <c r="C48" s="30"/>
      <c r="D48" s="2"/>
      <c r="E48" s="2"/>
      <c r="F48" s="2"/>
      <c r="G48" s="2"/>
      <c r="H48" s="2"/>
      <c r="I48" s="2"/>
      <c r="J48" s="2"/>
      <c r="K48" s="2"/>
      <c r="L48" s="2"/>
    </row>
    <row r="49" spans="1:18" x14ac:dyDescent="0.35">
      <c r="A49" t="s">
        <v>141</v>
      </c>
      <c r="C49" s="45"/>
      <c r="D49" s="45"/>
      <c r="E49" s="45"/>
      <c r="F49" s="45"/>
      <c r="G49" s="45"/>
      <c r="H49" s="26">
        <v>2</v>
      </c>
      <c r="I49" s="26">
        <v>2</v>
      </c>
      <c r="J49" s="26">
        <v>2</v>
      </c>
      <c r="K49" s="26">
        <v>2</v>
      </c>
      <c r="L49" s="26">
        <v>2</v>
      </c>
      <c r="N49" s="1" t="s">
        <v>133</v>
      </c>
    </row>
    <row r="50" spans="1:18" x14ac:dyDescent="0.35">
      <c r="A50" t="s">
        <v>142</v>
      </c>
      <c r="C50" s="45"/>
      <c r="D50" s="45"/>
      <c r="E50" s="45"/>
      <c r="F50" s="45"/>
      <c r="G50" s="45"/>
      <c r="H50" s="45">
        <f t="shared" ref="H50:L50" si="17">G50</f>
        <v>0</v>
      </c>
      <c r="I50" s="45">
        <f t="shared" si="17"/>
        <v>0</v>
      </c>
      <c r="J50" s="45">
        <f t="shared" si="17"/>
        <v>0</v>
      </c>
      <c r="K50" s="45">
        <f t="shared" si="17"/>
        <v>0</v>
      </c>
      <c r="L50" s="45">
        <f t="shared" si="17"/>
        <v>0</v>
      </c>
      <c r="N50" s="39" t="s">
        <v>134</v>
      </c>
      <c r="O50" s="39" t="s">
        <v>135</v>
      </c>
      <c r="P50" s="40" t="s">
        <v>136</v>
      </c>
      <c r="Q50" s="40" t="s">
        <v>137</v>
      </c>
      <c r="R50" s="39" t="s">
        <v>138</v>
      </c>
    </row>
    <row r="51" spans="1:18" x14ac:dyDescent="0.35">
      <c r="A51" t="s">
        <v>143</v>
      </c>
      <c r="C51" s="12"/>
      <c r="D51" s="12"/>
      <c r="E51" s="12"/>
      <c r="F51" s="12"/>
      <c r="G51" s="12"/>
      <c r="H51" s="12">
        <f t="shared" ref="H51:L51" si="18">IF(H$22&lt;&gt;"",0.6,"")</f>
        <v>0.6</v>
      </c>
      <c r="I51" s="12">
        <f t="shared" si="18"/>
        <v>0.6</v>
      </c>
      <c r="J51" s="12">
        <f t="shared" si="18"/>
        <v>0.6</v>
      </c>
      <c r="K51" s="12">
        <f t="shared" si="18"/>
        <v>0.6</v>
      </c>
      <c r="L51" s="12">
        <f t="shared" si="18"/>
        <v>0.6</v>
      </c>
      <c r="N51" s="41">
        <v>1025</v>
      </c>
      <c r="O51" s="42">
        <v>5.981122</v>
      </c>
      <c r="P51" s="43">
        <f t="shared" ref="P51:P58" si="19">R51-Q51</f>
        <v>1.2</v>
      </c>
      <c r="Q51" s="44">
        <v>0.125</v>
      </c>
      <c r="R51" s="43">
        <v>1.325</v>
      </c>
    </row>
    <row r="52" spans="1:18" x14ac:dyDescent="0.35">
      <c r="A52" t="s">
        <v>144</v>
      </c>
      <c r="C52" s="45"/>
      <c r="D52" s="45"/>
      <c r="E52" s="45"/>
      <c r="F52" s="45"/>
      <c r="G52" s="45"/>
      <c r="H52" s="26">
        <v>1.5</v>
      </c>
      <c r="I52" s="26">
        <v>1.5</v>
      </c>
      <c r="J52" s="26">
        <v>1.5</v>
      </c>
      <c r="K52" s="26">
        <v>1.5</v>
      </c>
      <c r="L52" s="26">
        <v>1.5</v>
      </c>
      <c r="N52" s="41">
        <v>1030</v>
      </c>
      <c r="O52" s="42">
        <v>6.305377</v>
      </c>
      <c r="P52" s="43">
        <f t="shared" si="19"/>
        <v>1.117</v>
      </c>
      <c r="Q52" s="44">
        <v>7.0000000000000007E-2</v>
      </c>
      <c r="R52" s="43">
        <v>1.1870000000000001</v>
      </c>
    </row>
    <row r="53" spans="1:18" x14ac:dyDescent="0.35">
      <c r="A53" s="1" t="s">
        <v>145</v>
      </c>
      <c r="B53" s="1"/>
      <c r="D53" s="2"/>
      <c r="E53" s="2"/>
      <c r="F53" s="2"/>
      <c r="G53" s="2"/>
      <c r="H53" s="2"/>
      <c r="I53" s="2"/>
      <c r="J53" s="2"/>
      <c r="K53" s="2"/>
      <c r="L53" s="2"/>
      <c r="N53" s="41">
        <v>1035</v>
      </c>
      <c r="O53" s="42">
        <v>6.6375080000000004</v>
      </c>
      <c r="P53" s="43">
        <f t="shared" si="19"/>
        <v>1.0669999999999999</v>
      </c>
      <c r="Q53" s="44">
        <v>7.0000000000000007E-2</v>
      </c>
      <c r="R53" s="43">
        <v>1.137</v>
      </c>
    </row>
    <row r="54" spans="1:18" x14ac:dyDescent="0.35">
      <c r="A54" t="s">
        <v>2</v>
      </c>
      <c r="C54" s="15" t="str">
        <f>IF(C$22&lt;&gt;"",C45-C49,"")</f>
        <v/>
      </c>
      <c r="D54" s="15" t="str">
        <f t="shared" ref="D54:L54" si="20">IF(D$22&lt;&gt;"",D45-D49,"")</f>
        <v/>
      </c>
      <c r="E54" s="15" t="str">
        <f t="shared" si="20"/>
        <v/>
      </c>
      <c r="F54" s="15" t="str">
        <f t="shared" si="20"/>
        <v/>
      </c>
      <c r="G54" s="15" t="str">
        <f t="shared" si="20"/>
        <v/>
      </c>
      <c r="H54" s="15" t="e">
        <f t="shared" si="20"/>
        <v>#VALUE!</v>
      </c>
      <c r="I54" s="15" t="e">
        <f t="shared" si="20"/>
        <v>#VALUE!</v>
      </c>
      <c r="J54" s="15" t="e">
        <f t="shared" si="20"/>
        <v>#VALUE!</v>
      </c>
      <c r="K54" s="15" t="e">
        <f t="shared" si="20"/>
        <v>#VALUE!</v>
      </c>
      <c r="L54" s="15" t="e">
        <f t="shared" si="20"/>
        <v>#VALUE!</v>
      </c>
      <c r="N54" s="41">
        <v>1040</v>
      </c>
      <c r="O54" s="42">
        <v>6.977665</v>
      </c>
      <c r="P54" s="43">
        <f t="shared" si="19"/>
        <v>1.0169999999999999</v>
      </c>
      <c r="Q54" s="44">
        <v>7.0000000000000007E-2</v>
      </c>
      <c r="R54" s="43">
        <v>1.087</v>
      </c>
    </row>
    <row r="55" spans="1:18" x14ac:dyDescent="0.35">
      <c r="A55" t="s">
        <v>3</v>
      </c>
      <c r="C55" s="15" t="str">
        <f>IF(C$22&lt;&gt;"",C46-C50-C51,"")</f>
        <v/>
      </c>
      <c r="D55" s="15" t="str">
        <f t="shared" ref="D55:L55" si="21">IF(D$22&lt;&gt;"",D46-D50-D51,"")</f>
        <v/>
      </c>
      <c r="E55" s="15" t="str">
        <f t="shared" si="21"/>
        <v/>
      </c>
      <c r="F55" s="15" t="str">
        <f t="shared" si="21"/>
        <v/>
      </c>
      <c r="G55" s="15" t="str">
        <f t="shared" si="21"/>
        <v/>
      </c>
      <c r="H55" s="15" t="e">
        <f t="shared" si="21"/>
        <v>#VALUE!</v>
      </c>
      <c r="I55" s="15" t="e">
        <f t="shared" si="21"/>
        <v>#VALUE!</v>
      </c>
      <c r="J55" s="15" t="e">
        <f t="shared" si="21"/>
        <v>#VALUE!</v>
      </c>
      <c r="K55" s="15" t="e">
        <f t="shared" si="21"/>
        <v>#VALUE!</v>
      </c>
      <c r="L55" s="15" t="e">
        <f t="shared" si="21"/>
        <v>#VALUE!</v>
      </c>
      <c r="N55" s="41">
        <v>1045</v>
      </c>
      <c r="O55" s="42">
        <v>7.3260519999999998</v>
      </c>
      <c r="P55" s="43">
        <f t="shared" si="19"/>
        <v>0.96699999999999986</v>
      </c>
      <c r="Q55" s="44">
        <v>7.0000000000000007E-2</v>
      </c>
      <c r="R55" s="43">
        <v>1.0369999999999999</v>
      </c>
    </row>
    <row r="56" spans="1:18" x14ac:dyDescent="0.35">
      <c r="A56" t="s">
        <v>4</v>
      </c>
      <c r="C56" s="15" t="str">
        <f>IF(C$22&lt;&gt;"",C47-C52,"")</f>
        <v/>
      </c>
      <c r="D56" s="15" t="str">
        <f t="shared" ref="D56:L56" si="22">IF(D$22&lt;&gt;"",D47-D52,"")</f>
        <v/>
      </c>
      <c r="E56" s="15" t="str">
        <f t="shared" si="22"/>
        <v/>
      </c>
      <c r="F56" s="15" t="str">
        <f t="shared" si="22"/>
        <v/>
      </c>
      <c r="G56" s="15" t="str">
        <f t="shared" si="22"/>
        <v/>
      </c>
      <c r="H56" s="15" t="e">
        <f t="shared" si="22"/>
        <v>#VALUE!</v>
      </c>
      <c r="I56" s="15" t="e">
        <f t="shared" si="22"/>
        <v>#VALUE!</v>
      </c>
      <c r="J56" s="15" t="e">
        <f t="shared" si="22"/>
        <v>#VALUE!</v>
      </c>
      <c r="K56" s="15" t="e">
        <f t="shared" si="22"/>
        <v>#VALUE!</v>
      </c>
      <c r="L56" s="15" t="e">
        <f t="shared" si="22"/>
        <v>#VALUE!</v>
      </c>
      <c r="N56" s="41">
        <v>1050</v>
      </c>
      <c r="O56" s="42">
        <v>7.6828779999999997</v>
      </c>
      <c r="P56" s="43">
        <f t="shared" si="19"/>
        <v>0.71700000000000008</v>
      </c>
      <c r="Q56" s="44">
        <v>7.0000000000000007E-2</v>
      </c>
      <c r="R56" s="43">
        <v>0.78700000000000003</v>
      </c>
    </row>
    <row r="57" spans="1:18" x14ac:dyDescent="0.35">
      <c r="A57" s="1" t="s">
        <v>129</v>
      </c>
      <c r="B57" s="1"/>
      <c r="C57" s="15" t="str">
        <f>IF(C$22&lt;&gt;"",SUM(C54:C56),"")</f>
        <v/>
      </c>
      <c r="D57" s="15" t="str">
        <f t="shared" ref="D57:L57" si="23">IF(D$22&lt;&gt;"",SUM(D54:D56),"")</f>
        <v/>
      </c>
      <c r="E57" s="15" t="str">
        <f t="shared" si="23"/>
        <v/>
      </c>
      <c r="F57" s="15" t="str">
        <f t="shared" si="23"/>
        <v/>
      </c>
      <c r="G57" s="15" t="str">
        <f t="shared" si="23"/>
        <v/>
      </c>
      <c r="H57" s="15" t="e">
        <f t="shared" si="23"/>
        <v>#VALUE!</v>
      </c>
      <c r="I57" s="15" t="e">
        <f t="shared" si="23"/>
        <v>#VALUE!</v>
      </c>
      <c r="J57" s="15" t="e">
        <f t="shared" si="23"/>
        <v>#VALUE!</v>
      </c>
      <c r="K57" s="15" t="e">
        <f t="shared" si="23"/>
        <v>#VALUE!</v>
      </c>
      <c r="L57" s="15" t="e">
        <f t="shared" si="23"/>
        <v>#VALUE!</v>
      </c>
      <c r="N57" s="41">
        <v>1075</v>
      </c>
      <c r="O57" s="42">
        <v>9.6009879999900001</v>
      </c>
      <c r="P57" s="43">
        <f t="shared" si="19"/>
        <v>0.63300000000000001</v>
      </c>
      <c r="Q57" s="44">
        <v>0.05</v>
      </c>
      <c r="R57" s="43">
        <v>0.68300000000000005</v>
      </c>
    </row>
    <row r="58" spans="1:18" x14ac:dyDescent="0.35">
      <c r="A58" s="1" t="s">
        <v>156</v>
      </c>
      <c r="B58" s="1"/>
      <c r="C58" s="15" t="str">
        <f>IF(C22&lt;&gt;"",C29+C22-C32-C49-C57*$B$29,"")</f>
        <v/>
      </c>
      <c r="D58" s="15" t="str">
        <f t="shared" ref="D58:M58" si="24">IF(D22&lt;&gt;"",D29+D22-D32-D49-D57*$B$29,"")</f>
        <v/>
      </c>
      <c r="E58" s="15" t="str">
        <f t="shared" si="24"/>
        <v/>
      </c>
      <c r="F58" s="15" t="str">
        <f t="shared" si="24"/>
        <v/>
      </c>
      <c r="G58" s="15" t="str">
        <f t="shared" si="24"/>
        <v/>
      </c>
      <c r="H58" s="15" t="e">
        <f t="shared" si="24"/>
        <v>#VALUE!</v>
      </c>
      <c r="I58" s="15" t="e">
        <f t="shared" si="24"/>
        <v>#VALUE!</v>
      </c>
      <c r="J58" s="15" t="e">
        <f t="shared" si="24"/>
        <v>#VALUE!</v>
      </c>
      <c r="K58" s="15" t="e">
        <f t="shared" si="24"/>
        <v>#VALUE!</v>
      </c>
      <c r="L58" s="15" t="e">
        <f t="shared" si="24"/>
        <v>#VALUE!</v>
      </c>
      <c r="N58" s="41">
        <v>1090</v>
      </c>
      <c r="O58" s="42">
        <v>10.857008</v>
      </c>
      <c r="P58" s="43">
        <f t="shared" si="19"/>
        <v>0.3</v>
      </c>
      <c r="Q58" s="40"/>
      <c r="R58" s="43">
        <v>0.3</v>
      </c>
    </row>
    <row r="60" spans="1:18" x14ac:dyDescent="0.35">
      <c r="A60" s="1" t="s">
        <v>131</v>
      </c>
      <c r="C60" s="12" t="str">
        <f>IF(C$22&lt;&gt;"",0.2,"")</f>
        <v/>
      </c>
      <c r="D60" s="12" t="str">
        <f t="shared" ref="D60:L60" si="25">IF(D$22&lt;&gt;"",0.2,"")</f>
        <v/>
      </c>
      <c r="E60" s="12" t="str">
        <f t="shared" si="25"/>
        <v/>
      </c>
      <c r="F60" s="12" t="str">
        <f t="shared" si="25"/>
        <v/>
      </c>
      <c r="G60" s="12" t="str">
        <f t="shared" si="25"/>
        <v/>
      </c>
      <c r="H60" s="12">
        <f t="shared" si="25"/>
        <v>0.2</v>
      </c>
      <c r="I60" s="12">
        <f t="shared" si="25"/>
        <v>0.2</v>
      </c>
      <c r="J60" s="12">
        <f t="shared" si="25"/>
        <v>0.2</v>
      </c>
      <c r="K60" s="12">
        <f t="shared" si="25"/>
        <v>0.2</v>
      </c>
      <c r="L60" s="12">
        <f t="shared" si="25"/>
        <v>0.2</v>
      </c>
    </row>
    <row r="61" spans="1:18" x14ac:dyDescent="0.35">
      <c r="A61" t="s">
        <v>132</v>
      </c>
      <c r="C61" s="15" t="str">
        <f>IF(C$22&lt;&gt;"",C50+C60,"")</f>
        <v/>
      </c>
      <c r="D61" s="15" t="str">
        <f>IF(D$22&lt;&gt;"",D50+D60,"")</f>
        <v/>
      </c>
      <c r="E61" s="15" t="str">
        <f>IF(E$22&lt;&gt;"",E50+E60,"")</f>
        <v/>
      </c>
      <c r="F61" s="15" t="str">
        <f>IF(F$22&lt;&gt;"",F50+F60,"")</f>
        <v/>
      </c>
      <c r="G61" s="15" t="str">
        <f>IF(G$22&lt;&gt;"",G50+G60,"")</f>
        <v/>
      </c>
      <c r="H61" s="15">
        <f>IF(H$22&lt;&gt;"",H50+H60,"")</f>
        <v>0.2</v>
      </c>
      <c r="I61" s="15">
        <f>IF(I$22&lt;&gt;"",I50+I60,"")</f>
        <v>0.2</v>
      </c>
      <c r="J61" s="15">
        <f>IF(J$22&lt;&gt;"",J50+J60,"")</f>
        <v>0.2</v>
      </c>
      <c r="K61" s="15">
        <f>IF(K$22&lt;&gt;"",K50+K60,"")</f>
        <v>0.2</v>
      </c>
      <c r="L61" s="15">
        <f>IF(L$22&lt;&gt;"",L50+L60,"")</f>
        <v>0.2</v>
      </c>
    </row>
    <row r="63" spans="1:18" x14ac:dyDescent="0.35">
      <c r="D63" s="19"/>
    </row>
  </sheetData>
  <mergeCells count="4">
    <mergeCell ref="C5:H5"/>
    <mergeCell ref="C6:H6"/>
    <mergeCell ref="C7:H7"/>
    <mergeCell ref="C8:H8"/>
  </mergeCells>
  <conditionalFormatting sqref="C49:L49">
    <cfRule type="cellIs" dxfId="94" priority="44" operator="greaterThan">
      <formula>$C$45</formula>
    </cfRule>
  </conditionalFormatting>
  <conditionalFormatting sqref="C49:F49">
    <cfRule type="cellIs" dxfId="93" priority="43" operator="greaterThan">
      <formula>$C$45</formula>
    </cfRule>
  </conditionalFormatting>
  <conditionalFormatting sqref="E49:F49">
    <cfRule type="cellIs" dxfId="92" priority="42" operator="greaterThan">
      <formula>$E$45</formula>
    </cfRule>
  </conditionalFormatting>
  <conditionalFormatting sqref="D49:F49">
    <cfRule type="cellIs" dxfId="91" priority="41" operator="greaterThan">
      <formula>$D$45</formula>
    </cfRule>
  </conditionalFormatting>
  <conditionalFormatting sqref="F49">
    <cfRule type="cellIs" dxfId="90" priority="40" operator="greaterThan">
      <formula>$F$45</formula>
    </cfRule>
  </conditionalFormatting>
  <conditionalFormatting sqref="G49">
    <cfRule type="cellIs" dxfId="89" priority="39" operator="greaterThan">
      <formula>$G$45</formula>
    </cfRule>
  </conditionalFormatting>
  <conditionalFormatting sqref="H49">
    <cfRule type="cellIs" dxfId="88" priority="38" operator="greaterThan">
      <formula>$H$45</formula>
    </cfRule>
  </conditionalFormatting>
  <conditionalFormatting sqref="I49">
    <cfRule type="cellIs" dxfId="87" priority="37" operator="greaterThan">
      <formula>$I$45</formula>
    </cfRule>
  </conditionalFormatting>
  <conditionalFormatting sqref="J49">
    <cfRule type="cellIs" dxfId="86" priority="36" operator="greaterThan">
      <formula>$J$45</formula>
    </cfRule>
  </conditionalFormatting>
  <conditionalFormatting sqref="K49">
    <cfRule type="cellIs" dxfId="85" priority="35" operator="greaterThan">
      <formula>$K$45</formula>
    </cfRule>
  </conditionalFormatting>
  <conditionalFormatting sqref="L49">
    <cfRule type="cellIs" dxfId="84" priority="34" operator="greaterThan">
      <formula>$L$45</formula>
    </cfRule>
  </conditionalFormatting>
  <conditionalFormatting sqref="H50:L50">
    <cfRule type="cellIs" dxfId="83" priority="32" operator="greaterThan">
      <formula>$D$46</formula>
    </cfRule>
  </conditionalFormatting>
  <conditionalFormatting sqref="H50">
    <cfRule type="cellIs" dxfId="82" priority="27" operator="greaterThan">
      <formula>$H$46</formula>
    </cfRule>
  </conditionalFormatting>
  <conditionalFormatting sqref="I50">
    <cfRule type="cellIs" dxfId="81" priority="26" operator="greaterThan">
      <formula>$I$46</formula>
    </cfRule>
  </conditionalFormatting>
  <conditionalFormatting sqref="J50">
    <cfRule type="cellIs" dxfId="80" priority="25" operator="greaterThan">
      <formula>$J$46</formula>
    </cfRule>
  </conditionalFormatting>
  <conditionalFormatting sqref="K50">
    <cfRule type="cellIs" dxfId="79" priority="24" operator="greaterThan">
      <formula>$K$46</formula>
    </cfRule>
  </conditionalFormatting>
  <conditionalFormatting sqref="L50">
    <cfRule type="cellIs" dxfId="78" priority="23" operator="greaterThan">
      <formula>$L$46</formula>
    </cfRule>
  </conditionalFormatting>
  <conditionalFormatting sqref="H52">
    <cfRule type="cellIs" dxfId="77" priority="17" operator="greaterThan">
      <formula>$H$47</formula>
    </cfRule>
  </conditionalFormatting>
  <conditionalFormatting sqref="I52">
    <cfRule type="cellIs" dxfId="76" priority="16" operator="greaterThan">
      <formula>$I$47</formula>
    </cfRule>
  </conditionalFormatting>
  <conditionalFormatting sqref="J52">
    <cfRule type="cellIs" dxfId="75" priority="15" operator="greaterThan">
      <formula>$J$47</formula>
    </cfRule>
  </conditionalFormatting>
  <conditionalFormatting sqref="K52">
    <cfRule type="cellIs" dxfId="74" priority="14" operator="greaterThan">
      <formula>$K$47</formula>
    </cfRule>
  </conditionalFormatting>
  <conditionalFormatting sqref="L52">
    <cfRule type="cellIs" dxfId="73" priority="13" operator="greaterThan">
      <formula>$L$47</formula>
    </cfRule>
  </conditionalFormatting>
  <conditionalFormatting sqref="C50:G50">
    <cfRule type="cellIs" dxfId="72" priority="12" operator="greaterThan">
      <formula>$C$45</formula>
    </cfRule>
  </conditionalFormatting>
  <conditionalFormatting sqref="C50:F50">
    <cfRule type="cellIs" dxfId="71" priority="11" operator="greaterThan">
      <formula>$C$45</formula>
    </cfRule>
  </conditionalFormatting>
  <conditionalFormatting sqref="E50:F50">
    <cfRule type="cellIs" dxfId="70" priority="10" operator="greaterThan">
      <formula>$E$45</formula>
    </cfRule>
  </conditionalFormatting>
  <conditionalFormatting sqref="D50:F50">
    <cfRule type="cellIs" dxfId="69" priority="9" operator="greaterThan">
      <formula>$D$45</formula>
    </cfRule>
  </conditionalFormatting>
  <conditionalFormatting sqref="F50">
    <cfRule type="cellIs" dxfId="68" priority="8" operator="greaterThan">
      <formula>$F$45</formula>
    </cfRule>
  </conditionalFormatting>
  <conditionalFormatting sqref="G50">
    <cfRule type="cellIs" dxfId="67" priority="7" operator="greaterThan">
      <formula>$G$45</formula>
    </cfRule>
  </conditionalFormatting>
  <conditionalFormatting sqref="C52:G52">
    <cfRule type="cellIs" dxfId="66" priority="6" operator="greaterThan">
      <formula>$C$45</formula>
    </cfRule>
  </conditionalFormatting>
  <conditionalFormatting sqref="C52:F52">
    <cfRule type="cellIs" dxfId="65" priority="5" operator="greaterThan">
      <formula>$C$45</formula>
    </cfRule>
  </conditionalFormatting>
  <conditionalFormatting sqref="E52:F52">
    <cfRule type="cellIs" dxfId="64" priority="4" operator="greaterThan">
      <formula>$E$45</formula>
    </cfRule>
  </conditionalFormatting>
  <conditionalFormatting sqref="D52:F52">
    <cfRule type="cellIs" dxfId="63" priority="3" operator="greaterThan">
      <formula>$D$45</formula>
    </cfRule>
  </conditionalFormatting>
  <conditionalFormatting sqref="F52">
    <cfRule type="cellIs" dxfId="62" priority="2" operator="greaterThan">
      <formula>$F$45</formula>
    </cfRule>
  </conditionalFormatting>
  <conditionalFormatting sqref="G52">
    <cfRule type="cellIs" dxfId="61" priority="1" operator="greaterThan">
      <formula>$G$45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BD1F0-C024-4B0C-A52B-7568661161E6}">
  <dimension ref="A1:R63"/>
  <sheetViews>
    <sheetView topLeftCell="A25" zoomScale="150" zoomScaleNormal="150" workbookViewId="0">
      <selection activeCell="C59" sqref="C59:G5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4"/>
      <c r="D5" s="64"/>
      <c r="E5" s="64"/>
      <c r="F5" s="64"/>
      <c r="G5" s="64"/>
      <c r="H5" s="64"/>
    </row>
    <row r="6" spans="1:11" x14ac:dyDescent="0.35">
      <c r="A6" s="17" t="s">
        <v>41</v>
      </c>
      <c r="B6" s="50"/>
      <c r="C6" s="64"/>
      <c r="D6" s="64"/>
      <c r="E6" s="64"/>
      <c r="F6" s="64"/>
      <c r="G6" s="64"/>
      <c r="H6" s="64"/>
    </row>
    <row r="7" spans="1:11" x14ac:dyDescent="0.35">
      <c r="A7" s="17" t="s">
        <v>42</v>
      </c>
      <c r="B7" s="50"/>
      <c r="C7" s="64"/>
      <c r="D7" s="64"/>
      <c r="E7" s="64"/>
      <c r="F7" s="64"/>
      <c r="G7" s="64"/>
      <c r="H7" s="64"/>
    </row>
    <row r="8" spans="1:11" x14ac:dyDescent="0.35">
      <c r="A8" s="17" t="s">
        <v>43</v>
      </c>
      <c r="B8" s="50"/>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118</v>
      </c>
    </row>
    <row r="19" spans="1:13" x14ac:dyDescent="0.35">
      <c r="A19" t="s">
        <v>151</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127</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130</v>
      </c>
      <c r="B24" s="1"/>
      <c r="C24" s="15">
        <f>IF(C$22&lt;&gt;"",SUM(C25:C27),"")</f>
        <v>21.1</v>
      </c>
      <c r="D24" s="15">
        <f>IF(D$22&lt;&gt;"",C57,"")</f>
        <v>19.261102320000028</v>
      </c>
      <c r="E24" s="15">
        <f t="shared" ref="E24:L24" si="3">IF(E$22&lt;&gt;"",D57,"")</f>
        <v>17.8774425660006</v>
      </c>
      <c r="F24" s="15">
        <f t="shared" si="3"/>
        <v>16.935148643500622</v>
      </c>
      <c r="G24" s="15">
        <f t="shared" si="3"/>
        <v>16.222536955001196</v>
      </c>
      <c r="H24" s="15">
        <f t="shared" si="3"/>
        <v>15.532489937502369</v>
      </c>
      <c r="I24" s="15">
        <f t="shared" si="3"/>
        <v>15.583530117402967</v>
      </c>
      <c r="J24" s="15">
        <f t="shared" si="3"/>
        <v>15.633484297302365</v>
      </c>
      <c r="K24" s="15">
        <f t="shared" si="3"/>
        <v>15.682181429801767</v>
      </c>
      <c r="L24" s="15">
        <f t="shared" si="3"/>
        <v>15.728535572202338</v>
      </c>
    </row>
    <row r="25" spans="1:13" x14ac:dyDescent="0.35">
      <c r="A25" t="s">
        <v>122</v>
      </c>
      <c r="C25" s="15">
        <f>IF(C$22&lt;&gt;"",$B$19,"")</f>
        <v>11</v>
      </c>
      <c r="D25" s="15">
        <f>IF(D22&lt;&gt;"",C54,"")</f>
        <v>9.0422571336493043</v>
      </c>
      <c r="E25" s="15">
        <f t="shared" ref="E25:L27" si="4">IF(E22&lt;&gt;"",D54,"")</f>
        <v>7.6634520548331819</v>
      </c>
      <c r="F25" s="15">
        <f t="shared" si="4"/>
        <v>6.7418099968023153</v>
      </c>
      <c r="G25" s="15">
        <f t="shared" si="4"/>
        <v>6.4602708271803406</v>
      </c>
      <c r="H25" s="15">
        <f t="shared" si="4"/>
        <v>6.1875989313758</v>
      </c>
      <c r="I25" s="15">
        <f t="shared" si="4"/>
        <v>6.6332080356705205</v>
      </c>
      <c r="J25" s="15">
        <f t="shared" si="4"/>
        <v>7.0551047884565037</v>
      </c>
      <c r="K25" s="15">
        <f t="shared" si="4"/>
        <v>7.4545735699081455</v>
      </c>
      <c r="L25" s="15">
        <f t="shared" si="4"/>
        <v>7.8323643052138578</v>
      </c>
    </row>
    <row r="26" spans="1:13" x14ac:dyDescent="0.35">
      <c r="A26" t="s">
        <v>123</v>
      </c>
      <c r="C26" s="15">
        <f>IF(C$22&lt;&gt;"",$C$19,"")</f>
        <v>10.1</v>
      </c>
      <c r="D26" s="15">
        <f>IF(D23&lt;&gt;"",C55,"")</f>
        <v>10.218845186350725</v>
      </c>
      <c r="E26" s="15">
        <f t="shared" si="4"/>
        <v>10.213990511167419</v>
      </c>
      <c r="F26" s="15">
        <f t="shared" si="4"/>
        <v>10.193338646698306</v>
      </c>
      <c r="G26" s="15">
        <f t="shared" si="4"/>
        <v>9.7622661278208565</v>
      </c>
      <c r="H26" s="15">
        <f t="shared" si="4"/>
        <v>9.3448910061265682</v>
      </c>
      <c r="I26" s="15">
        <f t="shared" si="4"/>
        <v>8.9503220817324465</v>
      </c>
      <c r="J26" s="15">
        <f t="shared" si="4"/>
        <v>8.5783795088458614</v>
      </c>
      <c r="K26" s="15">
        <f t="shared" si="4"/>
        <v>8.227607859893622</v>
      </c>
      <c r="L26" s="15">
        <f t="shared" si="4"/>
        <v>7.89617126698848</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121</v>
      </c>
      <c r="C28"/>
    </row>
    <row r="29" spans="1:13" x14ac:dyDescent="0.35">
      <c r="A29" t="s">
        <v>119</v>
      </c>
      <c r="B29" s="37">
        <v>0.5</v>
      </c>
      <c r="C29" s="15">
        <f>C25</f>
        <v>11</v>
      </c>
      <c r="D29" s="15">
        <f t="shared" ref="D29:L30" si="5">IF(D22&lt;&gt;"",$B29*D$24,"")</f>
        <v>9.6305511600000138</v>
      </c>
      <c r="E29" s="15">
        <f t="shared" si="5"/>
        <v>8.9387212830002998</v>
      </c>
      <c r="F29" s="15">
        <f t="shared" si="5"/>
        <v>8.4675743217503108</v>
      </c>
      <c r="G29" s="15">
        <f t="shared" si="5"/>
        <v>8.1112684775005981</v>
      </c>
      <c r="H29" s="15">
        <f t="shared" si="5"/>
        <v>7.7662449687511845</v>
      </c>
      <c r="I29" s="15">
        <f t="shared" si="5"/>
        <v>7.7917650587014835</v>
      </c>
      <c r="J29" s="15">
        <f t="shared" si="5"/>
        <v>7.8167421486511826</v>
      </c>
      <c r="K29" s="15">
        <f t="shared" si="5"/>
        <v>7.8410907149008837</v>
      </c>
      <c r="L29" s="15">
        <f t="shared" si="5"/>
        <v>7.8642677861011689</v>
      </c>
    </row>
    <row r="30" spans="1:13" x14ac:dyDescent="0.35">
      <c r="A30" t="s">
        <v>120</v>
      </c>
      <c r="B30" s="37">
        <f>1-B29</f>
        <v>0.5</v>
      </c>
      <c r="C30" s="15">
        <f>C26</f>
        <v>10.1</v>
      </c>
      <c r="D30" s="15">
        <f t="shared" si="5"/>
        <v>9.6305511600000138</v>
      </c>
      <c r="E30" s="15">
        <f t="shared" si="5"/>
        <v>8.9387212830002998</v>
      </c>
      <c r="F30" s="15">
        <f t="shared" si="5"/>
        <v>8.4675743217503108</v>
      </c>
      <c r="G30" s="15">
        <f t="shared" si="5"/>
        <v>8.1112684775005981</v>
      </c>
      <c r="H30" s="15">
        <f t="shared" si="5"/>
        <v>7.7662449687511845</v>
      </c>
      <c r="I30" s="15">
        <f t="shared" si="5"/>
        <v>7.7917650587014835</v>
      </c>
      <c r="J30" s="15">
        <f t="shared" si="5"/>
        <v>7.8167421486511826</v>
      </c>
      <c r="K30" s="15">
        <f t="shared" si="5"/>
        <v>7.8410907149008837</v>
      </c>
      <c r="L30" s="15">
        <f t="shared" si="5"/>
        <v>7.8642677861011689</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0.96665975399942705</v>
      </c>
      <c r="E31" s="15">
        <f>IF(E$22&lt;&gt;"",VLOOKUP(E29*1000000,'Powell-Elevation-Area'!$B$5:$D$689,3)*$B$18/1000000 + VLOOKUP(E30*1000000,'Mead-Elevation-Area'!$B$5:$D$676,3)*$C$18/1000000,"")</f>
        <v>0.925293922499973</v>
      </c>
      <c r="F31" s="15">
        <f>IF(F$22&lt;&gt;"",VLOOKUP(F29*1000000,'Powell-Elevation-Area'!$B$5:$D$689,3)*$B$18/1000000 + VLOOKUP(F30*1000000,'Mead-Elevation-Area'!$B$5:$D$676,3)*$C$18/1000000,"")</f>
        <v>0.89561168849942696</v>
      </c>
      <c r="G31" s="15">
        <f>IF(G$22&lt;&gt;"",VLOOKUP(G29*1000000,'Powell-Elevation-Area'!$B$5:$D$689,3)*$B$18/1000000 + VLOOKUP(G30*1000000,'Mead-Elevation-Area'!$B$5:$D$676,3)*$C$18/1000000,"")</f>
        <v>0.87304701749882696</v>
      </c>
      <c r="H31" s="15">
        <f>IF(H$22&lt;&gt;"",VLOOKUP(H29*1000000,'Powell-Elevation-Area'!$B$5:$D$689,3)*$B$18/1000000 + VLOOKUP(H30*1000000,'Mead-Elevation-Area'!$B$5:$D$676,3)*$C$18/1000000,"")</f>
        <v>0.85195982009939997</v>
      </c>
      <c r="I31" s="15">
        <f>IF(I$22&lt;&gt;"",VLOOKUP(I29*1000000,'Powell-Elevation-Area'!$B$5:$D$689,3)*$B$18/1000000 + VLOOKUP(I30*1000000,'Mead-Elevation-Area'!$B$5:$D$676,3)*$C$18/1000000,"")</f>
        <v>0.85304582010059993</v>
      </c>
      <c r="J31" s="15">
        <f>IF(J$22&lt;&gt;"",VLOOKUP(J29*1000000,'Powell-Elevation-Area'!$B$5:$D$689,3)*$B$18/1000000 + VLOOKUP(J30*1000000,'Mead-Elevation-Area'!$B$5:$D$676,3)*$C$18/1000000,"")</f>
        <v>0.85430286750060003</v>
      </c>
      <c r="K31" s="15">
        <f>IF(K$22&lt;&gt;"",VLOOKUP(K29*1000000,'Powell-Elevation-Area'!$B$5:$D$689,3)*$B$18/1000000 + VLOOKUP(K30*1000000,'Mead-Elevation-Area'!$B$5:$D$676,3)*$C$18/1000000,"")</f>
        <v>0.85664585759942702</v>
      </c>
      <c r="L31" s="15">
        <f>IF(L$22&lt;&gt;"",VLOOKUP(L29*1000000,'Powell-Elevation-Area'!$B$5:$D$689,3)*$B$18/1000000 + VLOOKUP(L30*1000000,'Mead-Elevation-Area'!$B$5:$D$676,3)*$C$18/1000000,"")</f>
        <v>0.85664585759942702</v>
      </c>
    </row>
    <row r="32" spans="1:13" x14ac:dyDescent="0.35">
      <c r="A32" t="s">
        <v>104</v>
      </c>
      <c r="B32" s="1"/>
      <c r="C32" s="15">
        <f>IF(C$22&lt;&gt;"",C$31*C25/C$24,"")</f>
        <v>0.5327428663506969</v>
      </c>
      <c r="D32" s="15">
        <f t="shared" ref="D32:L34" si="6">IF(D$22&lt;&gt;"",D$31*D25/D$24,"")</f>
        <v>0.45380507881612187</v>
      </c>
      <c r="E32" s="15">
        <f t="shared" si="6"/>
        <v>0.39664205803086539</v>
      </c>
      <c r="F32" s="15">
        <f t="shared" si="6"/>
        <v>0.35653916962197557</v>
      </c>
      <c r="G32" s="15">
        <f t="shared" si="6"/>
        <v>0.34767189580454005</v>
      </c>
      <c r="H32" s="15">
        <f t="shared" si="6"/>
        <v>0.33939089570527925</v>
      </c>
      <c r="I32" s="15">
        <f t="shared" si="6"/>
        <v>0.36310324721401699</v>
      </c>
      <c r="J32" s="15">
        <f t="shared" si="6"/>
        <v>0.38553121854835831</v>
      </c>
      <c r="K32" s="15">
        <f t="shared" si="6"/>
        <v>0.40720926469428737</v>
      </c>
      <c r="L32" s="15">
        <f t="shared" si="6"/>
        <v>0.42658532362854812</v>
      </c>
    </row>
    <row r="33" spans="1:13" x14ac:dyDescent="0.35">
      <c r="A33" t="s">
        <v>105</v>
      </c>
      <c r="B33" s="1"/>
      <c r="C33" s="15">
        <f>IF(C$22&lt;&gt;"",C$31*C26/C$24,"")</f>
        <v>0.48915481364927621</v>
      </c>
      <c r="D33" s="15">
        <f t="shared" si="6"/>
        <v>0.51285467518330519</v>
      </c>
      <c r="E33" s="15">
        <f t="shared" si="6"/>
        <v>0.52865186446910761</v>
      </c>
      <c r="F33" s="15">
        <f t="shared" si="6"/>
        <v>0.53907251887745133</v>
      </c>
      <c r="G33" s="15">
        <f t="shared" si="6"/>
        <v>0.52537512169428702</v>
      </c>
      <c r="H33" s="15">
        <f t="shared" si="6"/>
        <v>0.51256892439412072</v>
      </c>
      <c r="I33" s="15">
        <f t="shared" si="6"/>
        <v>0.48994257288658294</v>
      </c>
      <c r="J33" s="15">
        <f t="shared" si="6"/>
        <v>0.46877164895224177</v>
      </c>
      <c r="K33" s="15">
        <f t="shared" si="6"/>
        <v>0.44943659290513965</v>
      </c>
      <c r="L33" s="15">
        <f t="shared" si="6"/>
        <v>0.4300605339708789</v>
      </c>
    </row>
    <row r="34" spans="1:13" x14ac:dyDescent="0.35">
      <c r="A34" t="s">
        <v>106</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124</v>
      </c>
      <c r="B35" s="1"/>
      <c r="C35" s="45">
        <f>IF(C22&lt;&gt;"",1.5-IF(C$26&lt;$O$51,$Q$51,IF(C$26&lt;=$O$58,VLOOKUP(C$26,$O$51:$Q$58,3),0)),"")</f>
        <v>1.45</v>
      </c>
      <c r="D35" s="45">
        <f t="shared" ref="D35:L35" si="7">IF(D22&lt;&gt;"",1.5-IF(D$26&lt;$O$51,$Q$51,IF(D$26&lt;=$O$58,VLOOKUP(D$26,$O$51:$Q$58,3),0)),"")</f>
        <v>1.45</v>
      </c>
      <c r="E35" s="45">
        <f t="shared" si="7"/>
        <v>1.45</v>
      </c>
      <c r="F35" s="45">
        <f t="shared" si="7"/>
        <v>1.45</v>
      </c>
      <c r="G35" s="45">
        <f t="shared" si="7"/>
        <v>1.45</v>
      </c>
      <c r="H35" s="45">
        <f t="shared" si="7"/>
        <v>1.43</v>
      </c>
      <c r="I35" s="45">
        <f t="shared" si="7"/>
        <v>1.43</v>
      </c>
      <c r="J35" s="45">
        <f t="shared" si="7"/>
        <v>1.43</v>
      </c>
      <c r="K35" s="45">
        <f t="shared" si="7"/>
        <v>1.43</v>
      </c>
      <c r="L35" s="45">
        <f t="shared" si="7"/>
        <v>1.43</v>
      </c>
    </row>
    <row r="36" spans="1:13" x14ac:dyDescent="0.35">
      <c r="A36" s="1" t="s">
        <v>139</v>
      </c>
      <c r="B36" s="1"/>
      <c r="C36" s="15">
        <f>IF(C$22&lt;&gt;"",C22-C35/2,"")</f>
        <v>10.275</v>
      </c>
      <c r="D36" s="15">
        <f t="shared" ref="D36:L36" si="8">IF(D$22&lt;&gt;"",D22-D35/2,"")</f>
        <v>10.275</v>
      </c>
      <c r="E36" s="15">
        <f t="shared" si="8"/>
        <v>10.275</v>
      </c>
      <c r="F36" s="15">
        <f t="shared" si="8"/>
        <v>10.275</v>
      </c>
      <c r="G36" s="15">
        <f t="shared" si="8"/>
        <v>10.275</v>
      </c>
      <c r="H36" s="15">
        <f t="shared" si="8"/>
        <v>10.285</v>
      </c>
      <c r="I36" s="15">
        <f t="shared" si="8"/>
        <v>10.285</v>
      </c>
      <c r="J36" s="15">
        <f t="shared" si="8"/>
        <v>10.285</v>
      </c>
      <c r="K36" s="15">
        <f t="shared" si="8"/>
        <v>10.285</v>
      </c>
      <c r="L36" s="15">
        <f t="shared" si="8"/>
        <v>10.285</v>
      </c>
    </row>
    <row r="37" spans="1:13" x14ac:dyDescent="0.35">
      <c r="A37" t="s">
        <v>0</v>
      </c>
      <c r="B37" s="25"/>
      <c r="C37" s="15">
        <f>IF(C22&lt;&gt;"",MAX(0,C36-C38),"")</f>
        <v>2.7750000000000004</v>
      </c>
      <c r="D37" s="15">
        <f t="shared" ref="D37:L37" si="9">IF(D22&lt;&gt;"",MAX(0,D36-D38),"")</f>
        <v>2.7750000000000004</v>
      </c>
      <c r="E37" s="15">
        <f t="shared" si="9"/>
        <v>2.7750000000000004</v>
      </c>
      <c r="F37" s="15">
        <f t="shared" si="9"/>
        <v>2.7750000000000004</v>
      </c>
      <c r="G37" s="15">
        <f t="shared" si="9"/>
        <v>2.7750000000000004</v>
      </c>
      <c r="H37" s="15">
        <f t="shared" si="9"/>
        <v>2.7850000000000001</v>
      </c>
      <c r="I37" s="15">
        <f t="shared" si="9"/>
        <v>2.7850000000000001</v>
      </c>
      <c r="J37" s="15">
        <f t="shared" si="9"/>
        <v>2.7850000000000001</v>
      </c>
      <c r="K37" s="15">
        <f t="shared" si="9"/>
        <v>2.7850000000000001</v>
      </c>
      <c r="L37" s="15">
        <f t="shared" si="9"/>
        <v>2.7850000000000001</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109</v>
      </c>
      <c r="C39"/>
    </row>
    <row r="40" spans="1:13" x14ac:dyDescent="0.35">
      <c r="A40" s="33" t="s">
        <v>107</v>
      </c>
      <c r="B40" s="1"/>
      <c r="C40" s="26">
        <v>0.5</v>
      </c>
      <c r="D40" s="26">
        <v>0.4</v>
      </c>
      <c r="E40" s="26">
        <v>0.4</v>
      </c>
      <c r="F40" s="26"/>
      <c r="G40" s="26"/>
      <c r="H40" s="26"/>
      <c r="I40" s="26"/>
      <c r="J40" s="26"/>
      <c r="K40" s="26"/>
      <c r="L40" s="26"/>
    </row>
    <row r="41" spans="1:13" x14ac:dyDescent="0.35">
      <c r="A41" s="33" t="s">
        <v>108</v>
      </c>
      <c r="B41" s="1"/>
      <c r="C41" s="32">
        <f>350*C40</f>
        <v>175</v>
      </c>
      <c r="D41" s="32">
        <f>350*D40</f>
        <v>140</v>
      </c>
      <c r="E41" s="32">
        <f t="shared" ref="E41:G41" si="11">350*E40</f>
        <v>140</v>
      </c>
      <c r="F41" s="32">
        <f t="shared" si="11"/>
        <v>0</v>
      </c>
      <c r="G41" s="32">
        <f t="shared" si="11"/>
        <v>0</v>
      </c>
      <c r="H41" s="32"/>
      <c r="I41" s="32"/>
      <c r="J41" s="32"/>
      <c r="K41" s="32"/>
      <c r="L41" s="32"/>
      <c r="M41" s="34">
        <f>SUM(C41:L41)</f>
        <v>455</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12.742257133649304</v>
      </c>
      <c r="D45" s="15">
        <f t="shared" ref="D45:L45" si="12">IF(D$22&lt;&gt;"",D25+D37-D32-D40,"")</f>
        <v>10.963452054833182</v>
      </c>
      <c r="E45" s="15">
        <f t="shared" si="12"/>
        <v>9.6418099968023157</v>
      </c>
      <c r="F45" s="15">
        <f>IF(F$22&lt;&gt;"",F25+F37-F32-F40,"")</f>
        <v>9.1602708271803408</v>
      </c>
      <c r="G45" s="15">
        <f t="shared" si="12"/>
        <v>8.8875989313758001</v>
      </c>
      <c r="H45" s="15">
        <f t="shared" si="12"/>
        <v>8.6332080356705205</v>
      </c>
      <c r="I45" s="15">
        <f t="shared" si="12"/>
        <v>9.0551047884565037</v>
      </c>
      <c r="J45" s="15">
        <f t="shared" si="12"/>
        <v>9.4545735699081455</v>
      </c>
      <c r="K45" s="15">
        <f t="shared" si="12"/>
        <v>9.8323643052138578</v>
      </c>
      <c r="L45" s="15">
        <f t="shared" si="12"/>
        <v>10.190778981585311</v>
      </c>
    </row>
    <row r="46" spans="1:13" x14ac:dyDescent="0.35">
      <c r="A46" t="s">
        <v>3</v>
      </c>
      <c r="C46" s="15">
        <f>IF(C$22&lt;&gt;"",C26+C38-C33+C40+C42+C23-C35/2,"")</f>
        <v>17.685845186350726</v>
      </c>
      <c r="D46" s="15">
        <f t="shared" ref="D46:L46" si="13">IF(D$22&lt;&gt;"",D26+D38-D33+D40+D42+D23-D35/2,"")</f>
        <v>17.680990511167419</v>
      </c>
      <c r="E46" s="15">
        <f t="shared" si="13"/>
        <v>17.660338646698307</v>
      </c>
      <c r="F46" s="15">
        <f t="shared" si="13"/>
        <v>17.229266127820857</v>
      </c>
      <c r="G46" s="15">
        <f t="shared" si="13"/>
        <v>16.811891006126569</v>
      </c>
      <c r="H46" s="15">
        <f t="shared" si="13"/>
        <v>16.417322081732447</v>
      </c>
      <c r="I46" s="15">
        <f t="shared" si="13"/>
        <v>16.045379508845862</v>
      </c>
      <c r="J46" s="15">
        <f t="shared" si="13"/>
        <v>15.694607859893623</v>
      </c>
      <c r="K46" s="15">
        <f t="shared" si="13"/>
        <v>15.363171266988481</v>
      </c>
      <c r="L46" s="15">
        <f t="shared" si="13"/>
        <v>15.051110733017602</v>
      </c>
    </row>
    <row r="47" spans="1:13" x14ac:dyDescent="0.35">
      <c r="A47" t="s">
        <v>4</v>
      </c>
      <c r="C47" s="15">
        <f>IF(C$22&lt;&gt;"",C27+C35-C34-C42,"")</f>
        <v>1.45</v>
      </c>
      <c r="D47" s="15">
        <f t="shared" ref="D47:L47" si="14">IF(D$22&lt;&gt;"",D27+D35-D34-D42,"")</f>
        <v>1.45</v>
      </c>
      <c r="E47" s="15">
        <f t="shared" si="14"/>
        <v>1.45</v>
      </c>
      <c r="F47" s="15">
        <f t="shared" si="14"/>
        <v>1.45</v>
      </c>
      <c r="G47" s="15">
        <f t="shared" si="14"/>
        <v>1.45</v>
      </c>
      <c r="H47" s="15">
        <f t="shared" si="14"/>
        <v>1.43</v>
      </c>
      <c r="I47" s="15">
        <f t="shared" si="14"/>
        <v>1.43</v>
      </c>
      <c r="J47" s="15">
        <f t="shared" si="14"/>
        <v>1.43</v>
      </c>
      <c r="K47" s="15">
        <f t="shared" si="14"/>
        <v>1.43</v>
      </c>
      <c r="L47" s="15">
        <f t="shared" si="14"/>
        <v>1.43</v>
      </c>
    </row>
    <row r="48" spans="1:13" x14ac:dyDescent="0.35">
      <c r="A48" s="1" t="s">
        <v>140</v>
      </c>
      <c r="B48" s="1"/>
      <c r="C48" s="30"/>
      <c r="D48" s="2"/>
      <c r="E48" s="2"/>
      <c r="F48" s="2"/>
      <c r="G48" s="2"/>
      <c r="H48" s="2"/>
      <c r="I48" s="2"/>
      <c r="J48" s="2"/>
      <c r="K48" s="2"/>
      <c r="L48" s="2"/>
    </row>
    <row r="49" spans="1:18" x14ac:dyDescent="0.35">
      <c r="A49" t="s">
        <v>141</v>
      </c>
      <c r="C49" s="45">
        <v>3.7</v>
      </c>
      <c r="D49" s="45">
        <v>3.3</v>
      </c>
      <c r="E49" s="45">
        <v>2.9</v>
      </c>
      <c r="F49" s="45">
        <v>2.7</v>
      </c>
      <c r="G49" s="45">
        <v>2.7</v>
      </c>
      <c r="H49" s="26">
        <v>2</v>
      </c>
      <c r="I49" s="26">
        <v>2</v>
      </c>
      <c r="J49" s="26">
        <v>2</v>
      </c>
      <c r="K49" s="26">
        <v>2</v>
      </c>
      <c r="L49" s="26">
        <v>2</v>
      </c>
      <c r="N49" s="1" t="s">
        <v>133</v>
      </c>
    </row>
    <row r="50" spans="1:18" x14ac:dyDescent="0.35">
      <c r="A50" t="s">
        <v>142</v>
      </c>
      <c r="C50" s="45">
        <f>7.5-IF(C26&lt;$O$51,$P$51,IF(C26&lt;=$O$58,VLOOKUP(C26,$O$51:$P$58,2),0))</f>
        <v>6.867</v>
      </c>
      <c r="D50" s="45">
        <f>C50</f>
        <v>6.867</v>
      </c>
      <c r="E50" s="45">
        <f t="shared" ref="E50:L50" si="15">D50</f>
        <v>6.867</v>
      </c>
      <c r="F50" s="45">
        <f t="shared" si="15"/>
        <v>6.867</v>
      </c>
      <c r="G50" s="45">
        <f t="shared" si="15"/>
        <v>6.867</v>
      </c>
      <c r="H50" s="45">
        <f t="shared" si="15"/>
        <v>6.867</v>
      </c>
      <c r="I50" s="45">
        <f t="shared" si="15"/>
        <v>6.867</v>
      </c>
      <c r="J50" s="45">
        <f t="shared" si="15"/>
        <v>6.867</v>
      </c>
      <c r="K50" s="45">
        <f t="shared" si="15"/>
        <v>6.867</v>
      </c>
      <c r="L50" s="45">
        <f t="shared" si="15"/>
        <v>6.867</v>
      </c>
      <c r="N50" s="39" t="s">
        <v>134</v>
      </c>
      <c r="O50" s="39" t="s">
        <v>135</v>
      </c>
      <c r="P50" s="40" t="s">
        <v>136</v>
      </c>
      <c r="Q50" s="40" t="s">
        <v>137</v>
      </c>
      <c r="R50" s="39" t="s">
        <v>138</v>
      </c>
    </row>
    <row r="51" spans="1:18" x14ac:dyDescent="0.35">
      <c r="A51" t="s">
        <v>143</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144</v>
      </c>
      <c r="C52" s="45">
        <f>IF(C22&lt;&gt;"",C35,"")</f>
        <v>1.45</v>
      </c>
      <c r="D52" s="45">
        <f t="shared" ref="D52:L52" si="18">IF(D22&lt;&gt;"",D35,"")</f>
        <v>1.45</v>
      </c>
      <c r="E52" s="45">
        <f t="shared" si="18"/>
        <v>1.45</v>
      </c>
      <c r="F52" s="45">
        <f t="shared" si="18"/>
        <v>1.45</v>
      </c>
      <c r="G52" s="45">
        <f t="shared" si="18"/>
        <v>1.45</v>
      </c>
      <c r="H52" s="45">
        <f t="shared" si="18"/>
        <v>1.43</v>
      </c>
      <c r="I52" s="45">
        <f t="shared" si="18"/>
        <v>1.43</v>
      </c>
      <c r="J52" s="45">
        <f t="shared" si="18"/>
        <v>1.43</v>
      </c>
      <c r="K52" s="45">
        <f t="shared" si="18"/>
        <v>1.43</v>
      </c>
      <c r="L52" s="45">
        <f t="shared" si="18"/>
        <v>1.43</v>
      </c>
      <c r="N52" s="41">
        <v>1030</v>
      </c>
      <c r="O52" s="42">
        <v>6.305377</v>
      </c>
      <c r="P52" s="43">
        <f t="shared" si="17"/>
        <v>1.117</v>
      </c>
      <c r="Q52" s="44">
        <v>7.0000000000000007E-2</v>
      </c>
      <c r="R52" s="43">
        <v>1.1870000000000001</v>
      </c>
    </row>
    <row r="53" spans="1:18" x14ac:dyDescent="0.35">
      <c r="A53" s="1" t="s">
        <v>145</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9.0422571336493043</v>
      </c>
      <c r="D54" s="15">
        <f t="shared" ref="D54:L54" si="19">IF(D$22&lt;&gt;"",D45-D49,"")</f>
        <v>7.6634520548331819</v>
      </c>
      <c r="E54" s="15">
        <f t="shared" si="19"/>
        <v>6.7418099968023153</v>
      </c>
      <c r="F54" s="15">
        <f t="shared" si="19"/>
        <v>6.4602708271803406</v>
      </c>
      <c r="G54" s="15">
        <f t="shared" si="19"/>
        <v>6.1875989313758</v>
      </c>
      <c r="H54" s="15">
        <f t="shared" si="19"/>
        <v>6.6332080356705205</v>
      </c>
      <c r="I54" s="15">
        <f t="shared" si="19"/>
        <v>7.0551047884565037</v>
      </c>
      <c r="J54" s="15">
        <f t="shared" si="19"/>
        <v>7.4545735699081455</v>
      </c>
      <c r="K54" s="15">
        <f t="shared" si="19"/>
        <v>7.8323643052138578</v>
      </c>
      <c r="L54" s="15">
        <f t="shared" si="19"/>
        <v>8.1907789815853107</v>
      </c>
      <c r="N54" s="41">
        <v>1040</v>
      </c>
      <c r="O54" s="42">
        <v>6.977665</v>
      </c>
      <c r="P54" s="43">
        <f t="shared" si="17"/>
        <v>1.0169999999999999</v>
      </c>
      <c r="Q54" s="44">
        <v>7.0000000000000007E-2</v>
      </c>
      <c r="R54" s="43">
        <v>1.087</v>
      </c>
    </row>
    <row r="55" spans="1:18" x14ac:dyDescent="0.35">
      <c r="A55" t="s">
        <v>3</v>
      </c>
      <c r="C55" s="15">
        <f>IF(C$22&lt;&gt;"",C46-C50-C51,"")</f>
        <v>10.218845186350725</v>
      </c>
      <c r="D55" s="15">
        <f t="shared" ref="D55:L55" si="20">IF(D$22&lt;&gt;"",D46-D50-D51,"")</f>
        <v>10.213990511167419</v>
      </c>
      <c r="E55" s="15">
        <f t="shared" si="20"/>
        <v>10.193338646698306</v>
      </c>
      <c r="F55" s="15">
        <f t="shared" si="20"/>
        <v>9.7622661278208565</v>
      </c>
      <c r="G55" s="15">
        <f t="shared" si="20"/>
        <v>9.3448910061265682</v>
      </c>
      <c r="H55" s="15">
        <f t="shared" si="20"/>
        <v>8.9503220817324465</v>
      </c>
      <c r="I55" s="15">
        <f t="shared" si="20"/>
        <v>8.5783795088458614</v>
      </c>
      <c r="J55" s="15">
        <f t="shared" si="20"/>
        <v>8.227607859893622</v>
      </c>
      <c r="K55" s="15">
        <f t="shared" si="20"/>
        <v>7.89617126698848</v>
      </c>
      <c r="L55" s="15">
        <f t="shared" si="20"/>
        <v>7.5841107330176012</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1">IF(D$22&lt;&gt;"",D47-D52,"")</f>
        <v>0</v>
      </c>
      <c r="E56" s="15">
        <f t="shared" si="21"/>
        <v>0</v>
      </c>
      <c r="F56" s="15">
        <f t="shared" si="21"/>
        <v>0</v>
      </c>
      <c r="G56" s="15">
        <f t="shared" si="21"/>
        <v>0</v>
      </c>
      <c r="H56" s="15">
        <f t="shared" si="21"/>
        <v>0</v>
      </c>
      <c r="I56" s="15">
        <f t="shared" si="21"/>
        <v>0</v>
      </c>
      <c r="J56" s="15">
        <f t="shared" si="21"/>
        <v>0</v>
      </c>
      <c r="K56" s="15">
        <f t="shared" si="21"/>
        <v>0</v>
      </c>
      <c r="L56" s="15">
        <f t="shared" si="21"/>
        <v>0</v>
      </c>
      <c r="N56" s="41">
        <v>1050</v>
      </c>
      <c r="O56" s="42">
        <v>7.6828779999999997</v>
      </c>
      <c r="P56" s="43">
        <f t="shared" si="17"/>
        <v>0.71700000000000008</v>
      </c>
      <c r="Q56" s="44">
        <v>7.0000000000000007E-2</v>
      </c>
      <c r="R56" s="43">
        <v>0.78700000000000003</v>
      </c>
    </row>
    <row r="57" spans="1:18" x14ac:dyDescent="0.35">
      <c r="A57" s="1" t="s">
        <v>129</v>
      </c>
      <c r="B57" s="1"/>
      <c r="C57" s="15">
        <f>IF(C$22&lt;&gt;"",SUM(C54:C56),"")</f>
        <v>19.261102320000028</v>
      </c>
      <c r="D57" s="15">
        <f t="shared" ref="D57:L57" si="22">IF(D$22&lt;&gt;"",SUM(D54:D56),"")</f>
        <v>17.8774425660006</v>
      </c>
      <c r="E57" s="15">
        <f t="shared" si="22"/>
        <v>16.935148643500622</v>
      </c>
      <c r="F57" s="15">
        <f t="shared" si="22"/>
        <v>16.222536955001196</v>
      </c>
      <c r="G57" s="15">
        <f t="shared" si="22"/>
        <v>15.532489937502369</v>
      </c>
      <c r="H57" s="15">
        <f t="shared" si="22"/>
        <v>15.583530117402967</v>
      </c>
      <c r="I57" s="15">
        <f t="shared" si="22"/>
        <v>15.633484297302365</v>
      </c>
      <c r="J57" s="15">
        <f t="shared" si="22"/>
        <v>15.682181429801767</v>
      </c>
      <c r="K57" s="15">
        <f t="shared" si="22"/>
        <v>15.728535572202338</v>
      </c>
      <c r="L57" s="15">
        <f t="shared" si="22"/>
        <v>15.774889714602912</v>
      </c>
      <c r="N57" s="41">
        <v>1075</v>
      </c>
      <c r="O57" s="42">
        <v>9.6009879999900001</v>
      </c>
      <c r="P57" s="43">
        <f t="shared" si="17"/>
        <v>0.63300000000000001</v>
      </c>
      <c r="Q57" s="44">
        <v>0.05</v>
      </c>
      <c r="R57" s="43">
        <v>0.68300000000000005</v>
      </c>
    </row>
    <row r="58" spans="1:18" x14ac:dyDescent="0.35">
      <c r="A58" s="1" t="s">
        <v>156</v>
      </c>
      <c r="B58" s="1"/>
      <c r="C58" s="15">
        <f>IF(C22&lt;&gt;"",C29+C22-C32-C49-C57*$B$29,"")</f>
        <v>8.1367059736492884</v>
      </c>
      <c r="D58" s="15">
        <f t="shared" ref="D58:L58" si="23">IF(D22&lt;&gt;"",D29+D22-D32-D49-D57*$B$29,"")</f>
        <v>7.9380247981835925</v>
      </c>
      <c r="E58" s="15">
        <f t="shared" si="23"/>
        <v>8.174504903219125</v>
      </c>
      <c r="F58" s="15">
        <f t="shared" si="23"/>
        <v>8.2997666746277403</v>
      </c>
      <c r="G58" s="15">
        <f t="shared" si="23"/>
        <v>8.2973516129448726</v>
      </c>
      <c r="H58" s="15">
        <f t="shared" si="23"/>
        <v>8.6350890143444232</v>
      </c>
      <c r="I58" s="15">
        <f t="shared" si="23"/>
        <v>8.6119196628362822</v>
      </c>
      <c r="J58" s="15">
        <f t="shared" si="23"/>
        <v>8.5901202152019422</v>
      </c>
      <c r="K58" s="15">
        <f t="shared" si="23"/>
        <v>8.5696136641054252</v>
      </c>
      <c r="L58" s="15">
        <f t="shared" si="23"/>
        <v>8.5502376051711657</v>
      </c>
      <c r="N58" s="41">
        <v>1090</v>
      </c>
      <c r="O58" s="42">
        <v>10.857008</v>
      </c>
      <c r="P58" s="43">
        <f t="shared" si="17"/>
        <v>0.3</v>
      </c>
      <c r="Q58" s="40"/>
      <c r="R58" s="43">
        <v>0.3</v>
      </c>
    </row>
    <row r="59" spans="1:18" x14ac:dyDescent="0.35">
      <c r="C59" s="30"/>
      <c r="D59" s="30"/>
      <c r="E59" s="30"/>
      <c r="F59" s="30"/>
      <c r="G59" s="30"/>
    </row>
    <row r="60" spans="1:18" x14ac:dyDescent="0.35">
      <c r="A60" s="1" t="s">
        <v>131</v>
      </c>
      <c r="C60" s="12">
        <f>IF(C$22&lt;&gt;"",0.2,"")</f>
        <v>0.2</v>
      </c>
      <c r="D60" s="12">
        <f t="shared" ref="D60:L60" si="24">IF(D$22&lt;&gt;"",0.2,"")</f>
        <v>0.2</v>
      </c>
      <c r="E60" s="12">
        <f t="shared" si="24"/>
        <v>0.2</v>
      </c>
      <c r="F60" s="12">
        <f t="shared" si="24"/>
        <v>0.2</v>
      </c>
      <c r="G60" s="12">
        <f t="shared" si="24"/>
        <v>0.2</v>
      </c>
      <c r="H60" s="12">
        <f t="shared" si="24"/>
        <v>0.2</v>
      </c>
      <c r="I60" s="12">
        <f t="shared" si="24"/>
        <v>0.2</v>
      </c>
      <c r="J60" s="12">
        <f t="shared" si="24"/>
        <v>0.2</v>
      </c>
      <c r="K60" s="12">
        <f t="shared" si="24"/>
        <v>0.2</v>
      </c>
      <c r="L60" s="12">
        <f t="shared" si="24"/>
        <v>0.2</v>
      </c>
    </row>
    <row r="61" spans="1:18" x14ac:dyDescent="0.35">
      <c r="A61" t="s">
        <v>132</v>
      </c>
      <c r="C61" s="15">
        <f>IF(C$22&lt;&gt;"",C50+C60,"")</f>
        <v>7.0670000000000002</v>
      </c>
      <c r="D61" s="15">
        <f>IF(D$22&lt;&gt;"",D50+D60,"")</f>
        <v>7.0670000000000002</v>
      </c>
      <c r="E61" s="15">
        <f>IF(E$22&lt;&gt;"",E50+E60,"")</f>
        <v>7.0670000000000002</v>
      </c>
      <c r="F61" s="15">
        <f>IF(F$22&lt;&gt;"",F50+F60,"")</f>
        <v>7.0670000000000002</v>
      </c>
      <c r="G61" s="15">
        <f>IF(G$22&lt;&gt;"",G50+G60,"")</f>
        <v>7.0670000000000002</v>
      </c>
      <c r="H61" s="15">
        <f>IF(H$22&lt;&gt;"",H50+H60,"")</f>
        <v>7.0670000000000002</v>
      </c>
      <c r="I61" s="15">
        <f>IF(I$22&lt;&gt;"",I50+I60,"")</f>
        <v>7.0670000000000002</v>
      </c>
      <c r="J61" s="15">
        <f>IF(J$22&lt;&gt;"",J50+J60,"")</f>
        <v>7.0670000000000002</v>
      </c>
      <c r="K61" s="15">
        <f>IF(K$22&lt;&gt;"",K50+K60,"")</f>
        <v>7.0670000000000002</v>
      </c>
      <c r="L61" s="15">
        <f>IF(L$22&lt;&gt;"",L50+L60,"")</f>
        <v>7.0670000000000002</v>
      </c>
    </row>
    <row r="63" spans="1:18" x14ac:dyDescent="0.35">
      <c r="D63" s="19"/>
    </row>
  </sheetData>
  <mergeCells count="4">
    <mergeCell ref="C5:H5"/>
    <mergeCell ref="C6:H6"/>
    <mergeCell ref="C7:H7"/>
    <mergeCell ref="C8:H8"/>
  </mergeCells>
  <conditionalFormatting sqref="C49:L49">
    <cfRule type="cellIs" dxfId="60" priority="32" operator="greaterThan">
      <formula>$C$45</formula>
    </cfRule>
  </conditionalFormatting>
  <conditionalFormatting sqref="C49:F49">
    <cfRule type="cellIs" dxfId="59" priority="31" operator="greaterThan">
      <formula>$C$45</formula>
    </cfRule>
  </conditionalFormatting>
  <conditionalFormatting sqref="E49:F49">
    <cfRule type="cellIs" dxfId="58" priority="30" operator="greaterThan">
      <formula>$E$45</formula>
    </cfRule>
  </conditionalFormatting>
  <conditionalFormatting sqref="D49:F49">
    <cfRule type="cellIs" dxfId="57" priority="29" operator="greaterThan">
      <formula>$D$45</formula>
    </cfRule>
  </conditionalFormatting>
  <conditionalFormatting sqref="F49">
    <cfRule type="cellIs" dxfId="56" priority="28" operator="greaterThan">
      <formula>$F$45</formula>
    </cfRule>
  </conditionalFormatting>
  <conditionalFormatting sqref="G49">
    <cfRule type="cellIs" dxfId="55" priority="27" operator="greaterThan">
      <formula>$G$45</formula>
    </cfRule>
  </conditionalFormatting>
  <conditionalFormatting sqref="H49">
    <cfRule type="cellIs" dxfId="54" priority="26" operator="greaterThan">
      <formula>$H$45</formula>
    </cfRule>
  </conditionalFormatting>
  <conditionalFormatting sqref="I49">
    <cfRule type="cellIs" dxfId="53" priority="25" operator="greaterThan">
      <formula>$I$45</formula>
    </cfRule>
  </conditionalFormatting>
  <conditionalFormatting sqref="J49">
    <cfRule type="cellIs" dxfId="52" priority="24" operator="greaterThan">
      <formula>$J$45</formula>
    </cfRule>
  </conditionalFormatting>
  <conditionalFormatting sqref="K49">
    <cfRule type="cellIs" dxfId="51" priority="23" operator="greaterThan">
      <formula>$K$45</formula>
    </cfRule>
  </conditionalFormatting>
  <conditionalFormatting sqref="L49">
    <cfRule type="cellIs" dxfId="50" priority="22" operator="greaterThan">
      <formula>$L$45</formula>
    </cfRule>
  </conditionalFormatting>
  <conditionalFormatting sqref="C50">
    <cfRule type="cellIs" dxfId="49" priority="21" operator="greaterThan">
      <formula>$C$46</formula>
    </cfRule>
  </conditionalFormatting>
  <conditionalFormatting sqref="D50:L50">
    <cfRule type="cellIs" dxfId="48" priority="20" operator="greaterThan">
      <formula>$D$46</formula>
    </cfRule>
  </conditionalFormatting>
  <conditionalFormatting sqref="E50">
    <cfRule type="cellIs" dxfId="47" priority="19" operator="greaterThan">
      <formula>$E$46</formula>
    </cfRule>
  </conditionalFormatting>
  <conditionalFormatting sqref="F50">
    <cfRule type="cellIs" dxfId="46" priority="18" operator="greaterThan">
      <formula>$F$46</formula>
    </cfRule>
  </conditionalFormatting>
  <conditionalFormatting sqref="G50">
    <cfRule type="cellIs" dxfId="45" priority="16" operator="greaterThan">
      <formula>$G$46</formula>
    </cfRule>
    <cfRule type="cellIs" dxfId="44" priority="17" operator="greaterThan">
      <formula>$G$46</formula>
    </cfRule>
  </conditionalFormatting>
  <conditionalFormatting sqref="H50">
    <cfRule type="cellIs" dxfId="43" priority="15" operator="greaterThan">
      <formula>$H$46</formula>
    </cfRule>
  </conditionalFormatting>
  <conditionalFormatting sqref="I50">
    <cfRule type="cellIs" dxfId="42" priority="14" operator="greaterThan">
      <formula>$I$46</formula>
    </cfRule>
  </conditionalFormatting>
  <conditionalFormatting sqref="J50">
    <cfRule type="cellIs" dxfId="41" priority="13" operator="greaterThan">
      <formula>$J$46</formula>
    </cfRule>
  </conditionalFormatting>
  <conditionalFormatting sqref="K50">
    <cfRule type="cellIs" dxfId="40" priority="12" operator="greaterThan">
      <formula>$K$46</formula>
    </cfRule>
  </conditionalFormatting>
  <conditionalFormatting sqref="L50">
    <cfRule type="cellIs" dxfId="39" priority="11" operator="greaterThan">
      <formula>$L$46</formula>
    </cfRule>
  </conditionalFormatting>
  <conditionalFormatting sqref="C52:L52">
    <cfRule type="cellIs" dxfId="38" priority="10" operator="greaterThan">
      <formula>$C$47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878AF-96FE-424D-B802-94EDCA32030C}">
  <dimension ref="A1:R63"/>
  <sheetViews>
    <sheetView topLeftCell="A39" zoomScale="150" zoomScaleNormal="150" workbookViewId="0">
      <selection activeCell="C59" sqref="C59:G5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0"/>
      <c r="C5" s="64"/>
      <c r="D5" s="64"/>
      <c r="E5" s="64"/>
      <c r="F5" s="64"/>
      <c r="G5" s="64"/>
      <c r="H5" s="64"/>
    </row>
    <row r="6" spans="1:11" x14ac:dyDescent="0.35">
      <c r="A6" s="17" t="s">
        <v>41</v>
      </c>
      <c r="B6" s="50"/>
      <c r="C6" s="64"/>
      <c r="D6" s="64"/>
      <c r="E6" s="64"/>
      <c r="F6" s="64"/>
      <c r="G6" s="64"/>
      <c r="H6" s="64"/>
    </row>
    <row r="7" spans="1:11" x14ac:dyDescent="0.35">
      <c r="A7" s="17" t="s">
        <v>42</v>
      </c>
      <c r="B7" s="50"/>
      <c r="C7" s="64"/>
      <c r="D7" s="64"/>
      <c r="E7" s="64"/>
      <c r="F7" s="64"/>
      <c r="G7" s="64"/>
      <c r="H7" s="64"/>
    </row>
    <row r="8" spans="1:11" x14ac:dyDescent="0.35">
      <c r="A8" s="17" t="s">
        <v>43</v>
      </c>
      <c r="B8" s="50"/>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146</v>
      </c>
    </row>
    <row r="19" spans="1:13" x14ac:dyDescent="0.35">
      <c r="A19" t="s">
        <v>151</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v>11</v>
      </c>
      <c r="D22" s="12">
        <f>C22</f>
        <v>11</v>
      </c>
      <c r="E22" s="12">
        <f t="shared" ref="E22:G22" si="0">D22</f>
        <v>11</v>
      </c>
      <c r="F22" s="12">
        <f t="shared" si="0"/>
        <v>11</v>
      </c>
      <c r="G22" s="12">
        <f t="shared" si="0"/>
        <v>11</v>
      </c>
      <c r="H22" s="12">
        <f t="shared" ref="H22:L22" si="1">G22</f>
        <v>11</v>
      </c>
      <c r="I22" s="12">
        <f t="shared" si="1"/>
        <v>11</v>
      </c>
      <c r="J22" s="12">
        <f t="shared" si="1"/>
        <v>11</v>
      </c>
      <c r="K22" s="12">
        <f t="shared" si="1"/>
        <v>11</v>
      </c>
      <c r="L22" s="12">
        <f t="shared" si="1"/>
        <v>11</v>
      </c>
    </row>
    <row r="23" spans="1:13" x14ac:dyDescent="0.35">
      <c r="A23" s="1" t="s">
        <v>127</v>
      </c>
      <c r="B23" s="1"/>
      <c r="C23" s="12">
        <f>IF(C$22&lt;&gt;"",0.8,"")</f>
        <v>0.8</v>
      </c>
      <c r="D23" s="12">
        <f t="shared" ref="D23:L23" si="2">IF(D$22&lt;&gt;"",0.8,"")</f>
        <v>0.8</v>
      </c>
      <c r="E23" s="12">
        <f t="shared" si="2"/>
        <v>0.8</v>
      </c>
      <c r="F23" s="12">
        <f t="shared" si="2"/>
        <v>0.8</v>
      </c>
      <c r="G23" s="12">
        <f t="shared" si="2"/>
        <v>0.8</v>
      </c>
      <c r="H23" s="12">
        <f t="shared" si="2"/>
        <v>0.8</v>
      </c>
      <c r="I23" s="12">
        <f t="shared" si="2"/>
        <v>0.8</v>
      </c>
      <c r="J23" s="12">
        <f t="shared" si="2"/>
        <v>0.8</v>
      </c>
      <c r="K23" s="12">
        <f t="shared" si="2"/>
        <v>0.8</v>
      </c>
      <c r="L23" s="12">
        <f t="shared" si="2"/>
        <v>0.8</v>
      </c>
    </row>
    <row r="24" spans="1:13" x14ac:dyDescent="0.35">
      <c r="A24" s="1" t="s">
        <v>130</v>
      </c>
      <c r="B24" s="1"/>
      <c r="C24" s="15">
        <f>IF(C$22&lt;&gt;"",SUM(C25:C27),"")</f>
        <v>21.1</v>
      </c>
      <c r="D24" s="15">
        <f>IF(D$22&lt;&gt;"",C57,"")</f>
        <v>18.761102320000028</v>
      </c>
      <c r="E24" s="15">
        <f t="shared" ref="E24:L24" si="3">IF(E$22&lt;&gt;"",D57,"")</f>
        <v>16.491893682999432</v>
      </c>
      <c r="F24" s="15">
        <f t="shared" si="3"/>
        <v>15.136878165046278</v>
      </c>
      <c r="G24" s="15">
        <f t="shared" si="3"/>
        <v>14.838480690719893</v>
      </c>
      <c r="H24" s="15">
        <f t="shared" si="3"/>
        <v>14.552221895882846</v>
      </c>
      <c r="I24" s="15">
        <f t="shared" si="3"/>
        <v>14.719200338282249</v>
      </c>
      <c r="J24" s="15">
        <f t="shared" si="3"/>
        <v>14.881642743182251</v>
      </c>
      <c r="K24" s="15">
        <f t="shared" si="3"/>
        <v>15.038535110582826</v>
      </c>
      <c r="L24" s="15">
        <f t="shared" si="3"/>
        <v>15.189634393082255</v>
      </c>
    </row>
    <row r="25" spans="1:13" x14ac:dyDescent="0.35">
      <c r="A25" t="s">
        <v>122</v>
      </c>
      <c r="C25" s="15">
        <f>IF(C$22&lt;&gt;"",$B$19,"")</f>
        <v>11</v>
      </c>
      <c r="D25" s="15">
        <f>IF(D22&lt;&gt;"",C54,"")</f>
        <v>9.0422571336493043</v>
      </c>
      <c r="E25" s="15">
        <f t="shared" ref="E25:L27" si="4">IF(E22&lt;&gt;"",D54,"")</f>
        <v>7.1583227281020116</v>
      </c>
      <c r="F25" s="15">
        <f t="shared" si="4"/>
        <v>6.1</v>
      </c>
      <c r="G25" s="15">
        <f t="shared" si="4"/>
        <v>6.1</v>
      </c>
      <c r="H25" s="15">
        <f t="shared" si="4"/>
        <v>6.1</v>
      </c>
      <c r="I25" s="15">
        <f t="shared" si="4"/>
        <v>6.5412633845777961</v>
      </c>
      <c r="J25" s="15">
        <f t="shared" si="4"/>
        <v>6.9598271461039474</v>
      </c>
      <c r="K25" s="15">
        <f t="shared" si="4"/>
        <v>7.3566034979989432</v>
      </c>
      <c r="L25" s="15">
        <f t="shared" si="4"/>
        <v>7.7326946450337939</v>
      </c>
    </row>
    <row r="26" spans="1:13" x14ac:dyDescent="0.35">
      <c r="A26" t="s">
        <v>123</v>
      </c>
      <c r="C26" s="15">
        <f>IF(C$22&lt;&gt;"",$C$19,"")</f>
        <v>10.1</v>
      </c>
      <c r="D26" s="15">
        <f>IF(D23&lt;&gt;"",C55,"")</f>
        <v>9.718845186350725</v>
      </c>
      <c r="E26" s="15">
        <f t="shared" si="4"/>
        <v>9.3335709548974197</v>
      </c>
      <c r="F26" s="15">
        <f t="shared" si="4"/>
        <v>9.0368781650462786</v>
      </c>
      <c r="G26" s="15">
        <f t="shared" si="4"/>
        <v>8.7384806907198929</v>
      </c>
      <c r="H26" s="15">
        <f t="shared" si="4"/>
        <v>8.4522218958828468</v>
      </c>
      <c r="I26" s="15">
        <f t="shared" si="4"/>
        <v>8.1779369537044531</v>
      </c>
      <c r="J26" s="15">
        <f t="shared" si="4"/>
        <v>7.9218155970783037</v>
      </c>
      <c r="K26" s="15">
        <f t="shared" si="4"/>
        <v>7.6819316125838828</v>
      </c>
      <c r="L26" s="15">
        <f t="shared" si="4"/>
        <v>7.4569397480484607</v>
      </c>
    </row>
    <row r="27" spans="1:13" x14ac:dyDescent="0.35">
      <c r="A27" t="s">
        <v>32</v>
      </c>
      <c r="C27" s="15">
        <f>IF(C22&lt;&gt;"",0,"")</f>
        <v>0</v>
      </c>
      <c r="D27" s="15">
        <f>IF(D24&lt;&gt;"",C56,"")</f>
        <v>0</v>
      </c>
      <c r="E27" s="15">
        <f t="shared" si="4"/>
        <v>0</v>
      </c>
      <c r="F27" s="15">
        <f t="shared" si="4"/>
        <v>0</v>
      </c>
      <c r="G27" s="15">
        <f t="shared" si="4"/>
        <v>0</v>
      </c>
      <c r="H27" s="15">
        <f t="shared" si="4"/>
        <v>0</v>
      </c>
      <c r="I27" s="15">
        <f t="shared" si="4"/>
        <v>0</v>
      </c>
      <c r="J27" s="15">
        <f t="shared" si="4"/>
        <v>0</v>
      </c>
      <c r="K27" s="15">
        <f t="shared" si="4"/>
        <v>0</v>
      </c>
      <c r="L27" s="15">
        <f t="shared" si="4"/>
        <v>0</v>
      </c>
    </row>
    <row r="28" spans="1:13" x14ac:dyDescent="0.35">
      <c r="A28" s="1" t="s">
        <v>121</v>
      </c>
      <c r="C28"/>
    </row>
    <row r="29" spans="1:13" x14ac:dyDescent="0.35">
      <c r="A29" t="s">
        <v>119</v>
      </c>
      <c r="B29" s="37">
        <v>0.5</v>
      </c>
      <c r="C29" s="15">
        <f>C25</f>
        <v>11</v>
      </c>
      <c r="D29" s="15">
        <f t="shared" ref="D29:L30" si="5">IF(D22&lt;&gt;"",$B29*D$24,"")</f>
        <v>9.3805511600000138</v>
      </c>
      <c r="E29" s="15">
        <f t="shared" si="5"/>
        <v>8.2459468414997161</v>
      </c>
      <c r="F29" s="15">
        <f t="shared" si="5"/>
        <v>7.5684390825231391</v>
      </c>
      <c r="G29" s="15">
        <f t="shared" si="5"/>
        <v>7.4192403453599463</v>
      </c>
      <c r="H29" s="15">
        <f t="shared" si="5"/>
        <v>7.2761109479414232</v>
      </c>
      <c r="I29" s="15">
        <f t="shared" si="5"/>
        <v>7.3596001691411246</v>
      </c>
      <c r="J29" s="15">
        <f t="shared" si="5"/>
        <v>7.4408213715911256</v>
      </c>
      <c r="K29" s="15">
        <f t="shared" si="5"/>
        <v>7.519267555291413</v>
      </c>
      <c r="L29" s="15">
        <f t="shared" si="5"/>
        <v>7.5948171965411273</v>
      </c>
    </row>
    <row r="30" spans="1:13" x14ac:dyDescent="0.35">
      <c r="A30" t="s">
        <v>120</v>
      </c>
      <c r="B30" s="37">
        <f>1-B29</f>
        <v>0.5</v>
      </c>
      <c r="C30" s="15">
        <f>C26</f>
        <v>10.1</v>
      </c>
      <c r="D30" s="15">
        <f t="shared" si="5"/>
        <v>9.3805511600000138</v>
      </c>
      <c r="E30" s="15">
        <f t="shared" si="5"/>
        <v>8.2459468414997161</v>
      </c>
      <c r="F30" s="15">
        <f t="shared" si="5"/>
        <v>7.5684390825231391</v>
      </c>
      <c r="G30" s="15">
        <f t="shared" si="5"/>
        <v>7.4192403453599463</v>
      </c>
      <c r="H30" s="15">
        <f t="shared" si="5"/>
        <v>7.2761109479414232</v>
      </c>
      <c r="I30" s="15">
        <f t="shared" si="5"/>
        <v>7.3596001691411246</v>
      </c>
      <c r="J30" s="15">
        <f t="shared" si="5"/>
        <v>7.4408213715911256</v>
      </c>
      <c r="K30" s="15">
        <f t="shared" si="5"/>
        <v>7.519267555291413</v>
      </c>
      <c r="L30" s="15">
        <f t="shared" si="5"/>
        <v>7.5948171965411273</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0.95220863700059999</v>
      </c>
      <c r="E31" s="15">
        <f>IF(E$22&lt;&gt;"",VLOOKUP(E29*1000000,'Powell-Elevation-Area'!$B$5:$D$689,3)*$B$18/1000000 + VLOOKUP(E30*1000000,'Mead-Elevation-Area'!$B$5:$D$676,3)*$C$18/1000000,"")</f>
        <v>0.88116204509999996</v>
      </c>
      <c r="F31" s="15">
        <f>IF(F$22&lt;&gt;"",VLOOKUP(F29*1000000,'Powell-Elevation-Area'!$B$5:$D$689,3)*$B$18/1000000 + VLOOKUP(F30*1000000,'Mead-Elevation-Area'!$B$5:$D$676,3)*$C$18/1000000,"")</f>
        <v>0.8381717076006</v>
      </c>
      <c r="G31" s="15">
        <f>IF(G$22&lt;&gt;"",VLOOKUP(G29*1000000,'Powell-Elevation-Area'!$B$5:$D$689,3)*$B$18/1000000 + VLOOKUP(G30*1000000,'Mead-Elevation-Area'!$B$5:$D$676,3)*$C$18/1000000,"")</f>
        <v>0.82909363259882696</v>
      </c>
      <c r="H31" s="15">
        <f>IF(H$22&lt;&gt;"",VLOOKUP(H29*1000000,'Powell-Elevation-Area'!$B$5:$D$689,3)*$B$18/1000000 + VLOOKUP(H30*1000000,'Mead-Elevation-Area'!$B$5:$D$676,3)*$C$18/1000000,"")</f>
        <v>0.82002155760060003</v>
      </c>
      <c r="I31" s="15">
        <f>IF(I$22&lt;&gt;"",VLOOKUP(I29*1000000,'Powell-Elevation-Area'!$B$5:$D$689,3)*$B$18/1000000 + VLOOKUP(I30*1000000,'Mead-Elevation-Area'!$B$5:$D$676,3)*$C$18/1000000,"")</f>
        <v>0.82455759509999993</v>
      </c>
      <c r="J31" s="15">
        <f>IF(J$22&lt;&gt;"",VLOOKUP(J29*1000000,'Powell-Elevation-Area'!$B$5:$D$689,3)*$B$18/1000000 + VLOOKUP(J30*1000000,'Mead-Elevation-Area'!$B$5:$D$676,3)*$C$18/1000000,"")</f>
        <v>0.83010763259942699</v>
      </c>
      <c r="K31" s="15">
        <f>IF(K$22&lt;&gt;"",VLOOKUP(K29*1000000,'Powell-Elevation-Area'!$B$5:$D$689,3)*$B$18/1000000 + VLOOKUP(K30*1000000,'Mead-Elevation-Area'!$B$5:$D$676,3)*$C$18/1000000,"")</f>
        <v>0.83590071750057304</v>
      </c>
      <c r="L31" s="15">
        <f>IF(L$22&lt;&gt;"",VLOOKUP(L29*1000000,'Powell-Elevation-Area'!$B$5:$D$689,3)*$B$18/1000000 + VLOOKUP(L30*1000000,'Mead-Elevation-Area'!$B$5:$D$676,3)*$C$18/1000000,"")</f>
        <v>0.84044275499999999</v>
      </c>
    </row>
    <row r="32" spans="1:13" x14ac:dyDescent="0.35">
      <c r="A32" t="s">
        <v>104</v>
      </c>
      <c r="B32" s="1"/>
      <c r="C32" s="15">
        <f>IF(C$22&lt;&gt;"",C$31*C25/C$24,"")</f>
        <v>0.5327428663506969</v>
      </c>
      <c r="D32" s="15">
        <f t="shared" ref="D32:L34" si="6">IF(D$22&lt;&gt;"",D$31*D25/D$24,"")</f>
        <v>0.45893440554729326</v>
      </c>
      <c r="E32" s="15">
        <f t="shared" si="6"/>
        <v>0.38246925524886044</v>
      </c>
      <c r="F32" s="15">
        <f t="shared" si="6"/>
        <v>0.33777423327421147</v>
      </c>
      <c r="G32" s="15">
        <f t="shared" si="6"/>
        <v>0.34083483776178164</v>
      </c>
      <c r="H32" s="15">
        <f t="shared" si="6"/>
        <v>0.34373661542220413</v>
      </c>
      <c r="I32" s="15">
        <f t="shared" si="6"/>
        <v>0.36643623847384904</v>
      </c>
      <c r="J32" s="15">
        <f t="shared" si="6"/>
        <v>0.38822364810500409</v>
      </c>
      <c r="K32" s="15">
        <f t="shared" si="6"/>
        <v>0.40890885296514889</v>
      </c>
      <c r="L32" s="15">
        <f t="shared" si="6"/>
        <v>0.42785013930326771</v>
      </c>
    </row>
    <row r="33" spans="1:13" x14ac:dyDescent="0.35">
      <c r="A33" t="s">
        <v>105</v>
      </c>
      <c r="B33" s="1"/>
      <c r="C33" s="15">
        <f>IF(C$22&lt;&gt;"",C$31*C26/C$24,"")</f>
        <v>0.48915481364927621</v>
      </c>
      <c r="D33" s="15">
        <f t="shared" si="6"/>
        <v>0.4932742314533069</v>
      </c>
      <c r="E33" s="15">
        <f t="shared" si="6"/>
        <v>0.49869278985113941</v>
      </c>
      <c r="F33" s="15">
        <f t="shared" si="6"/>
        <v>0.50039747432638848</v>
      </c>
      <c r="G33" s="15">
        <f t="shared" si="6"/>
        <v>0.48825879483704526</v>
      </c>
      <c r="H33" s="15">
        <f t="shared" si="6"/>
        <v>0.4762849421783959</v>
      </c>
      <c r="I33" s="15">
        <f t="shared" si="6"/>
        <v>0.45812135662615089</v>
      </c>
      <c r="J33" s="15">
        <f t="shared" si="6"/>
        <v>0.44188398449442284</v>
      </c>
      <c r="K33" s="15">
        <f t="shared" si="6"/>
        <v>0.42699186453542415</v>
      </c>
      <c r="L33" s="15">
        <f t="shared" si="6"/>
        <v>0.41259261569673228</v>
      </c>
    </row>
    <row r="34" spans="1:13" x14ac:dyDescent="0.35">
      <c r="A34" t="s">
        <v>106</v>
      </c>
      <c r="B34" s="1"/>
      <c r="C34" s="15">
        <f>IF(C$22&lt;&gt;"",C$31*C27/C$24,"")</f>
        <v>0</v>
      </c>
      <c r="D34" s="15">
        <f t="shared" si="6"/>
        <v>0</v>
      </c>
      <c r="E34" s="15">
        <f t="shared" si="6"/>
        <v>0</v>
      </c>
      <c r="F34" s="15">
        <f t="shared" si="6"/>
        <v>0</v>
      </c>
      <c r="G34" s="15">
        <f t="shared" si="6"/>
        <v>0</v>
      </c>
      <c r="H34" s="15">
        <f t="shared" si="6"/>
        <v>0</v>
      </c>
      <c r="I34" s="15">
        <f t="shared" si="6"/>
        <v>0</v>
      </c>
      <c r="J34" s="15">
        <f t="shared" si="6"/>
        <v>0</v>
      </c>
      <c r="K34" s="15">
        <f t="shared" si="6"/>
        <v>0</v>
      </c>
      <c r="L34" s="15">
        <f t="shared" si="6"/>
        <v>0</v>
      </c>
    </row>
    <row r="35" spans="1:13" x14ac:dyDescent="0.35">
      <c r="A35" s="1" t="s">
        <v>124</v>
      </c>
      <c r="B35" s="1"/>
      <c r="C35" s="45">
        <f>IF(C22&lt;&gt;"",1.5-IF(C$26&lt;$O$51,$Q$51,IF(C$26&lt;=$O$58,VLOOKUP(C$26,$O$51:$Q$58,3),0)),"")</f>
        <v>1.45</v>
      </c>
      <c r="D35" s="45">
        <f t="shared" ref="D35:L35" si="7">IF(D22&lt;&gt;"",1.5-IF(D$26&lt;$O$51,$Q$51,IF(D$26&lt;=$O$58,VLOOKUP(D$26,$O$51:$Q$58,3),0)),"")</f>
        <v>1.45</v>
      </c>
      <c r="E35" s="45">
        <f t="shared" si="7"/>
        <v>1.43</v>
      </c>
      <c r="F35" s="45">
        <f t="shared" si="7"/>
        <v>1.43</v>
      </c>
      <c r="G35" s="45">
        <f t="shared" si="7"/>
        <v>1.43</v>
      </c>
      <c r="H35" s="45">
        <f t="shared" si="7"/>
        <v>1.43</v>
      </c>
      <c r="I35" s="45">
        <f t="shared" si="7"/>
        <v>1.43</v>
      </c>
      <c r="J35" s="45">
        <f t="shared" si="7"/>
        <v>1.43</v>
      </c>
      <c r="K35" s="45">
        <f t="shared" si="7"/>
        <v>1.43</v>
      </c>
      <c r="L35" s="45">
        <f t="shared" si="7"/>
        <v>1.43</v>
      </c>
    </row>
    <row r="36" spans="1:13" x14ac:dyDescent="0.35">
      <c r="A36" s="1" t="s">
        <v>139</v>
      </c>
      <c r="B36" s="1"/>
      <c r="C36" s="15">
        <f>IF(C$22&lt;&gt;"",C22-C35/2,"")</f>
        <v>10.275</v>
      </c>
      <c r="D36" s="15">
        <f t="shared" ref="D36:L36" si="8">IF(D$22&lt;&gt;"",D22-D35/2,"")</f>
        <v>10.275</v>
      </c>
      <c r="E36" s="15">
        <f t="shared" si="8"/>
        <v>10.285</v>
      </c>
      <c r="F36" s="15">
        <f t="shared" si="8"/>
        <v>10.285</v>
      </c>
      <c r="G36" s="15">
        <f t="shared" si="8"/>
        <v>10.285</v>
      </c>
      <c r="H36" s="15">
        <f t="shared" si="8"/>
        <v>10.285</v>
      </c>
      <c r="I36" s="15">
        <f t="shared" si="8"/>
        <v>10.285</v>
      </c>
      <c r="J36" s="15">
        <f t="shared" si="8"/>
        <v>10.285</v>
      </c>
      <c r="K36" s="15">
        <f t="shared" si="8"/>
        <v>10.285</v>
      </c>
      <c r="L36" s="15">
        <f t="shared" si="8"/>
        <v>10.285</v>
      </c>
    </row>
    <row r="37" spans="1:13" x14ac:dyDescent="0.35">
      <c r="A37" t="s">
        <v>0</v>
      </c>
      <c r="B37" s="25"/>
      <c r="C37" s="15">
        <f>IF(C22&lt;&gt;"",MAX(0,C36-C38),"")</f>
        <v>2.7750000000000004</v>
      </c>
      <c r="D37" s="15">
        <f t="shared" ref="D37:L37" si="9">IF(D22&lt;&gt;"",MAX(0,D36-D38),"")</f>
        <v>2.7750000000000004</v>
      </c>
      <c r="E37" s="15">
        <f t="shared" si="9"/>
        <v>2.7850000000000001</v>
      </c>
      <c r="F37" s="15">
        <f t="shared" si="9"/>
        <v>2.7850000000000001</v>
      </c>
      <c r="G37" s="15">
        <f t="shared" si="9"/>
        <v>2.7850000000000001</v>
      </c>
      <c r="H37" s="15">
        <f t="shared" si="9"/>
        <v>2.7850000000000001</v>
      </c>
      <c r="I37" s="15">
        <f t="shared" si="9"/>
        <v>2.7850000000000001</v>
      </c>
      <c r="J37" s="15">
        <f t="shared" si="9"/>
        <v>2.7850000000000001</v>
      </c>
      <c r="K37" s="15">
        <f t="shared" si="9"/>
        <v>2.7850000000000001</v>
      </c>
      <c r="L37" s="15">
        <f t="shared" si="9"/>
        <v>2.7850000000000001</v>
      </c>
    </row>
    <row r="38" spans="1:13" x14ac:dyDescent="0.35">
      <c r="A38" t="s">
        <v>1</v>
      </c>
      <c r="B38" s="46">
        <v>7.5</v>
      </c>
      <c r="C38" s="15">
        <f>IF(C22&lt;&gt;"",IF(C36&gt;$B38,$B38,C36),"")</f>
        <v>7.5</v>
      </c>
      <c r="D38" s="15">
        <f t="shared" ref="D38:L38" si="10">IF(D22&lt;&gt;"",IF(D36&gt;$B38,$B38,D36),"")</f>
        <v>7.5</v>
      </c>
      <c r="E38" s="15">
        <f t="shared" si="10"/>
        <v>7.5</v>
      </c>
      <c r="F38" s="15">
        <f t="shared" si="10"/>
        <v>7.5</v>
      </c>
      <c r="G38" s="15">
        <f t="shared" si="10"/>
        <v>7.5</v>
      </c>
      <c r="H38" s="15">
        <f t="shared" si="10"/>
        <v>7.5</v>
      </c>
      <c r="I38" s="15">
        <f t="shared" si="10"/>
        <v>7.5</v>
      </c>
      <c r="J38" s="15">
        <f t="shared" si="10"/>
        <v>7.5</v>
      </c>
      <c r="K38" s="15">
        <f t="shared" si="10"/>
        <v>7.5</v>
      </c>
      <c r="L38" s="15">
        <f t="shared" si="10"/>
        <v>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13.242257133649304</v>
      </c>
      <c r="D45" s="15">
        <f t="shared" ref="D45:L45" si="11">IF(D$22&lt;&gt;"",D25+D37-D32-D40,"")</f>
        <v>11.358322728102012</v>
      </c>
      <c r="E45" s="15">
        <f t="shared" si="11"/>
        <v>9.5608534728531502</v>
      </c>
      <c r="F45" s="15">
        <f>IF(F$22&lt;&gt;"",F25+F37-F32-F40,"")</f>
        <v>8.5472257667257878</v>
      </c>
      <c r="G45" s="15">
        <f t="shared" si="11"/>
        <v>8.5441651622382189</v>
      </c>
      <c r="H45" s="15">
        <f t="shared" si="11"/>
        <v>8.5412633845777961</v>
      </c>
      <c r="I45" s="15">
        <f t="shared" si="11"/>
        <v>8.9598271461039474</v>
      </c>
      <c r="J45" s="15">
        <f t="shared" si="11"/>
        <v>9.3566034979989432</v>
      </c>
      <c r="K45" s="15">
        <f t="shared" si="11"/>
        <v>9.7326946450337939</v>
      </c>
      <c r="L45" s="15">
        <f t="shared" si="11"/>
        <v>10.089844505730527</v>
      </c>
    </row>
    <row r="46" spans="1:13" x14ac:dyDescent="0.35">
      <c r="A46" t="s">
        <v>3</v>
      </c>
      <c r="C46" s="15">
        <f>IF(C$22&lt;&gt;"",C26+C38-C33+C40+C42+C23-C35/2,"")</f>
        <v>17.185845186350726</v>
      </c>
      <c r="D46" s="15">
        <f t="shared" ref="D46:L46" si="12">IF(D$22&lt;&gt;"",D26+D38-D33+D40+D42+D23-D35/2,"")</f>
        <v>16.80057095489742</v>
      </c>
      <c r="E46" s="15">
        <f t="shared" si="12"/>
        <v>16.419878165046278</v>
      </c>
      <c r="F46" s="15">
        <f t="shared" si="12"/>
        <v>16.121480690719892</v>
      </c>
      <c r="G46" s="15">
        <f t="shared" si="12"/>
        <v>15.835221895882846</v>
      </c>
      <c r="H46" s="15">
        <f t="shared" si="12"/>
        <v>15.560936953704452</v>
      </c>
      <c r="I46" s="15">
        <f t="shared" si="12"/>
        <v>15.304815597078303</v>
      </c>
      <c r="J46" s="15">
        <f t="shared" si="12"/>
        <v>15.064931612583882</v>
      </c>
      <c r="K46" s="15">
        <f t="shared" si="12"/>
        <v>14.83993974804846</v>
      </c>
      <c r="L46" s="15">
        <f t="shared" si="12"/>
        <v>14.629347132351729</v>
      </c>
    </row>
    <row r="47" spans="1:13" x14ac:dyDescent="0.35">
      <c r="A47" t="s">
        <v>4</v>
      </c>
      <c r="C47" s="15">
        <f>IF(C$22&lt;&gt;"",C27+C35-C34-C42,"")</f>
        <v>1.45</v>
      </c>
      <c r="D47" s="15">
        <f t="shared" ref="D47:L47" si="13">IF(D$22&lt;&gt;"",D27+D35-D34-D42,"")</f>
        <v>1.45</v>
      </c>
      <c r="E47" s="15">
        <f t="shared" si="13"/>
        <v>1.43</v>
      </c>
      <c r="F47" s="15">
        <f t="shared" si="13"/>
        <v>1.43</v>
      </c>
      <c r="G47" s="15">
        <f t="shared" si="13"/>
        <v>1.43</v>
      </c>
      <c r="H47" s="15">
        <f t="shared" si="13"/>
        <v>1.43</v>
      </c>
      <c r="I47" s="15">
        <f t="shared" si="13"/>
        <v>1.43</v>
      </c>
      <c r="J47" s="15">
        <f t="shared" si="13"/>
        <v>1.43</v>
      </c>
      <c r="K47" s="15">
        <f t="shared" si="13"/>
        <v>1.43</v>
      </c>
      <c r="L47" s="15">
        <f t="shared" si="13"/>
        <v>1.43</v>
      </c>
    </row>
    <row r="48" spans="1:13" x14ac:dyDescent="0.35">
      <c r="A48" s="1" t="s">
        <v>140</v>
      </c>
      <c r="B48" s="1"/>
      <c r="C48" s="30"/>
      <c r="D48" s="2"/>
      <c r="E48" s="2"/>
      <c r="F48" s="2"/>
      <c r="G48" s="2"/>
      <c r="H48" s="2"/>
      <c r="I48" s="2"/>
      <c r="J48" s="2"/>
      <c r="K48" s="2"/>
      <c r="L48" s="2"/>
    </row>
    <row r="49" spans="1:18" x14ac:dyDescent="0.35">
      <c r="A49" t="s">
        <v>141</v>
      </c>
      <c r="C49" s="45">
        <f>IF(C45&gt;6.1+4.2,4.2,MAX(C45-6.1,0))</f>
        <v>4.2</v>
      </c>
      <c r="D49" s="45">
        <f t="shared" ref="D49:G49" si="14">IF(D45&gt;6.1+4.2,4.2,MAX(D45-6.1,0))</f>
        <v>4.2</v>
      </c>
      <c r="E49" s="45">
        <f t="shared" si="14"/>
        <v>3.4608534728531506</v>
      </c>
      <c r="F49" s="45">
        <f t="shared" si="14"/>
        <v>2.4472257667257882</v>
      </c>
      <c r="G49" s="45">
        <f t="shared" si="14"/>
        <v>2.4441651622382192</v>
      </c>
      <c r="H49" s="45">
        <v>2</v>
      </c>
      <c r="I49" s="45">
        <v>2</v>
      </c>
      <c r="J49" s="45">
        <v>2</v>
      </c>
      <c r="K49" s="45">
        <v>2</v>
      </c>
      <c r="L49" s="45">
        <v>2</v>
      </c>
      <c r="M49" s="51"/>
      <c r="N49" s="1" t="s">
        <v>133</v>
      </c>
    </row>
    <row r="50" spans="1:18" x14ac:dyDescent="0.35">
      <c r="A50" t="s">
        <v>142</v>
      </c>
      <c r="C50" s="45">
        <f>7.5-IF(C26&lt;$O$51,$P$51,IF(C26&lt;=$O$58,VLOOKUP(C26,$O$51:$P$58,2),0))</f>
        <v>6.867</v>
      </c>
      <c r="D50" s="45">
        <f t="shared" ref="D50:G50" si="15">7.5-IF(D26&lt;$O$51,$P$51,IF(D26&lt;=$O$58,VLOOKUP(D26,$O$51:$P$58,2),0))</f>
        <v>6.867</v>
      </c>
      <c r="E50" s="45">
        <f t="shared" si="15"/>
        <v>6.7829999999999995</v>
      </c>
      <c r="F50" s="45">
        <f t="shared" si="15"/>
        <v>6.7829999999999995</v>
      </c>
      <c r="G50" s="45">
        <f t="shared" si="15"/>
        <v>6.7829999999999995</v>
      </c>
      <c r="H50" s="45">
        <f t="shared" ref="H50:L50" si="16">G50</f>
        <v>6.7829999999999995</v>
      </c>
      <c r="I50" s="45">
        <f t="shared" si="16"/>
        <v>6.7829999999999995</v>
      </c>
      <c r="J50" s="45">
        <f t="shared" si="16"/>
        <v>6.7829999999999995</v>
      </c>
      <c r="K50" s="45">
        <f t="shared" si="16"/>
        <v>6.7829999999999995</v>
      </c>
      <c r="L50" s="45">
        <f t="shared" si="16"/>
        <v>6.7829999999999995</v>
      </c>
      <c r="N50" s="39" t="s">
        <v>134</v>
      </c>
      <c r="O50" s="39" t="s">
        <v>135</v>
      </c>
      <c r="P50" s="40" t="s">
        <v>136</v>
      </c>
      <c r="Q50" s="40" t="s">
        <v>137</v>
      </c>
      <c r="R50" s="39" t="s">
        <v>138</v>
      </c>
    </row>
    <row r="51" spans="1:18" x14ac:dyDescent="0.35">
      <c r="A51" t="s">
        <v>143</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144</v>
      </c>
      <c r="C52" s="45">
        <f>IF(C22&lt;&gt;"",C35,"")</f>
        <v>1.45</v>
      </c>
      <c r="D52" s="45">
        <f t="shared" ref="D52:L52" si="19">IF(D22&lt;&gt;"",D35,"")</f>
        <v>1.45</v>
      </c>
      <c r="E52" s="45">
        <f t="shared" si="19"/>
        <v>1.43</v>
      </c>
      <c r="F52" s="45">
        <f t="shared" si="19"/>
        <v>1.43</v>
      </c>
      <c r="G52" s="45">
        <f t="shared" si="19"/>
        <v>1.43</v>
      </c>
      <c r="H52" s="45">
        <f t="shared" si="19"/>
        <v>1.43</v>
      </c>
      <c r="I52" s="45">
        <f t="shared" si="19"/>
        <v>1.43</v>
      </c>
      <c r="J52" s="45">
        <f t="shared" si="19"/>
        <v>1.43</v>
      </c>
      <c r="K52" s="45">
        <f t="shared" si="19"/>
        <v>1.43</v>
      </c>
      <c r="L52" s="45">
        <f t="shared" si="19"/>
        <v>1.43</v>
      </c>
      <c r="N52" s="41">
        <v>1030</v>
      </c>
      <c r="O52" s="42">
        <v>6.305377</v>
      </c>
      <c r="P52" s="43">
        <f t="shared" si="18"/>
        <v>1.117</v>
      </c>
      <c r="Q52" s="44">
        <v>7.0000000000000007E-2</v>
      </c>
      <c r="R52" s="43">
        <v>1.1870000000000001</v>
      </c>
    </row>
    <row r="53" spans="1:18" x14ac:dyDescent="0.35">
      <c r="A53" s="1" t="s">
        <v>145</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9.0422571336493043</v>
      </c>
      <c r="D54" s="15">
        <f t="shared" ref="D54:L54" si="20">IF(D$22&lt;&gt;"",D45-D49,"")</f>
        <v>7.1583227281020116</v>
      </c>
      <c r="E54" s="15">
        <f t="shared" si="20"/>
        <v>6.1</v>
      </c>
      <c r="F54" s="15">
        <f t="shared" si="20"/>
        <v>6.1</v>
      </c>
      <c r="G54" s="15">
        <f t="shared" si="20"/>
        <v>6.1</v>
      </c>
      <c r="H54" s="15">
        <f t="shared" si="20"/>
        <v>6.5412633845777961</v>
      </c>
      <c r="I54" s="15">
        <f t="shared" si="20"/>
        <v>6.9598271461039474</v>
      </c>
      <c r="J54" s="15">
        <f t="shared" si="20"/>
        <v>7.3566034979989432</v>
      </c>
      <c r="K54" s="15">
        <f t="shared" si="20"/>
        <v>7.7326946450337939</v>
      </c>
      <c r="L54" s="15">
        <f t="shared" si="20"/>
        <v>8.089844505730527</v>
      </c>
      <c r="N54" s="41">
        <v>1040</v>
      </c>
      <c r="O54" s="42">
        <v>6.977665</v>
      </c>
      <c r="P54" s="43">
        <f t="shared" si="18"/>
        <v>1.0169999999999999</v>
      </c>
      <c r="Q54" s="44">
        <v>7.0000000000000007E-2</v>
      </c>
      <c r="R54" s="43">
        <v>1.087</v>
      </c>
    </row>
    <row r="55" spans="1:18" x14ac:dyDescent="0.35">
      <c r="A55" t="s">
        <v>3</v>
      </c>
      <c r="C55" s="15">
        <f>IF(C$22&lt;&gt;"",C46-C50-C51,"")</f>
        <v>9.718845186350725</v>
      </c>
      <c r="D55" s="15">
        <f t="shared" ref="D55:L55" si="21">IF(D$22&lt;&gt;"",D46-D50-D51,"")</f>
        <v>9.3335709548974197</v>
      </c>
      <c r="E55" s="15">
        <f t="shared" si="21"/>
        <v>9.0368781650462786</v>
      </c>
      <c r="F55" s="15">
        <f t="shared" si="21"/>
        <v>8.7384806907198929</v>
      </c>
      <c r="G55" s="15">
        <f t="shared" si="21"/>
        <v>8.4522218958828468</v>
      </c>
      <c r="H55" s="15">
        <f t="shared" si="21"/>
        <v>8.1779369537044531</v>
      </c>
      <c r="I55" s="15">
        <f t="shared" si="21"/>
        <v>7.9218155970783037</v>
      </c>
      <c r="J55" s="15">
        <f t="shared" si="21"/>
        <v>7.6819316125838828</v>
      </c>
      <c r="K55" s="15">
        <f t="shared" si="21"/>
        <v>7.4569397480484607</v>
      </c>
      <c r="L55" s="15">
        <f t="shared" si="21"/>
        <v>7.2463471323517297</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8"/>
        <v>0.71700000000000008</v>
      </c>
      <c r="Q56" s="44">
        <v>7.0000000000000007E-2</v>
      </c>
      <c r="R56" s="43">
        <v>0.78700000000000003</v>
      </c>
    </row>
    <row r="57" spans="1:18" x14ac:dyDescent="0.35">
      <c r="A57" s="1" t="s">
        <v>129</v>
      </c>
      <c r="B57" s="1"/>
      <c r="C57" s="15">
        <f>IF(C$22&lt;&gt;"",SUM(C54:C56),"")</f>
        <v>18.761102320000028</v>
      </c>
      <c r="D57" s="15">
        <f t="shared" ref="D57:L57" si="23">IF(D$22&lt;&gt;"",SUM(D54:D56),"")</f>
        <v>16.491893682999432</v>
      </c>
      <c r="E57" s="15">
        <f t="shared" si="23"/>
        <v>15.136878165046278</v>
      </c>
      <c r="F57" s="15">
        <f t="shared" si="23"/>
        <v>14.838480690719893</v>
      </c>
      <c r="G57" s="15">
        <f t="shared" si="23"/>
        <v>14.552221895882846</v>
      </c>
      <c r="H57" s="15">
        <f t="shared" si="23"/>
        <v>14.719200338282249</v>
      </c>
      <c r="I57" s="15">
        <f t="shared" si="23"/>
        <v>14.881642743182251</v>
      </c>
      <c r="J57" s="15">
        <f t="shared" si="23"/>
        <v>15.038535110582826</v>
      </c>
      <c r="K57" s="15">
        <f t="shared" si="23"/>
        <v>15.189634393082255</v>
      </c>
      <c r="L57" s="15">
        <f t="shared" si="23"/>
        <v>15.336191638082257</v>
      </c>
      <c r="N57" s="41">
        <v>1075</v>
      </c>
      <c r="O57" s="42">
        <v>9.6009879999900001</v>
      </c>
      <c r="P57" s="43">
        <f t="shared" si="18"/>
        <v>0.63300000000000001</v>
      </c>
      <c r="Q57" s="44">
        <v>0.05</v>
      </c>
      <c r="R57" s="43">
        <v>0.68300000000000005</v>
      </c>
    </row>
    <row r="58" spans="1:18" x14ac:dyDescent="0.35">
      <c r="A58" s="1" t="s">
        <v>156</v>
      </c>
      <c r="B58" s="1"/>
      <c r="C58" s="15">
        <f>IF(C22&lt;&gt;"",C29+C22-C32-C49-C57*$B$29,"")</f>
        <v>7.8867059736492884</v>
      </c>
      <c r="D58" s="15">
        <f t="shared" ref="D58:L58" si="24">IF(D22&lt;&gt;"",D29+D22-D32-D49-D57*$B$29,"")</f>
        <v>7.4756699129530055</v>
      </c>
      <c r="E58" s="15">
        <f t="shared" si="24"/>
        <v>7.8341850308745657</v>
      </c>
      <c r="F58" s="15">
        <f t="shared" si="24"/>
        <v>8.3641987371631927</v>
      </c>
      <c r="G58" s="15">
        <f t="shared" si="24"/>
        <v>8.3581293974185193</v>
      </c>
      <c r="H58" s="15">
        <f t="shared" si="24"/>
        <v>8.5727741633780923</v>
      </c>
      <c r="I58" s="15">
        <f t="shared" si="24"/>
        <v>8.5523425590761502</v>
      </c>
      <c r="J58" s="15">
        <f t="shared" si="24"/>
        <v>8.5333301681947091</v>
      </c>
      <c r="K58" s="15">
        <f t="shared" si="24"/>
        <v>8.5155415057851389</v>
      </c>
      <c r="L58" s="15">
        <f t="shared" si="24"/>
        <v>8.4988712381967346</v>
      </c>
      <c r="N58" s="41">
        <v>1090</v>
      </c>
      <c r="O58" s="42">
        <v>10.857008</v>
      </c>
      <c r="P58" s="43">
        <f t="shared" si="18"/>
        <v>0.3</v>
      </c>
      <c r="Q58" s="40"/>
      <c r="R58" s="43">
        <v>0.3</v>
      </c>
    </row>
    <row r="59" spans="1:18" x14ac:dyDescent="0.35">
      <c r="C59" s="30"/>
      <c r="D59" s="30"/>
      <c r="E59" s="30"/>
      <c r="F59" s="30"/>
      <c r="G59" s="30"/>
    </row>
    <row r="60" spans="1:18" x14ac:dyDescent="0.35">
      <c r="A60" s="1" t="s">
        <v>131</v>
      </c>
      <c r="C60" s="12">
        <f>IF(C$22&lt;&gt;"",0.2,"")</f>
        <v>0.2</v>
      </c>
      <c r="D60" s="12">
        <f t="shared" ref="D60:L60" si="25">IF(D$22&lt;&gt;"",0.2,"")</f>
        <v>0.2</v>
      </c>
      <c r="E60" s="12">
        <f t="shared" si="25"/>
        <v>0.2</v>
      </c>
      <c r="F60" s="12">
        <f t="shared" si="25"/>
        <v>0.2</v>
      </c>
      <c r="G60" s="12">
        <f t="shared" si="25"/>
        <v>0.2</v>
      </c>
      <c r="H60" s="12">
        <f t="shared" si="25"/>
        <v>0.2</v>
      </c>
      <c r="I60" s="12">
        <f t="shared" si="25"/>
        <v>0.2</v>
      </c>
      <c r="J60" s="12">
        <f t="shared" si="25"/>
        <v>0.2</v>
      </c>
      <c r="K60" s="12">
        <f t="shared" si="25"/>
        <v>0.2</v>
      </c>
      <c r="L60" s="12">
        <f t="shared" si="25"/>
        <v>0.2</v>
      </c>
    </row>
    <row r="61" spans="1:18" x14ac:dyDescent="0.35">
      <c r="A61" t="s">
        <v>132</v>
      </c>
      <c r="C61" s="15">
        <f>IF(C$22&lt;&gt;"",C50+C60,"")</f>
        <v>7.0670000000000002</v>
      </c>
      <c r="D61" s="15">
        <f>IF(D$22&lt;&gt;"",D50+D60,"")</f>
        <v>7.0670000000000002</v>
      </c>
      <c r="E61" s="15">
        <f>IF(E$22&lt;&gt;"",E50+E60,"")</f>
        <v>6.9829999999999997</v>
      </c>
      <c r="F61" s="15">
        <f>IF(F$22&lt;&gt;"",F50+F60,"")</f>
        <v>6.9829999999999997</v>
      </c>
      <c r="G61" s="15">
        <f>IF(G$22&lt;&gt;"",G50+G60,"")</f>
        <v>6.9829999999999997</v>
      </c>
      <c r="H61" s="15">
        <f>IF(H$22&lt;&gt;"",H50+H60,"")</f>
        <v>6.9829999999999997</v>
      </c>
      <c r="I61" s="15">
        <f>IF(I$22&lt;&gt;"",I50+I60,"")</f>
        <v>6.9829999999999997</v>
      </c>
      <c r="J61" s="15">
        <f>IF(J$22&lt;&gt;"",J50+J60,"")</f>
        <v>6.9829999999999997</v>
      </c>
      <c r="K61" s="15">
        <f>IF(K$22&lt;&gt;"",K50+K60,"")</f>
        <v>6.9829999999999997</v>
      </c>
      <c r="L61" s="15">
        <f>IF(L$22&lt;&gt;"",L50+L60,"")</f>
        <v>6.9829999999999997</v>
      </c>
    </row>
    <row r="63" spans="1:18" x14ac:dyDescent="0.35">
      <c r="D63" s="19"/>
    </row>
  </sheetData>
  <mergeCells count="4">
    <mergeCell ref="C5:H5"/>
    <mergeCell ref="C6:H6"/>
    <mergeCell ref="C7:H7"/>
    <mergeCell ref="C8:H8"/>
  </mergeCells>
  <conditionalFormatting sqref="H49:L49">
    <cfRule type="cellIs" dxfId="37" priority="33" operator="greaterThan">
      <formula>$C$45</formula>
    </cfRule>
  </conditionalFormatting>
  <conditionalFormatting sqref="H49">
    <cfRule type="cellIs" dxfId="36" priority="27" operator="greaterThan">
      <formula>$H$45</formula>
    </cfRule>
  </conditionalFormatting>
  <conditionalFormatting sqref="I49">
    <cfRule type="cellIs" dxfId="35" priority="26" operator="greaterThan">
      <formula>$I$45</formula>
    </cfRule>
  </conditionalFormatting>
  <conditionalFormatting sqref="J49">
    <cfRule type="cellIs" dxfId="34" priority="25" operator="greaterThan">
      <formula>$J$45</formula>
    </cfRule>
  </conditionalFormatting>
  <conditionalFormatting sqref="K49">
    <cfRule type="cellIs" dxfId="33" priority="24" operator="greaterThan">
      <formula>$K$45</formula>
    </cfRule>
  </conditionalFormatting>
  <conditionalFormatting sqref="L49">
    <cfRule type="cellIs" dxfId="32" priority="23" operator="greaterThan">
      <formula>$L$45</formula>
    </cfRule>
  </conditionalFormatting>
  <conditionalFormatting sqref="H50:L50">
    <cfRule type="cellIs" dxfId="31" priority="21" operator="greaterThan">
      <formula>$D$46</formula>
    </cfRule>
  </conditionalFormatting>
  <conditionalFormatting sqref="H50">
    <cfRule type="cellIs" dxfId="30" priority="16" operator="greaterThan">
      <formula>$H$46</formula>
    </cfRule>
  </conditionalFormatting>
  <conditionalFormatting sqref="I50">
    <cfRule type="cellIs" dxfId="29" priority="15" operator="greaterThan">
      <formula>$I$46</formula>
    </cfRule>
  </conditionalFormatting>
  <conditionalFormatting sqref="J50">
    <cfRule type="cellIs" dxfId="28" priority="14" operator="greaterThan">
      <formula>$J$46</formula>
    </cfRule>
  </conditionalFormatting>
  <conditionalFormatting sqref="K50">
    <cfRule type="cellIs" dxfId="27" priority="13" operator="greaterThan">
      <formula>$K$46</formula>
    </cfRule>
  </conditionalFormatting>
  <conditionalFormatting sqref="L50">
    <cfRule type="cellIs" dxfId="26" priority="12" operator="greaterThan">
      <formula>$L$46</formula>
    </cfRule>
  </conditionalFormatting>
  <conditionalFormatting sqref="C52:L52">
    <cfRule type="cellIs" dxfId="25" priority="11" operator="greaterThan">
      <formula>$C$47</formula>
    </cfRule>
  </conditionalFormatting>
  <conditionalFormatting sqref="C49:G49">
    <cfRule type="cellIs" dxfId="24" priority="1" operator="greaterThan">
      <formula>$C$45</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workbookViewId="0">
      <selection activeCell="P1" sqref="P1"/>
    </sheetView>
  </sheetViews>
  <sheetFormatPr defaultRowHeight="14.5" x14ac:dyDescent="0.35"/>
  <sheetData>
    <row r="1" spans="7:16" ht="36" x14ac:dyDescent="0.8">
      <c r="G1" s="65" t="s">
        <v>41</v>
      </c>
      <c r="P1" s="65" t="s">
        <v>42</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3"/>
  <sheetViews>
    <sheetView topLeftCell="A17" zoomScale="150" zoomScaleNormal="150" workbookViewId="0">
      <selection activeCell="B32" sqref="B3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t="s">
        <v>157</v>
      </c>
      <c r="C5" s="64" t="s">
        <v>158</v>
      </c>
      <c r="D5" s="64"/>
      <c r="E5" s="64"/>
      <c r="F5" s="64"/>
      <c r="G5" s="64"/>
      <c r="H5" s="64"/>
    </row>
    <row r="6" spans="1:11" x14ac:dyDescent="0.35">
      <c r="A6" s="17" t="s">
        <v>41</v>
      </c>
      <c r="B6" s="36" t="s">
        <v>157</v>
      </c>
      <c r="C6" s="64"/>
      <c r="D6" s="64"/>
      <c r="E6" s="64"/>
      <c r="F6" s="64"/>
      <c r="G6" s="64"/>
      <c r="H6" s="64"/>
    </row>
    <row r="7" spans="1:11" x14ac:dyDescent="0.35">
      <c r="A7" s="17" t="s">
        <v>42</v>
      </c>
      <c r="B7" s="36" t="s">
        <v>157</v>
      </c>
      <c r="C7" s="64"/>
      <c r="D7" s="64"/>
      <c r="E7" s="64"/>
      <c r="F7" s="64"/>
      <c r="G7" s="64"/>
      <c r="H7" s="64"/>
    </row>
    <row r="8" spans="1:11" x14ac:dyDescent="0.35">
      <c r="A8" s="17" t="s">
        <v>43</v>
      </c>
      <c r="B8" s="36" t="s">
        <v>157</v>
      </c>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67" t="s">
        <v>159</v>
      </c>
      <c r="E15" s="68"/>
      <c r="F15" s="68"/>
      <c r="G15" s="68"/>
      <c r="H15" s="68"/>
      <c r="I15" s="68"/>
    </row>
    <row r="17" spans="1:13" x14ac:dyDescent="0.35">
      <c r="A17" s="1" t="s">
        <v>33</v>
      </c>
      <c r="B17" s="14" t="s">
        <v>116</v>
      </c>
      <c r="C17" s="14" t="s">
        <v>117</v>
      </c>
    </row>
    <row r="18" spans="1:13" x14ac:dyDescent="0.35">
      <c r="A18" t="s">
        <v>115</v>
      </c>
      <c r="B18" s="12">
        <v>5.73</v>
      </c>
      <c r="C18" s="12">
        <v>6</v>
      </c>
      <c r="D18" s="24" t="s">
        <v>118</v>
      </c>
    </row>
    <row r="19" spans="1:13" x14ac:dyDescent="0.35">
      <c r="A19" t="s">
        <v>151</v>
      </c>
      <c r="B19" s="12">
        <v>11</v>
      </c>
      <c r="C19" s="12">
        <v>10.1</v>
      </c>
      <c r="D19" s="11" t="s">
        <v>35</v>
      </c>
    </row>
    <row r="21" spans="1:13" s="1" customFormat="1" x14ac:dyDescent="0.35">
      <c r="A21" s="48" t="s">
        <v>36</v>
      </c>
      <c r="B21" s="48" t="s">
        <v>50</v>
      </c>
      <c r="C21" s="49" t="s">
        <v>6</v>
      </c>
      <c r="D21" s="49" t="s">
        <v>7</v>
      </c>
      <c r="E21" s="49" t="s">
        <v>8</v>
      </c>
      <c r="F21" s="49" t="s">
        <v>9</v>
      </c>
      <c r="G21" s="49" t="s">
        <v>10</v>
      </c>
      <c r="H21" s="49" t="s">
        <v>11</v>
      </c>
      <c r="I21" s="49" t="s">
        <v>12</v>
      </c>
      <c r="J21" s="49" t="s">
        <v>13</v>
      </c>
      <c r="K21" s="49" t="s">
        <v>37</v>
      </c>
      <c r="L21" s="49" t="s">
        <v>38</v>
      </c>
      <c r="M21" s="49" t="s">
        <v>112</v>
      </c>
    </row>
    <row r="22" spans="1:13" x14ac:dyDescent="0.35">
      <c r="A22" s="1" t="s">
        <v>46</v>
      </c>
      <c r="B22" s="1"/>
      <c r="C22" s="47">
        <v>12.4</v>
      </c>
      <c r="D22" s="47">
        <v>12.4</v>
      </c>
      <c r="E22" s="47">
        <v>12.4</v>
      </c>
      <c r="F22" s="47">
        <v>12.4</v>
      </c>
      <c r="G22" s="47">
        <v>12.4</v>
      </c>
      <c r="H22" s="47">
        <v>12.4</v>
      </c>
      <c r="I22" s="47">
        <v>14.4</v>
      </c>
      <c r="J22" s="47">
        <v>14.4</v>
      </c>
      <c r="K22" s="47">
        <v>14.4</v>
      </c>
      <c r="L22" s="47">
        <v>14.4</v>
      </c>
    </row>
    <row r="23" spans="1:13" x14ac:dyDescent="0.35">
      <c r="A23" s="1" t="s">
        <v>127</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130</v>
      </c>
      <c r="B24" s="1"/>
      <c r="C24" s="15">
        <f>IF(C$22&lt;&gt;"",SUM(C25:C27),"")</f>
        <v>21.1</v>
      </c>
      <c r="D24" s="15">
        <f>IF(D$22&lt;&gt;"",C57,"")</f>
        <v>20.161102320000026</v>
      </c>
      <c r="E24" s="15">
        <f t="shared" ref="E24:L24" si="1">IF(E$22&lt;&gt;"",D57,"")</f>
        <v>19.251005839999458</v>
      </c>
      <c r="F24" s="15">
        <f t="shared" si="1"/>
        <v>18.471346086000029</v>
      </c>
      <c r="G24" s="15">
        <f t="shared" si="1"/>
        <v>17.714356007500029</v>
      </c>
      <c r="H24" s="15">
        <f t="shared" si="1"/>
        <v>16.981009124001204</v>
      </c>
      <c r="I24" s="15">
        <f t="shared" si="1"/>
        <v>16.271009916001205</v>
      </c>
      <c r="J24" s="15">
        <f t="shared" si="1"/>
        <v>17.582619908400638</v>
      </c>
      <c r="K24" s="15">
        <f t="shared" si="1"/>
        <v>18.852832544399469</v>
      </c>
      <c r="L24" s="15">
        <f t="shared" si="1"/>
        <v>20.085216387900068</v>
      </c>
    </row>
    <row r="25" spans="1:13" x14ac:dyDescent="0.35">
      <c r="A25" t="s">
        <v>122</v>
      </c>
      <c r="C25" s="15">
        <f>IF(C$22&lt;&gt;"",$B$19,"")</f>
        <v>11</v>
      </c>
      <c r="D25" s="15">
        <f>IF(D22&lt;&gt;"",C54,"")</f>
        <v>10.442257133649303</v>
      </c>
      <c r="E25" s="15">
        <f t="shared" ref="E25:L25" si="2">IF(E22&lt;&gt;"",D54,"")</f>
        <v>9.9028919646178117</v>
      </c>
      <c r="F25" s="15">
        <f t="shared" si="2"/>
        <v>9.3906334218714242</v>
      </c>
      <c r="G25" s="15">
        <f t="shared" si="2"/>
        <v>8.8957190323188442</v>
      </c>
      <c r="H25" s="15">
        <f t="shared" si="2"/>
        <v>8.4185431968321076</v>
      </c>
      <c r="I25" s="15">
        <f t="shared" si="2"/>
        <v>7.9588448561782004</v>
      </c>
      <c r="J25" s="15">
        <f t="shared" si="2"/>
        <v>9.5156542708912966</v>
      </c>
      <c r="K25" s="15">
        <f t="shared" si="2"/>
        <v>11.00449205836523</v>
      </c>
      <c r="L25" s="15">
        <f t="shared" si="2"/>
        <v>12.432277863190858</v>
      </c>
    </row>
    <row r="26" spans="1:13" x14ac:dyDescent="0.35">
      <c r="A26" t="s">
        <v>123</v>
      </c>
      <c r="C26" s="15">
        <f>IF(C$22&lt;&gt;"",$C$19,"")</f>
        <v>10.1</v>
      </c>
      <c r="D26" s="15">
        <f>IF(D23&lt;&gt;"",C55,"")</f>
        <v>9.718845186350725</v>
      </c>
      <c r="E26" s="15">
        <f t="shared" ref="E26:L27" si="3">IF(E23&lt;&gt;"",D55,"")</f>
        <v>9.3481138753816442</v>
      </c>
      <c r="F26" s="15">
        <f t="shared" si="3"/>
        <v>9.0807126641286047</v>
      </c>
      <c r="G26" s="15">
        <f t="shared" si="3"/>
        <v>8.8186369751811853</v>
      </c>
      <c r="H26" s="15">
        <f t="shared" si="3"/>
        <v>8.5624659271690966</v>
      </c>
      <c r="I26" s="15">
        <f t="shared" si="3"/>
        <v>8.3121650598230055</v>
      </c>
      <c r="J26" s="15">
        <f t="shared" si="3"/>
        <v>8.066965637509341</v>
      </c>
      <c r="K26" s="15">
        <f t="shared" si="3"/>
        <v>7.8483404860342372</v>
      </c>
      <c r="L26" s="15">
        <f t="shared" si="3"/>
        <v>7.6529385247092119</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x14ac:dyDescent="0.35">
      <c r="A28" s="1" t="s">
        <v>121</v>
      </c>
      <c r="C28" s="51"/>
      <c r="D28" s="51"/>
      <c r="E28" s="51"/>
      <c r="F28" s="51"/>
      <c r="G28" s="51"/>
      <c r="H28" s="51"/>
      <c r="I28" s="51"/>
      <c r="J28" s="51"/>
      <c r="K28" s="51"/>
      <c r="L28" s="51"/>
    </row>
    <row r="29" spans="1:13" x14ac:dyDescent="0.35">
      <c r="A29" t="s">
        <v>119</v>
      </c>
      <c r="B29" s="37">
        <v>0.5</v>
      </c>
      <c r="C29" s="15">
        <f>C25</f>
        <v>11</v>
      </c>
      <c r="D29" s="15">
        <f>IF(D22&lt;&gt;"",$B29*D$24,"")</f>
        <v>10.080551160000013</v>
      </c>
      <c r="E29" s="15">
        <f t="shared" ref="D29:L30" si="4">IF(E22&lt;&gt;"",$B29*E$24,"")</f>
        <v>9.6255029199997288</v>
      </c>
      <c r="F29" s="15">
        <f t="shared" si="4"/>
        <v>9.2356730430000145</v>
      </c>
      <c r="G29" s="15">
        <f t="shared" si="4"/>
        <v>8.8571780037500147</v>
      </c>
      <c r="H29" s="15">
        <f t="shared" si="4"/>
        <v>8.4905045620006021</v>
      </c>
      <c r="I29" s="15">
        <f t="shared" si="4"/>
        <v>8.1355049580006025</v>
      </c>
      <c r="J29" s="15">
        <f t="shared" si="4"/>
        <v>8.7913099542003188</v>
      </c>
      <c r="K29" s="15">
        <f t="shared" si="4"/>
        <v>9.4264162721997344</v>
      </c>
      <c r="L29" s="15">
        <f t="shared" si="4"/>
        <v>10.042608193950034</v>
      </c>
    </row>
    <row r="30" spans="1:13" x14ac:dyDescent="0.35">
      <c r="A30" t="s">
        <v>120</v>
      </c>
      <c r="B30" s="37">
        <f>1-B29</f>
        <v>0.5</v>
      </c>
      <c r="C30" s="15">
        <f>C26</f>
        <v>10.1</v>
      </c>
      <c r="D30" s="15">
        <f t="shared" si="4"/>
        <v>10.080551160000013</v>
      </c>
      <c r="E30" s="15">
        <f t="shared" si="4"/>
        <v>9.6255029199997288</v>
      </c>
      <c r="F30" s="15">
        <f t="shared" si="4"/>
        <v>9.2356730430000145</v>
      </c>
      <c r="G30" s="15">
        <f t="shared" si="4"/>
        <v>8.8571780037500147</v>
      </c>
      <c r="H30" s="15">
        <f t="shared" si="4"/>
        <v>8.4905045620006021</v>
      </c>
      <c r="I30" s="15">
        <f t="shared" si="4"/>
        <v>8.1355049580006025</v>
      </c>
      <c r="J30" s="15">
        <f t="shared" si="4"/>
        <v>8.7913099542003188</v>
      </c>
      <c r="K30" s="15">
        <f t="shared" si="4"/>
        <v>9.4264162721997344</v>
      </c>
      <c r="L30" s="15">
        <f t="shared" si="4"/>
        <v>10.042608193950034</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0.99309648000057305</v>
      </c>
      <c r="E31" s="15">
        <f>IF(E$22&lt;&gt;"",VLOOKUP(E29*1000000,'Powell-Elevation-Area'!$B$5:$D$689,3)*$B$18/1000000 + VLOOKUP(E30*1000000,'Mead-Elevation-Area'!$B$5:$D$676,3)*$C$18/1000000,"")</f>
        <v>0.96665975399942705</v>
      </c>
      <c r="F31" s="15">
        <f>IF(F$22&lt;&gt;"",VLOOKUP(F29*1000000,'Powell-Elevation-Area'!$B$5:$D$689,3)*$B$18/1000000 + VLOOKUP(F30*1000000,'Mead-Elevation-Area'!$B$5:$D$676,3)*$C$18/1000000,"")</f>
        <v>0.94399007849999994</v>
      </c>
      <c r="G31" s="15">
        <f>IF(G$22&lt;&gt;"",VLOOKUP(G29*1000000,'Powell-Elevation-Area'!$B$5:$D$689,3)*$B$18/1000000 + VLOOKUP(G30*1000000,'Mead-Elevation-Area'!$B$5:$D$676,3)*$C$18/1000000,"")</f>
        <v>0.92034688349882698</v>
      </c>
      <c r="H31" s="15">
        <f>IF(H$22&lt;&gt;"",VLOOKUP(H29*1000000,'Powell-Elevation-Area'!$B$5:$D$689,3)*$B$18/1000000 + VLOOKUP(H30*1000000,'Mead-Elevation-Area'!$B$5:$D$676,3)*$C$18/1000000,"")</f>
        <v>0.89699920799999999</v>
      </c>
      <c r="I31" s="15">
        <f>IF(I$22&lt;&gt;"",VLOOKUP(I29*1000000,'Powell-Elevation-Area'!$B$5:$D$689,3)*$B$18/1000000 + VLOOKUP(I30*1000000,'Mead-Elevation-Area'!$B$5:$D$676,3)*$C$18/1000000,"")</f>
        <v>0.87539000760057295</v>
      </c>
      <c r="J31" s="15">
        <f>IF(J$22&lt;&gt;"",VLOOKUP(J29*1000000,'Powell-Elevation-Area'!$B$5:$D$689,3)*$B$18/1000000 + VLOOKUP(J30*1000000,'Mead-Elevation-Area'!$B$5:$D$676,3)*$C$18/1000000,"")</f>
        <v>0.916787364001173</v>
      </c>
      <c r="K31" s="15">
        <f>IF(K$22&lt;&gt;"",VLOOKUP(K29*1000000,'Powell-Elevation-Area'!$B$5:$D$689,3)*$B$18/1000000 + VLOOKUP(K30*1000000,'Mead-Elevation-Area'!$B$5:$D$676,3)*$C$18/1000000,"")</f>
        <v>0.95461615649940001</v>
      </c>
      <c r="L31" s="15">
        <f>IF(L$22&lt;&gt;"",VLOOKUP(L29*1000000,'Powell-Elevation-Area'!$B$5:$D$689,3)*$B$18/1000000 + VLOOKUP(L30*1000000,'Mead-Elevation-Area'!$B$5:$D$676,3)*$C$18/1000000,"")</f>
        <v>0.99075068999940008</v>
      </c>
    </row>
    <row r="32" spans="1:13" x14ac:dyDescent="0.35">
      <c r="A32" t="s">
        <v>104</v>
      </c>
      <c r="B32" s="66">
        <f>+D30-C30-C23+SUM(C50:C52)+C33+C34</f>
        <v>8.5867059736492894</v>
      </c>
      <c r="C32" s="15">
        <f>IF(C$22&lt;&gt;"",C$31*C25/C$24,"")</f>
        <v>0.5327428663506969</v>
      </c>
      <c r="D32" s="15">
        <f t="shared" ref="D32:L32" si="5">IF(D$22&lt;&gt;"",D$31*D25/D$24,"")</f>
        <v>0.51436516903149088</v>
      </c>
      <c r="E32" s="15">
        <f t="shared" si="5"/>
        <v>0.49725854274638909</v>
      </c>
      <c r="F32" s="15">
        <f t="shared" si="5"/>
        <v>0.47991438955257931</v>
      </c>
      <c r="G32" s="15">
        <f t="shared" si="5"/>
        <v>0.46217583548673835</v>
      </c>
      <c r="H32" s="15">
        <f t="shared" si="5"/>
        <v>0.4446983406539069</v>
      </c>
      <c r="I32" s="15">
        <f t="shared" si="5"/>
        <v>0.42819058528690651</v>
      </c>
      <c r="J32" s="15">
        <f t="shared" si="5"/>
        <v>0.49616221252606713</v>
      </c>
      <c r="K32" s="15">
        <f t="shared" si="5"/>
        <v>0.55721419517437354</v>
      </c>
      <c r="L32" s="15">
        <f t="shared" si="5"/>
        <v>0.61325143993175557</v>
      </c>
    </row>
    <row r="33" spans="1:13" x14ac:dyDescent="0.35">
      <c r="A33" t="s">
        <v>105</v>
      </c>
      <c r="B33" s="1"/>
      <c r="C33" s="15">
        <f>IF(C$22&lt;&gt;"",C$31*C26/C$24,"")</f>
        <v>0.48915481364927621</v>
      </c>
      <c r="D33" s="15">
        <f t="shared" ref="D33:L33" si="6">IF(D$22&lt;&gt;"",D$31*D26/D$24,"")</f>
        <v>0.47873131096908228</v>
      </c>
      <c r="E33" s="15">
        <f t="shared" si="6"/>
        <v>0.46940121125303785</v>
      </c>
      <c r="F33" s="15">
        <f t="shared" si="6"/>
        <v>0.46407568894742063</v>
      </c>
      <c r="G33" s="15">
        <f t="shared" si="6"/>
        <v>0.45817104801208858</v>
      </c>
      <c r="H33" s="15">
        <f t="shared" si="6"/>
        <v>0.45230086734609315</v>
      </c>
      <c r="I33" s="15">
        <f t="shared" si="6"/>
        <v>0.44719942231366644</v>
      </c>
      <c r="J33" s="15">
        <f t="shared" si="6"/>
        <v>0.42062515147510587</v>
      </c>
      <c r="K33" s="15">
        <f t="shared" si="6"/>
        <v>0.39740196132502636</v>
      </c>
      <c r="L33" s="15">
        <f t="shared" si="6"/>
        <v>0.37749925006764468</v>
      </c>
    </row>
    <row r="34" spans="1:13" x14ac:dyDescent="0.35">
      <c r="A34" t="s">
        <v>106</v>
      </c>
      <c r="B34" s="1"/>
      <c r="C34" s="15">
        <f>IF(C$22&lt;&gt;"",C$31*C27/C$24,"")</f>
        <v>0</v>
      </c>
      <c r="D34" s="15">
        <f t="shared" ref="D34:L34" si="7">IF(D$22&lt;&gt;"",D$31*D27/D$24,"")</f>
        <v>0</v>
      </c>
      <c r="E34" s="15">
        <f t="shared" si="7"/>
        <v>0</v>
      </c>
      <c r="F34" s="15">
        <f t="shared" si="7"/>
        <v>0</v>
      </c>
      <c r="G34" s="15">
        <f t="shared" si="7"/>
        <v>0</v>
      </c>
      <c r="H34" s="15">
        <f t="shared" si="7"/>
        <v>0</v>
      </c>
      <c r="I34" s="15">
        <f t="shared" si="7"/>
        <v>0</v>
      </c>
      <c r="J34" s="15">
        <f t="shared" si="7"/>
        <v>0</v>
      </c>
      <c r="K34" s="15">
        <f t="shared" si="7"/>
        <v>0</v>
      </c>
      <c r="L34" s="15">
        <f t="shared" si="7"/>
        <v>0</v>
      </c>
    </row>
    <row r="35" spans="1:13" x14ac:dyDescent="0.35">
      <c r="A35" s="1" t="s">
        <v>124</v>
      </c>
      <c r="B35" s="1"/>
      <c r="C35" s="45">
        <f>IF(C22&lt;&gt;"",1.5-IF(C$26&lt;$O$51,$Q$51,IF(C$26&lt;=$O$58,VLOOKUP(C$26,$O$51:$Q$58,3),0)),"")</f>
        <v>1.45</v>
      </c>
      <c r="D35" s="45">
        <f t="shared" ref="D35:L35" si="8">IF(D22&lt;&gt;"",1.5-IF(D$26&lt;$O$51,$Q$51,IF(D$26&lt;=$O$58,VLOOKUP(D$26,$O$51:$Q$58,3),0)),"")</f>
        <v>1.45</v>
      </c>
      <c r="E35" s="45">
        <f t="shared" si="8"/>
        <v>1.43</v>
      </c>
      <c r="F35" s="45">
        <f t="shared" si="8"/>
        <v>1.43</v>
      </c>
      <c r="G35" s="45">
        <f t="shared" si="8"/>
        <v>1.43</v>
      </c>
      <c r="H35" s="45">
        <f t="shared" si="8"/>
        <v>1.43</v>
      </c>
      <c r="I35" s="45">
        <f t="shared" si="8"/>
        <v>1.43</v>
      </c>
      <c r="J35" s="45">
        <f t="shared" si="8"/>
        <v>1.43</v>
      </c>
      <c r="K35" s="45">
        <f t="shared" si="8"/>
        <v>1.43</v>
      </c>
      <c r="L35" s="45">
        <f t="shared" si="8"/>
        <v>1.43</v>
      </c>
    </row>
    <row r="36" spans="1:13" x14ac:dyDescent="0.35">
      <c r="A36" s="1" t="s">
        <v>139</v>
      </c>
      <c r="B36" s="1"/>
      <c r="C36" s="15">
        <f>IF(C$22&lt;&gt;"",C22-C35/2,"")</f>
        <v>11.675000000000001</v>
      </c>
      <c r="D36" s="15">
        <f t="shared" ref="D36:L36" si="9">IF(D$22&lt;&gt;"",D22-D35/2,"")</f>
        <v>11.675000000000001</v>
      </c>
      <c r="E36" s="15">
        <f t="shared" si="9"/>
        <v>11.685</v>
      </c>
      <c r="F36" s="15">
        <f t="shared" si="9"/>
        <v>11.685</v>
      </c>
      <c r="G36" s="15">
        <f t="shared" si="9"/>
        <v>11.685</v>
      </c>
      <c r="H36" s="15">
        <f t="shared" si="9"/>
        <v>11.685</v>
      </c>
      <c r="I36" s="15">
        <f t="shared" si="9"/>
        <v>13.685</v>
      </c>
      <c r="J36" s="15">
        <f t="shared" si="9"/>
        <v>13.685</v>
      </c>
      <c r="K36" s="15">
        <f t="shared" si="9"/>
        <v>13.685</v>
      </c>
      <c r="L36" s="15">
        <f t="shared" si="9"/>
        <v>13.685</v>
      </c>
    </row>
    <row r="37" spans="1:13" x14ac:dyDescent="0.35">
      <c r="A37" t="s">
        <v>0</v>
      </c>
      <c r="B37" s="25"/>
      <c r="C37" s="15">
        <f>IF(C21&lt;&gt;"",MAX(0,C36-C38),"")</f>
        <v>4.1750000000000007</v>
      </c>
      <c r="D37" s="15">
        <f t="shared" ref="D37:L37" si="10">IF(D21&lt;&gt;"",MAX(0,D36-D38),"")</f>
        <v>4.1750000000000007</v>
      </c>
      <c r="E37" s="15">
        <f t="shared" si="10"/>
        <v>4.1850000000000005</v>
      </c>
      <c r="F37" s="15">
        <f t="shared" si="10"/>
        <v>4.1850000000000005</v>
      </c>
      <c r="G37" s="15">
        <f t="shared" si="10"/>
        <v>4.1850000000000005</v>
      </c>
      <c r="H37" s="15">
        <f t="shared" si="10"/>
        <v>4.1850000000000005</v>
      </c>
      <c r="I37" s="15">
        <f t="shared" si="10"/>
        <v>6.1850000000000005</v>
      </c>
      <c r="J37" s="15">
        <f t="shared" si="10"/>
        <v>6.1850000000000005</v>
      </c>
      <c r="K37" s="15">
        <f t="shared" si="10"/>
        <v>6.1850000000000005</v>
      </c>
      <c r="L37" s="15">
        <f t="shared" si="10"/>
        <v>6.1850000000000005</v>
      </c>
    </row>
    <row r="38" spans="1:13" x14ac:dyDescent="0.35">
      <c r="A38" t="s">
        <v>1</v>
      </c>
      <c r="B38" s="46">
        <v>7.5</v>
      </c>
      <c r="C38" s="15">
        <f>IF(C22&lt;&gt;"",IF(C36&gt;$B38,$B38,C36),"")</f>
        <v>7.5</v>
      </c>
      <c r="D38" s="15">
        <f t="shared" ref="D38:L38" si="11">IF(D22&lt;&gt;"",IF(D36&gt;$B38,$B38,D36),"")</f>
        <v>7.5</v>
      </c>
      <c r="E38" s="15">
        <f t="shared" si="11"/>
        <v>7.5</v>
      </c>
      <c r="F38" s="15">
        <f t="shared" si="11"/>
        <v>7.5</v>
      </c>
      <c r="G38" s="15">
        <f t="shared" si="11"/>
        <v>7.5</v>
      </c>
      <c r="H38" s="15">
        <f t="shared" si="11"/>
        <v>7.5</v>
      </c>
      <c r="I38" s="15">
        <f t="shared" si="11"/>
        <v>7.5</v>
      </c>
      <c r="J38" s="15">
        <f t="shared" si="11"/>
        <v>7.5</v>
      </c>
      <c r="K38" s="15">
        <f t="shared" si="11"/>
        <v>7.5</v>
      </c>
      <c r="L38" s="15">
        <f t="shared" si="11"/>
        <v>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x14ac:dyDescent="0.35">
      <c r="A42" s="33" t="s">
        <v>110</v>
      </c>
      <c r="B42" s="1"/>
      <c r="C42" s="26"/>
      <c r="D42" s="26"/>
      <c r="E42" s="26"/>
      <c r="F42" s="26"/>
      <c r="G42" s="26"/>
      <c r="H42" s="26"/>
      <c r="I42" s="26"/>
      <c r="J42" s="26"/>
      <c r="K42" s="26"/>
      <c r="L42" s="26"/>
      <c r="M42" s="35"/>
    </row>
    <row r="43" spans="1:13"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14.642257133649304</v>
      </c>
      <c r="D45" s="15">
        <f t="shared" ref="D45:L45" si="12">IF(D$22&lt;&gt;"",D25+D37-D32-D40,"")</f>
        <v>14.102891964617813</v>
      </c>
      <c r="E45" s="15">
        <f t="shared" si="12"/>
        <v>13.590633421871424</v>
      </c>
      <c r="F45" s="15">
        <f t="shared" si="12"/>
        <v>13.095719032318845</v>
      </c>
      <c r="G45" s="15">
        <f t="shared" si="12"/>
        <v>12.618543196832107</v>
      </c>
      <c r="H45" s="15">
        <f t="shared" si="12"/>
        <v>12.158844856178201</v>
      </c>
      <c r="I45" s="15">
        <f t="shared" si="12"/>
        <v>13.715654270891296</v>
      </c>
      <c r="J45" s="15">
        <f t="shared" si="12"/>
        <v>15.204492058365229</v>
      </c>
      <c r="K45" s="15">
        <f t="shared" si="12"/>
        <v>16.632277863190858</v>
      </c>
      <c r="L45" s="15">
        <f t="shared" si="12"/>
        <v>18.004026423259102</v>
      </c>
    </row>
    <row r="46" spans="1:13" x14ac:dyDescent="0.35">
      <c r="A46" t="s">
        <v>3</v>
      </c>
      <c r="C46" s="15">
        <f>IF(C$22&lt;&gt;"",C26+C38-C33+C40+C42+C23-C35/2,"")</f>
        <v>17.185845186350726</v>
      </c>
      <c r="D46" s="15">
        <f t="shared" ref="D46:L46" si="13">IF(D$22&lt;&gt;"",D26+D38-D33+D40+D42+D23-D35/2,"")</f>
        <v>16.815113875381645</v>
      </c>
      <c r="E46" s="15">
        <f t="shared" si="13"/>
        <v>16.463712664128604</v>
      </c>
      <c r="F46" s="15">
        <f t="shared" si="13"/>
        <v>16.201636975181184</v>
      </c>
      <c r="G46" s="15">
        <f t="shared" si="13"/>
        <v>15.945465927169096</v>
      </c>
      <c r="H46" s="15">
        <f t="shared" si="13"/>
        <v>15.695165059823005</v>
      </c>
      <c r="I46" s="15">
        <f t="shared" si="13"/>
        <v>15.44996563750934</v>
      </c>
      <c r="J46" s="15">
        <f t="shared" si="13"/>
        <v>15.231340486034236</v>
      </c>
      <c r="K46" s="15">
        <f t="shared" si="13"/>
        <v>15.035938524709211</v>
      </c>
      <c r="L46" s="15">
        <f t="shared" si="13"/>
        <v>14.860439274641568</v>
      </c>
    </row>
    <row r="47" spans="1:13" x14ac:dyDescent="0.35">
      <c r="A47" t="s">
        <v>4</v>
      </c>
      <c r="C47" s="15">
        <f>IF(C$22&lt;&gt;"",C27+C35-C34-C42,"")</f>
        <v>1.45</v>
      </c>
      <c r="D47" s="15">
        <f t="shared" ref="D47:L47" si="14">IF(D$22&lt;&gt;"",D27+D35-D34-D42,"")</f>
        <v>1.45</v>
      </c>
      <c r="E47" s="15">
        <f t="shared" si="14"/>
        <v>1.43</v>
      </c>
      <c r="F47" s="15">
        <f t="shared" si="14"/>
        <v>1.43</v>
      </c>
      <c r="G47" s="15">
        <f t="shared" si="14"/>
        <v>1.43</v>
      </c>
      <c r="H47" s="15">
        <f t="shared" si="14"/>
        <v>1.43</v>
      </c>
      <c r="I47" s="15">
        <f t="shared" si="14"/>
        <v>1.43</v>
      </c>
      <c r="J47" s="15">
        <f t="shared" si="14"/>
        <v>1.43</v>
      </c>
      <c r="K47" s="15">
        <f t="shared" si="14"/>
        <v>1.43</v>
      </c>
      <c r="L47" s="15">
        <f t="shared" si="14"/>
        <v>1.43</v>
      </c>
    </row>
    <row r="48" spans="1:13" x14ac:dyDescent="0.35">
      <c r="A48" s="1" t="s">
        <v>140</v>
      </c>
      <c r="B48" s="1"/>
      <c r="C48" s="30"/>
      <c r="D48" s="2"/>
      <c r="E48" s="2"/>
      <c r="F48" s="2"/>
      <c r="G48" s="2"/>
      <c r="H48" s="2"/>
      <c r="I48" s="2"/>
      <c r="J48" s="2"/>
      <c r="K48" s="2"/>
      <c r="L48" s="2"/>
    </row>
    <row r="49" spans="1:18" x14ac:dyDescent="0.35">
      <c r="A49" t="s">
        <v>141</v>
      </c>
      <c r="C49" s="45">
        <f>IF(C45&gt;6.1+4.2,4.2,MAX(C45-6.1,0))</f>
        <v>4.2</v>
      </c>
      <c r="D49" s="45">
        <f t="shared" ref="D49:L49" si="15">IF(D45&gt;6.1+4.2,4.2,MAX(D45-6.1,0))</f>
        <v>4.2</v>
      </c>
      <c r="E49" s="45">
        <f t="shared" si="15"/>
        <v>4.2</v>
      </c>
      <c r="F49" s="45">
        <f t="shared" si="15"/>
        <v>4.2</v>
      </c>
      <c r="G49" s="45">
        <f t="shared" si="15"/>
        <v>4.2</v>
      </c>
      <c r="H49" s="45">
        <f t="shared" si="15"/>
        <v>4.2</v>
      </c>
      <c r="I49" s="45">
        <f t="shared" si="15"/>
        <v>4.2</v>
      </c>
      <c r="J49" s="45">
        <f t="shared" si="15"/>
        <v>4.2</v>
      </c>
      <c r="K49" s="45">
        <f t="shared" si="15"/>
        <v>4.2</v>
      </c>
      <c r="L49" s="45">
        <f t="shared" si="15"/>
        <v>4.2</v>
      </c>
      <c r="N49" s="1" t="s">
        <v>133</v>
      </c>
    </row>
    <row r="50" spans="1:18" x14ac:dyDescent="0.35">
      <c r="A50" t="s">
        <v>142</v>
      </c>
      <c r="C50" s="45">
        <f t="shared" ref="C50:L50" si="16">7.5-IF(C$26&lt;$O$51,$P$51,IF(C$26&lt;=$O$58,VLOOKUP(C$26,$O$51:$P$58,2),0))</f>
        <v>6.867</v>
      </c>
      <c r="D50" s="45">
        <f t="shared" si="16"/>
        <v>6.867</v>
      </c>
      <c r="E50" s="45">
        <f t="shared" si="16"/>
        <v>6.7829999999999995</v>
      </c>
      <c r="F50" s="45">
        <f t="shared" si="16"/>
        <v>6.7829999999999995</v>
      </c>
      <c r="G50" s="45">
        <f t="shared" si="16"/>
        <v>6.7829999999999995</v>
      </c>
      <c r="H50" s="45">
        <f t="shared" si="16"/>
        <v>6.7829999999999995</v>
      </c>
      <c r="I50" s="45">
        <f t="shared" si="16"/>
        <v>6.7829999999999995</v>
      </c>
      <c r="J50" s="45">
        <f t="shared" si="16"/>
        <v>6.7829999999999995</v>
      </c>
      <c r="K50" s="45">
        <f t="shared" si="16"/>
        <v>6.7829999999999995</v>
      </c>
      <c r="L50" s="45">
        <f t="shared" si="16"/>
        <v>6.5330000000000004</v>
      </c>
      <c r="N50" s="39" t="s">
        <v>134</v>
      </c>
      <c r="O50" s="39" t="s">
        <v>135</v>
      </c>
      <c r="P50" s="40" t="s">
        <v>136</v>
      </c>
      <c r="Q50" s="40" t="s">
        <v>137</v>
      </c>
      <c r="R50" s="39" t="s">
        <v>138</v>
      </c>
    </row>
    <row r="51" spans="1:18" x14ac:dyDescent="0.35">
      <c r="A51" t="s">
        <v>143</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144</v>
      </c>
      <c r="C52" s="45">
        <f>C35</f>
        <v>1.45</v>
      </c>
      <c r="D52" s="45">
        <f t="shared" ref="D52:L52" si="19">D35</f>
        <v>1.45</v>
      </c>
      <c r="E52" s="45">
        <f t="shared" si="19"/>
        <v>1.43</v>
      </c>
      <c r="F52" s="45">
        <f t="shared" si="19"/>
        <v>1.43</v>
      </c>
      <c r="G52" s="45">
        <f t="shared" si="19"/>
        <v>1.43</v>
      </c>
      <c r="H52" s="45">
        <f t="shared" si="19"/>
        <v>1.43</v>
      </c>
      <c r="I52" s="45">
        <f t="shared" si="19"/>
        <v>1.43</v>
      </c>
      <c r="J52" s="45">
        <f t="shared" si="19"/>
        <v>1.43</v>
      </c>
      <c r="K52" s="45">
        <f t="shared" si="19"/>
        <v>1.43</v>
      </c>
      <c r="L52" s="45">
        <f t="shared" si="19"/>
        <v>1.43</v>
      </c>
      <c r="N52" s="41">
        <v>1030</v>
      </c>
      <c r="O52" s="42">
        <v>6.305377</v>
      </c>
      <c r="P52" s="43">
        <f t="shared" si="18"/>
        <v>1.117</v>
      </c>
      <c r="Q52" s="44">
        <v>7.0000000000000007E-2</v>
      </c>
      <c r="R52" s="43">
        <v>1.1870000000000001</v>
      </c>
    </row>
    <row r="53" spans="1:18" x14ac:dyDescent="0.35">
      <c r="A53" s="1" t="s">
        <v>5</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10.442257133649303</v>
      </c>
      <c r="D54" s="15">
        <f t="shared" ref="D54:L54" si="20">IF(D$22&lt;&gt;"",D45-D49,"")</f>
        <v>9.9028919646178117</v>
      </c>
      <c r="E54" s="15">
        <f t="shared" si="20"/>
        <v>9.3906334218714242</v>
      </c>
      <c r="F54" s="15">
        <f t="shared" si="20"/>
        <v>8.8957190323188442</v>
      </c>
      <c r="G54" s="15">
        <f t="shared" si="20"/>
        <v>8.4185431968321076</v>
      </c>
      <c r="H54" s="15">
        <f t="shared" si="20"/>
        <v>7.9588448561782004</v>
      </c>
      <c r="I54" s="15">
        <f t="shared" si="20"/>
        <v>9.5156542708912966</v>
      </c>
      <c r="J54" s="15">
        <f t="shared" si="20"/>
        <v>11.00449205836523</v>
      </c>
      <c r="K54" s="15">
        <f t="shared" si="20"/>
        <v>12.432277863190858</v>
      </c>
      <c r="L54" s="15">
        <f t="shared" si="20"/>
        <v>13.804026423259103</v>
      </c>
      <c r="N54" s="41">
        <v>1040</v>
      </c>
      <c r="O54" s="42">
        <v>6.977665</v>
      </c>
      <c r="P54" s="43">
        <f t="shared" si="18"/>
        <v>1.0169999999999999</v>
      </c>
      <c r="Q54" s="44">
        <v>7.0000000000000007E-2</v>
      </c>
      <c r="R54" s="43">
        <v>1.087</v>
      </c>
    </row>
    <row r="55" spans="1:18" x14ac:dyDescent="0.35">
      <c r="A55" t="s">
        <v>3</v>
      </c>
      <c r="C55" s="15">
        <f>IF(C$22&lt;&gt;"",C46-C50-C51,"")</f>
        <v>9.718845186350725</v>
      </c>
      <c r="D55" s="15">
        <f t="shared" ref="D55:K55" si="21">IF(D$22&lt;&gt;"",D46-D50-D51,"")</f>
        <v>9.3481138753816442</v>
      </c>
      <c r="E55" s="15">
        <f t="shared" si="21"/>
        <v>9.0807126641286047</v>
      </c>
      <c r="F55" s="15">
        <f t="shared" si="21"/>
        <v>8.8186369751811853</v>
      </c>
      <c r="G55" s="15">
        <f t="shared" si="21"/>
        <v>8.5624659271690966</v>
      </c>
      <c r="H55" s="15">
        <f t="shared" si="21"/>
        <v>8.3121650598230055</v>
      </c>
      <c r="I55" s="15">
        <f t="shared" si="21"/>
        <v>8.066965637509341</v>
      </c>
      <c r="J55" s="15">
        <f t="shared" si="21"/>
        <v>7.8483404860342372</v>
      </c>
      <c r="K55" s="15">
        <f t="shared" si="21"/>
        <v>7.6529385247092119</v>
      </c>
      <c r="L55" s="15">
        <f>IF(L$22&lt;&gt;"",L46-L50-L51,"")</f>
        <v>7.7274392746415668</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8"/>
        <v>0.71700000000000008</v>
      </c>
      <c r="Q56" s="44">
        <v>7.0000000000000007E-2</v>
      </c>
      <c r="R56" s="43">
        <v>0.78700000000000003</v>
      </c>
    </row>
    <row r="57" spans="1:18" x14ac:dyDescent="0.35">
      <c r="A57" s="1" t="s">
        <v>129</v>
      </c>
      <c r="B57" s="1"/>
      <c r="C57" s="15">
        <f>IF(C$22&lt;&gt;"",SUM(C54:C56),"")</f>
        <v>20.161102320000026</v>
      </c>
      <c r="D57" s="15">
        <f t="shared" ref="D57:L57" si="23">IF(D$22&lt;&gt;"",SUM(D54:D56),"")</f>
        <v>19.251005839999458</v>
      </c>
      <c r="E57" s="15">
        <f t="shared" si="23"/>
        <v>18.471346086000029</v>
      </c>
      <c r="F57" s="15">
        <f t="shared" si="23"/>
        <v>17.714356007500029</v>
      </c>
      <c r="G57" s="15">
        <f t="shared" si="23"/>
        <v>16.981009124001204</v>
      </c>
      <c r="H57" s="15">
        <f t="shared" si="23"/>
        <v>16.271009916001205</v>
      </c>
      <c r="I57" s="15">
        <f t="shared" si="23"/>
        <v>17.582619908400638</v>
      </c>
      <c r="J57" s="15">
        <f t="shared" si="23"/>
        <v>18.852832544399469</v>
      </c>
      <c r="K57" s="15">
        <f t="shared" si="23"/>
        <v>20.085216387900068</v>
      </c>
      <c r="L57" s="15">
        <f t="shared" si="23"/>
        <v>21.531465697900671</v>
      </c>
      <c r="N57" s="41">
        <v>1075</v>
      </c>
      <c r="O57" s="42">
        <v>9.6009879999900001</v>
      </c>
      <c r="P57" s="43">
        <f t="shared" si="18"/>
        <v>0.63300000000000001</v>
      </c>
      <c r="Q57" s="44">
        <v>0.05</v>
      </c>
      <c r="R57" s="43">
        <v>0.68300000000000005</v>
      </c>
    </row>
    <row r="58" spans="1:18" x14ac:dyDescent="0.35">
      <c r="A58" s="1" t="s">
        <v>156</v>
      </c>
      <c r="B58" s="1"/>
      <c r="C58" s="15">
        <f>IF(C22&lt;&gt;"",C29+C22-C32-C49-C57*$B$29,"")</f>
        <v>8.5867059736492877</v>
      </c>
      <c r="D58" s="15">
        <f t="shared" ref="D58:L58" si="24">IF(D22&lt;&gt;"",D29+D22-D32-D49-D57*$B$29,"")</f>
        <v>8.140683070968791</v>
      </c>
      <c r="E58" s="15">
        <f t="shared" si="24"/>
        <v>8.0925713342533268</v>
      </c>
      <c r="F58" s="15">
        <f t="shared" si="24"/>
        <v>8.0985806496974213</v>
      </c>
      <c r="G58" s="15">
        <f t="shared" si="24"/>
        <v>8.1044976062626723</v>
      </c>
      <c r="H58" s="15">
        <f t="shared" si="24"/>
        <v>8.1103012633460914</v>
      </c>
      <c r="I58" s="15">
        <f t="shared" si="24"/>
        <v>9.1160044185133771</v>
      </c>
      <c r="J58" s="15">
        <f t="shared" si="24"/>
        <v>9.0687314694745211</v>
      </c>
      <c r="K58" s="15">
        <f t="shared" si="24"/>
        <v>9.0265938830753285</v>
      </c>
      <c r="L58" s="15">
        <f t="shared" si="24"/>
        <v>8.8636239050679464</v>
      </c>
      <c r="N58" s="41">
        <v>1090</v>
      </c>
      <c r="O58" s="42">
        <v>10.857008</v>
      </c>
      <c r="P58" s="43">
        <f t="shared" si="18"/>
        <v>0.3</v>
      </c>
      <c r="Q58" s="40"/>
      <c r="R58" s="43">
        <v>0.3</v>
      </c>
    </row>
    <row r="60" spans="1:18" x14ac:dyDescent="0.35">
      <c r="A60" s="1" t="s">
        <v>131</v>
      </c>
      <c r="C60" s="12">
        <f>IF(C$22&lt;&gt;"",0.2,"")</f>
        <v>0.2</v>
      </c>
      <c r="D60" s="12">
        <f t="shared" ref="D60:L60" si="25">IF(D$22&lt;&gt;"",0.2,"")</f>
        <v>0.2</v>
      </c>
      <c r="E60" s="12">
        <f t="shared" si="25"/>
        <v>0.2</v>
      </c>
      <c r="F60" s="12">
        <f t="shared" si="25"/>
        <v>0.2</v>
      </c>
      <c r="G60" s="12">
        <f t="shared" si="25"/>
        <v>0.2</v>
      </c>
      <c r="H60" s="12">
        <f t="shared" si="25"/>
        <v>0.2</v>
      </c>
      <c r="I60" s="12">
        <f t="shared" si="25"/>
        <v>0.2</v>
      </c>
      <c r="J60" s="12">
        <f t="shared" si="25"/>
        <v>0.2</v>
      </c>
      <c r="K60" s="12">
        <f t="shared" si="25"/>
        <v>0.2</v>
      </c>
      <c r="L60" s="12">
        <f t="shared" si="25"/>
        <v>0.2</v>
      </c>
    </row>
    <row r="61" spans="1:18" x14ac:dyDescent="0.35">
      <c r="A61" t="s">
        <v>132</v>
      </c>
      <c r="C61" s="15">
        <f>IF(C$22&lt;&gt;"",C50+C60,"")</f>
        <v>7.0670000000000002</v>
      </c>
      <c r="D61" s="15">
        <f>IF(D$22&lt;&gt;"",D50+D60,"")</f>
        <v>7.0670000000000002</v>
      </c>
      <c r="E61" s="15">
        <f>IF(E$22&lt;&gt;"",E50+E60,"")</f>
        <v>6.9829999999999997</v>
      </c>
      <c r="F61" s="15">
        <f>IF(F$22&lt;&gt;"",F50+F60,"")</f>
        <v>6.9829999999999997</v>
      </c>
      <c r="G61" s="15">
        <f>IF(G$22&lt;&gt;"",G50+G60,"")</f>
        <v>6.9829999999999997</v>
      </c>
      <c r="H61" s="15">
        <f>IF(H$22&lt;&gt;"",H50+H60,"")</f>
        <v>6.9829999999999997</v>
      </c>
      <c r="I61" s="15">
        <f>IF(I$22&lt;&gt;"",I50+I60,"")</f>
        <v>6.9829999999999997</v>
      </c>
      <c r="J61" s="15">
        <f>IF(J$22&lt;&gt;"",J50+J60,"")</f>
        <v>6.9829999999999997</v>
      </c>
      <c r="K61" s="15">
        <f>IF(K$22&lt;&gt;"",K50+K60,"")</f>
        <v>6.9829999999999997</v>
      </c>
      <c r="L61" s="15">
        <f>IF(L$22&lt;&gt;"",L50+L60,"")</f>
        <v>6.7330000000000005</v>
      </c>
    </row>
    <row r="63" spans="1:18" x14ac:dyDescent="0.35">
      <c r="D63" s="19"/>
    </row>
  </sheetData>
  <mergeCells count="5">
    <mergeCell ref="C5:H5"/>
    <mergeCell ref="C6:H6"/>
    <mergeCell ref="C7:H7"/>
    <mergeCell ref="C8:H8"/>
    <mergeCell ref="D15:I15"/>
  </mergeCells>
  <conditionalFormatting sqref="C49:L49">
    <cfRule type="cellIs" dxfId="23" priority="1" operator="greaterThan">
      <formula>$C$45</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583FB-2133-4215-BF55-5657B6D72C84}">
  <dimension ref="G1:P1"/>
  <sheetViews>
    <sheetView topLeftCell="A2" workbookViewId="0">
      <selection activeCell="X29" sqref="X29"/>
    </sheetView>
  </sheetViews>
  <sheetFormatPr defaultRowHeight="14.5" x14ac:dyDescent="0.35"/>
  <sheetData>
    <row r="1" spans="7:16" ht="36" x14ac:dyDescent="0.8">
      <c r="G1" s="65"/>
      <c r="P1" s="65"/>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57</v>
      </c>
    </row>
    <row r="3" spans="1:24" x14ac:dyDescent="0.35">
      <c r="A3" t="s">
        <v>79</v>
      </c>
    </row>
    <row r="5" spans="1:24" s="1" customFormat="1" x14ac:dyDescent="0.35">
      <c r="A5" s="1" t="s">
        <v>59</v>
      </c>
      <c r="B5" s="1" t="s">
        <v>58</v>
      </c>
      <c r="C5" s="14" t="s">
        <v>6</v>
      </c>
      <c r="D5" s="14" t="s">
        <v>7</v>
      </c>
      <c r="E5" s="14" t="s">
        <v>8</v>
      </c>
      <c r="F5" s="14" t="s">
        <v>9</v>
      </c>
      <c r="G5" s="14" t="s">
        <v>10</v>
      </c>
      <c r="H5" s="14" t="s">
        <v>11</v>
      </c>
      <c r="I5" s="14" t="s">
        <v>12</v>
      </c>
      <c r="J5" s="14" t="s">
        <v>13</v>
      </c>
      <c r="K5" s="14" t="s">
        <v>37</v>
      </c>
      <c r="L5" s="14" t="s">
        <v>38</v>
      </c>
      <c r="M5" s="14" t="s">
        <v>62</v>
      </c>
      <c r="N5" s="14" t="s">
        <v>63</v>
      </c>
      <c r="O5" s="14" t="s">
        <v>64</v>
      </c>
      <c r="P5" s="14" t="s">
        <v>65</v>
      </c>
      <c r="Q5" s="14" t="s">
        <v>66</v>
      </c>
      <c r="R5" s="14" t="s">
        <v>67</v>
      </c>
      <c r="S5" s="14" t="s">
        <v>68</v>
      </c>
      <c r="T5" s="14" t="s">
        <v>69</v>
      </c>
      <c r="U5" s="14" t="s">
        <v>70</v>
      </c>
      <c r="V5" s="1" t="s">
        <v>86</v>
      </c>
      <c r="W5" s="1" t="s">
        <v>87</v>
      </c>
      <c r="X5" s="1" t="s">
        <v>60</v>
      </c>
    </row>
    <row r="6" spans="1:24" x14ac:dyDescent="0.35">
      <c r="A6" t="s">
        <v>89</v>
      </c>
      <c r="B6" t="s">
        <v>90</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74</v>
      </c>
    </row>
    <row r="7" spans="1:24" x14ac:dyDescent="0.35">
      <c r="A7" t="s">
        <v>91</v>
      </c>
      <c r="B7" t="s">
        <v>61</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74</v>
      </c>
    </row>
    <row r="8" spans="1:24" x14ac:dyDescent="0.35">
      <c r="A8" t="s">
        <v>92</v>
      </c>
      <c r="B8" t="s">
        <v>76</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75</v>
      </c>
    </row>
    <row r="9" spans="1:24" x14ac:dyDescent="0.35">
      <c r="A9" t="s">
        <v>92</v>
      </c>
      <c r="B9" t="s">
        <v>77</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75</v>
      </c>
    </row>
    <row r="10" spans="1:24" x14ac:dyDescent="0.35">
      <c r="A10" t="s">
        <v>92</v>
      </c>
      <c r="B10" t="s">
        <v>78</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75</v>
      </c>
    </row>
    <row r="11" spans="1:24" x14ac:dyDescent="0.35">
      <c r="A11" t="s">
        <v>80</v>
      </c>
      <c r="B11" t="s">
        <v>93</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82</v>
      </c>
      <c r="B12" t="s">
        <v>83</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85</v>
      </c>
    </row>
    <row r="13" spans="1:24" x14ac:dyDescent="0.35">
      <c r="A13" t="s">
        <v>84</v>
      </c>
      <c r="B13" t="s">
        <v>83</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85</v>
      </c>
    </row>
    <row r="14" spans="1:24" x14ac:dyDescent="0.35">
      <c r="A14" t="s">
        <v>81</v>
      </c>
      <c r="B14" t="s">
        <v>83</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74</v>
      </c>
    </row>
    <row r="15" spans="1:24" x14ac:dyDescent="0.35">
      <c r="A15" t="s">
        <v>88</v>
      </c>
      <c r="B15" t="s">
        <v>76</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75</v>
      </c>
    </row>
    <row r="16" spans="1:24" x14ac:dyDescent="0.35">
      <c r="A16" t="s">
        <v>88</v>
      </c>
      <c r="B16" t="s">
        <v>77</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75</v>
      </c>
    </row>
    <row r="18" spans="1:21" x14ac:dyDescent="0.35">
      <c r="A18" s="1" t="s">
        <v>94</v>
      </c>
    </row>
    <row r="19" spans="1:21" x14ac:dyDescent="0.35">
      <c r="A19" t="s">
        <v>71</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72</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73</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126</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21"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114</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52"/>
      <c r="C5" s="64"/>
      <c r="D5" s="64"/>
      <c r="E5" s="64"/>
      <c r="F5" s="64"/>
      <c r="G5" s="64"/>
      <c r="H5" s="64"/>
    </row>
    <row r="6" spans="1:11" x14ac:dyDescent="0.35">
      <c r="A6" s="17" t="s">
        <v>41</v>
      </c>
      <c r="B6" s="52"/>
      <c r="C6" s="64"/>
      <c r="D6" s="64"/>
      <c r="E6" s="64"/>
      <c r="F6" s="64"/>
      <c r="G6" s="64"/>
      <c r="H6" s="64"/>
    </row>
    <row r="7" spans="1:11" x14ac:dyDescent="0.35">
      <c r="A7" s="17" t="s">
        <v>42</v>
      </c>
      <c r="B7" s="52"/>
      <c r="C7" s="64"/>
      <c r="D7" s="64"/>
      <c r="E7" s="64"/>
      <c r="F7" s="64"/>
      <c r="G7" s="64"/>
      <c r="H7" s="64"/>
    </row>
    <row r="8" spans="1:11" x14ac:dyDescent="0.35">
      <c r="A8" s="17" t="s">
        <v>43</v>
      </c>
      <c r="B8" s="52"/>
      <c r="C8" s="64"/>
      <c r="D8" s="64"/>
      <c r="E8" s="64"/>
      <c r="F8" s="64"/>
      <c r="G8" s="64"/>
      <c r="H8" s="64"/>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55</v>
      </c>
      <c r="D15" s="21"/>
    </row>
    <row r="17" spans="1:13" x14ac:dyDescent="0.35">
      <c r="A17" s="1" t="s">
        <v>33</v>
      </c>
      <c r="B17" s="1" t="s">
        <v>116</v>
      </c>
      <c r="C17" s="14" t="s">
        <v>117</v>
      </c>
    </row>
    <row r="18" spans="1:13" x14ac:dyDescent="0.35">
      <c r="A18" t="s">
        <v>115</v>
      </c>
      <c r="B18" s="12">
        <v>5.73</v>
      </c>
      <c r="C18" s="12">
        <v>6</v>
      </c>
      <c r="D18" s="24" t="s">
        <v>146</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112</v>
      </c>
    </row>
    <row r="22" spans="1:13" x14ac:dyDescent="0.35">
      <c r="A22" s="1" t="s">
        <v>46</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127</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130</v>
      </c>
      <c r="B24" s="1"/>
      <c r="C24" s="15">
        <f>IF(C$22&lt;&gt;"",SUM(C25:C27),"")</f>
        <v>21.1</v>
      </c>
      <c r="D24" s="15">
        <f>IF(D$22&lt;&gt;"",C57,"")</f>
        <v>18.71110232000003</v>
      </c>
      <c r="E24" s="15">
        <f t="shared" ref="E24:L24" si="2">IF(E$22&lt;&gt;"",D57,"")</f>
        <v>16.392913683000028</v>
      </c>
      <c r="F24" s="15">
        <f t="shared" si="2"/>
        <v>15.05395331571655</v>
      </c>
      <c r="G24" s="15">
        <f t="shared" si="2"/>
        <v>14.723767238139169</v>
      </c>
      <c r="H24" s="15">
        <f t="shared" si="2"/>
        <v>14.407226771938737</v>
      </c>
      <c r="I24" s="15">
        <f t="shared" si="2"/>
        <v>14.508747251838164</v>
      </c>
      <c r="J24" s="15">
        <f t="shared" si="2"/>
        <v>14.607996684339339</v>
      </c>
      <c r="K24" s="15">
        <f t="shared" si="2"/>
        <v>14.702710079338168</v>
      </c>
      <c r="L24" s="15">
        <f t="shared" si="2"/>
        <v>14.795152484238169</v>
      </c>
    </row>
    <row r="25" spans="1:13" x14ac:dyDescent="0.35">
      <c r="A25" t="s">
        <v>122</v>
      </c>
      <c r="C25" s="15">
        <f>IF(C$22&lt;&gt;"",$B$19,"")</f>
        <v>11</v>
      </c>
      <c r="D25" s="15">
        <f>IF(D22&lt;&gt;"",C54,"")</f>
        <v>9.0172571336493021</v>
      </c>
      <c r="E25" s="15">
        <f t="shared" ref="E25:L27" si="3">IF(E22&lt;&gt;"",D54,"")</f>
        <v>7.1088601682676069</v>
      </c>
      <c r="F25" s="15">
        <f t="shared" si="3"/>
        <v>6.1</v>
      </c>
      <c r="G25" s="15">
        <f t="shared" si="3"/>
        <v>6.1</v>
      </c>
      <c r="H25" s="15">
        <f t="shared" si="3"/>
        <v>6.1</v>
      </c>
      <c r="I25" s="15">
        <f t="shared" si="3"/>
        <v>6.5047270927738641</v>
      </c>
      <c r="J25" s="15">
        <f t="shared" si="3"/>
        <v>6.8881038289447343</v>
      </c>
      <c r="K25" s="15">
        <f t="shared" si="3"/>
        <v>7.2503712989619817</v>
      </c>
      <c r="L25" s="15">
        <f t="shared" si="3"/>
        <v>7.5937558729898971</v>
      </c>
    </row>
    <row r="26" spans="1:13" x14ac:dyDescent="0.35">
      <c r="A26" t="s">
        <v>123</v>
      </c>
      <c r="C26" s="15">
        <f>IF(C$22&lt;&gt;"",$C$19,"")</f>
        <v>10.1</v>
      </c>
      <c r="D26" s="15">
        <f>IF(D23&lt;&gt;"",C55,"")</f>
        <v>9.6938451863507265</v>
      </c>
      <c r="E26" s="15">
        <f t="shared" si="3"/>
        <v>9.2840535147324221</v>
      </c>
      <c r="F26" s="15">
        <f t="shared" si="3"/>
        <v>8.9539533157165501</v>
      </c>
      <c r="G26" s="15">
        <f t="shared" si="3"/>
        <v>8.6237672381391697</v>
      </c>
      <c r="H26" s="15">
        <f t="shared" si="3"/>
        <v>8.3072267719387369</v>
      </c>
      <c r="I26" s="15">
        <f t="shared" si="3"/>
        <v>8.0040201590643001</v>
      </c>
      <c r="J26" s="15">
        <f t="shared" si="3"/>
        <v>7.7198928553946047</v>
      </c>
      <c r="K26" s="15">
        <f t="shared" si="3"/>
        <v>7.452338780376186</v>
      </c>
      <c r="L26" s="15">
        <f t="shared" si="3"/>
        <v>7.2013966112482724</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hidden="1" x14ac:dyDescent="0.35">
      <c r="A28" s="1" t="s">
        <v>121</v>
      </c>
      <c r="C28"/>
    </row>
    <row r="29" spans="1:13" hidden="1" x14ac:dyDescent="0.35">
      <c r="A29" t="s">
        <v>119</v>
      </c>
      <c r="B29" s="37">
        <v>0.5</v>
      </c>
      <c r="C29" s="15">
        <f>C25</f>
        <v>11</v>
      </c>
      <c r="D29" s="15">
        <f t="shared" ref="D29:L30" si="4">IF(D22&lt;&gt;"",$B29*D$24,"")</f>
        <v>9.3555511600000152</v>
      </c>
      <c r="E29" s="15">
        <f t="shared" si="4"/>
        <v>8.1964568415000141</v>
      </c>
      <c r="F29" s="15">
        <f t="shared" si="4"/>
        <v>7.5269766578582749</v>
      </c>
      <c r="G29" s="15">
        <f t="shared" si="4"/>
        <v>7.3618836190695847</v>
      </c>
      <c r="H29" s="15">
        <f t="shared" si="4"/>
        <v>7.2036133859693683</v>
      </c>
      <c r="I29" s="15">
        <f t="shared" si="4"/>
        <v>7.2543736259190821</v>
      </c>
      <c r="J29" s="15">
        <f t="shared" si="4"/>
        <v>7.3039983421696695</v>
      </c>
      <c r="K29" s="15">
        <f t="shared" si="4"/>
        <v>7.3513550396690839</v>
      </c>
      <c r="L29" s="15">
        <f t="shared" si="4"/>
        <v>7.3975762421190847</v>
      </c>
    </row>
    <row r="30" spans="1:13" hidden="1" x14ac:dyDescent="0.35">
      <c r="A30" t="s">
        <v>120</v>
      </c>
      <c r="B30" s="37">
        <f>1-B29</f>
        <v>0.5</v>
      </c>
      <c r="C30" s="15">
        <f>C26</f>
        <v>10.1</v>
      </c>
      <c r="D30" s="15">
        <f t="shared" si="4"/>
        <v>9.3555511600000152</v>
      </c>
      <c r="E30" s="15">
        <f t="shared" si="4"/>
        <v>8.1964568415000141</v>
      </c>
      <c r="F30" s="15">
        <f t="shared" si="4"/>
        <v>7.5269766578582749</v>
      </c>
      <c r="G30" s="15">
        <f t="shared" si="4"/>
        <v>7.3618836190695847</v>
      </c>
      <c r="H30" s="15">
        <f t="shared" si="4"/>
        <v>7.2036133859693683</v>
      </c>
      <c r="I30" s="15">
        <f t="shared" si="4"/>
        <v>7.2543736259190821</v>
      </c>
      <c r="J30" s="15">
        <f t="shared" si="4"/>
        <v>7.3039983421696695</v>
      </c>
      <c r="K30" s="15">
        <f t="shared" si="4"/>
        <v>7.3513550396690839</v>
      </c>
      <c r="L30" s="15">
        <f t="shared" si="4"/>
        <v>7.3975762421190847</v>
      </c>
    </row>
    <row r="31" spans="1:13" x14ac:dyDescent="0.35">
      <c r="A31" s="1" t="s">
        <v>125</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0.951188637</v>
      </c>
      <c r="E31" s="15">
        <f>IF(E$22&lt;&gt;"",VLOOKUP(E29*1000000,'Powell-Elevation-Area'!$B$5:$D$689,3)*$B$18/1000000 + VLOOKUP(E30*1000000,'Mead-Elevation-Area'!$B$5:$D$676,3)*$C$18/1000000,"")</f>
        <v>0.87773305499997312</v>
      </c>
      <c r="F31" s="15">
        <f>IF(F$22&lt;&gt;"",VLOOKUP(F29*1000000,'Powell-Elevation-Area'!$B$5:$D$689,3)*$B$18/1000000 + VLOOKUP(F30*1000000,'Mead-Elevation-Area'!$B$5:$D$676,3)*$C$18/1000000,"")</f>
        <v>0.83590071750057304</v>
      </c>
      <c r="G31" s="15">
        <f>IF(G$22&lt;&gt;"",VLOOKUP(G29*1000000,'Powell-Elevation-Area'!$B$5:$D$689,3)*$B$18/1000000 + VLOOKUP(G30*1000000,'Mead-Elevation-Area'!$B$5:$D$676,3)*$C$18/1000000,"")</f>
        <v>0.82557159509940004</v>
      </c>
      <c r="H31" s="15">
        <f>IF(H$22&lt;&gt;"",VLOOKUP(H29*1000000,'Powell-Elevation-Area'!$B$5:$D$689,3)*$B$18/1000000 + VLOOKUP(H30*1000000,'Mead-Elevation-Area'!$B$5:$D$676,3)*$C$18/1000000,"")</f>
        <v>0.81547952010057301</v>
      </c>
      <c r="I31" s="15">
        <f>IF(I$22&lt;&gt;"",VLOOKUP(I29*1000000,'Powell-Elevation-Area'!$B$5:$D$689,3)*$B$18/1000000 + VLOOKUP(I30*1000000,'Mead-Elevation-Area'!$B$5:$D$676,3)*$C$18/1000000,"")</f>
        <v>0.81775056749882702</v>
      </c>
      <c r="J31" s="15">
        <f>IF(J$22&lt;&gt;"",VLOOKUP(J29*1000000,'Powell-Elevation-Area'!$B$5:$D$689,3)*$B$18/1000000 + VLOOKUP(J30*1000000,'Mead-Elevation-Area'!$B$5:$D$676,3)*$C$18/1000000,"")</f>
        <v>0.82228660500117301</v>
      </c>
      <c r="K31" s="15">
        <f>IF(K$22&lt;&gt;"",VLOOKUP(K29*1000000,'Powell-Elevation-Area'!$B$5:$D$689,3)*$B$18/1000000 + VLOOKUP(K30*1000000,'Mead-Elevation-Area'!$B$5:$D$676,3)*$C$18/1000000,"")</f>
        <v>0.82455759509999993</v>
      </c>
      <c r="L31" s="15">
        <f>IF(L$22&lt;&gt;"",VLOOKUP(L29*1000000,'Powell-Elevation-Area'!$B$5:$D$689,3)*$B$18/1000000 + VLOOKUP(L30*1000000,'Mead-Elevation-Area'!$B$5:$D$676,3)*$C$18/1000000,"")</f>
        <v>0.82783664249940003</v>
      </c>
    </row>
    <row r="32" spans="1:13" hidden="1" x14ac:dyDescent="0.35">
      <c r="A32" t="s">
        <v>104</v>
      </c>
      <c r="B32" s="1"/>
      <c r="C32" s="15">
        <f>IF(C$22&lt;&gt;"",C$31*C25/C$24,"")</f>
        <v>0.5327428663506969</v>
      </c>
      <c r="D32" s="15">
        <f t="shared" ref="D32:L34" si="5">IF(D$22&lt;&gt;"",D$31*D25/D$24,"")</f>
        <v>0.458396965381695</v>
      </c>
      <c r="E32" s="15">
        <f t="shared" si="5"/>
        <v>0.38063285598410107</v>
      </c>
      <c r="F32" s="15">
        <f t="shared" si="5"/>
        <v>0.33871463992319345</v>
      </c>
      <c r="G32" s="15">
        <f t="shared" si="5"/>
        <v>0.34203112889896525</v>
      </c>
      <c r="H32" s="15">
        <f t="shared" si="5"/>
        <v>0.34527290722613518</v>
      </c>
      <c r="I32" s="15">
        <f t="shared" si="5"/>
        <v>0.36662326382912958</v>
      </c>
      <c r="J32" s="15">
        <f t="shared" si="5"/>
        <v>0.38773252998275209</v>
      </c>
      <c r="K32" s="15">
        <f t="shared" si="5"/>
        <v>0.40661542597208489</v>
      </c>
      <c r="L32" s="15">
        <f t="shared" si="5"/>
        <v>0.42489520622063093</v>
      </c>
    </row>
    <row r="33" spans="1:13" hidden="1" x14ac:dyDescent="0.35">
      <c r="A33" t="s">
        <v>105</v>
      </c>
      <c r="B33" s="1"/>
      <c r="C33" s="15">
        <f>IF(C$22&lt;&gt;"",C$31*C26/C$24,"")</f>
        <v>0.48915481364927621</v>
      </c>
      <c r="D33" s="15">
        <f t="shared" si="5"/>
        <v>0.49279167161830495</v>
      </c>
      <c r="E33" s="15">
        <f t="shared" si="5"/>
        <v>0.4971001990158721</v>
      </c>
      <c r="F33" s="15">
        <f t="shared" si="5"/>
        <v>0.49718607757737959</v>
      </c>
      <c r="G33" s="15">
        <f t="shared" si="5"/>
        <v>0.48354046620043478</v>
      </c>
      <c r="H33" s="15">
        <f t="shared" si="5"/>
        <v>0.47020661287443777</v>
      </c>
      <c r="I33" s="15">
        <f t="shared" si="5"/>
        <v>0.45112730366969739</v>
      </c>
      <c r="J33" s="15">
        <f t="shared" si="5"/>
        <v>0.43455407501842092</v>
      </c>
      <c r="K33" s="15">
        <f t="shared" si="5"/>
        <v>0.41794216912791515</v>
      </c>
      <c r="L33" s="15">
        <f t="shared" si="5"/>
        <v>0.40294143627876911</v>
      </c>
    </row>
    <row r="34" spans="1:13" hidden="1" x14ac:dyDescent="0.35">
      <c r="A34" t="s">
        <v>106</v>
      </c>
      <c r="B34" s="1"/>
      <c r="C34" s="15">
        <f>IF(C$22&lt;&gt;"",C$31*C27/C$24,"")</f>
        <v>0</v>
      </c>
      <c r="D34" s="15">
        <f t="shared" si="5"/>
        <v>0</v>
      </c>
      <c r="E34" s="15">
        <f t="shared" si="5"/>
        <v>0</v>
      </c>
      <c r="F34" s="15">
        <f t="shared" si="5"/>
        <v>0</v>
      </c>
      <c r="G34" s="15">
        <f t="shared" si="5"/>
        <v>0</v>
      </c>
      <c r="H34" s="15">
        <f t="shared" si="5"/>
        <v>0</v>
      </c>
      <c r="I34" s="15">
        <f t="shared" si="5"/>
        <v>0</v>
      </c>
      <c r="J34" s="15">
        <f t="shared" si="5"/>
        <v>0</v>
      </c>
      <c r="K34" s="15">
        <f t="shared" si="5"/>
        <v>0</v>
      </c>
      <c r="L34" s="15">
        <f t="shared" si="5"/>
        <v>0</v>
      </c>
    </row>
    <row r="35" spans="1:13" hidden="1" x14ac:dyDescent="0.35">
      <c r="A35" s="1" t="s">
        <v>124</v>
      </c>
      <c r="B35" s="1"/>
      <c r="C35" s="26">
        <f>IF(C22&lt;&gt;"",1.5,"")</f>
        <v>1.5</v>
      </c>
      <c r="D35" s="26">
        <f t="shared" ref="D35:L35" si="6">IF(D22&lt;&gt;"",1.5,"")</f>
        <v>1.5</v>
      </c>
      <c r="E35" s="26">
        <f t="shared" si="6"/>
        <v>1.5</v>
      </c>
      <c r="F35" s="26">
        <f t="shared" si="6"/>
        <v>1.5</v>
      </c>
      <c r="G35" s="26">
        <f t="shared" si="6"/>
        <v>1.5</v>
      </c>
      <c r="H35" s="26">
        <f t="shared" si="6"/>
        <v>1.5</v>
      </c>
      <c r="I35" s="26">
        <f t="shared" si="6"/>
        <v>1.5</v>
      </c>
      <c r="J35" s="26">
        <f t="shared" si="6"/>
        <v>1.5</v>
      </c>
      <c r="K35" s="26">
        <f t="shared" si="6"/>
        <v>1.5</v>
      </c>
      <c r="L35" s="26">
        <f t="shared" si="6"/>
        <v>1.5</v>
      </c>
    </row>
    <row r="36" spans="1:13" x14ac:dyDescent="0.35">
      <c r="A36" s="1" t="s">
        <v>139</v>
      </c>
      <c r="B36" s="1"/>
      <c r="C36" s="15">
        <f>IF(C$22&lt;&gt;"",C22-C35/2,"")</f>
        <v>10.25</v>
      </c>
      <c r="D36" s="15">
        <f t="shared" ref="D36:L36" si="7">IF(D$22&lt;&gt;"",D22-D35/2,"")</f>
        <v>10.25</v>
      </c>
      <c r="E36" s="15">
        <f t="shared" si="7"/>
        <v>10.25</v>
      </c>
      <c r="F36" s="15">
        <f t="shared" si="7"/>
        <v>10.25</v>
      </c>
      <c r="G36" s="15">
        <f t="shared" si="7"/>
        <v>10.25</v>
      </c>
      <c r="H36" s="15">
        <f t="shared" si="7"/>
        <v>10.25</v>
      </c>
      <c r="I36" s="15">
        <f t="shared" si="7"/>
        <v>10.25</v>
      </c>
      <c r="J36" s="15">
        <f t="shared" si="7"/>
        <v>10.25</v>
      </c>
      <c r="K36" s="15">
        <f t="shared" si="7"/>
        <v>10.25</v>
      </c>
      <c r="L36" s="15">
        <f t="shared" si="7"/>
        <v>10.25</v>
      </c>
    </row>
    <row r="37" spans="1:13" x14ac:dyDescent="0.35">
      <c r="A37" t="s">
        <v>0</v>
      </c>
      <c r="B37" s="25"/>
      <c r="C37" s="15">
        <f>IF(C22&lt;&gt;"",MAX(0,C36-C38),"")</f>
        <v>2.75</v>
      </c>
      <c r="D37" s="15">
        <f t="shared" ref="D37:L37" si="8">IF(D22&lt;&gt;"",MAX(0,D36-D38),"")</f>
        <v>2.75</v>
      </c>
      <c r="E37" s="15">
        <f t="shared" si="8"/>
        <v>2.75</v>
      </c>
      <c r="F37" s="15">
        <f t="shared" si="8"/>
        <v>2.75</v>
      </c>
      <c r="G37" s="15">
        <f t="shared" si="8"/>
        <v>2.75</v>
      </c>
      <c r="H37" s="15">
        <f t="shared" si="8"/>
        <v>2.75</v>
      </c>
      <c r="I37" s="15">
        <f t="shared" si="8"/>
        <v>2.75</v>
      </c>
      <c r="J37" s="15">
        <f t="shared" si="8"/>
        <v>2.75</v>
      </c>
      <c r="K37" s="15">
        <f t="shared" si="8"/>
        <v>2.75</v>
      </c>
      <c r="L37" s="15">
        <f t="shared" si="8"/>
        <v>2.75</v>
      </c>
    </row>
    <row r="38" spans="1:13" x14ac:dyDescent="0.35">
      <c r="A38" t="s">
        <v>1</v>
      </c>
      <c r="B38" s="46">
        <v>7.5</v>
      </c>
      <c r="C38" s="15">
        <f>IF(C22&lt;&gt;"",IF(C36&gt;$B38,$B38,C36),"")</f>
        <v>7.5</v>
      </c>
      <c r="D38" s="15">
        <f t="shared" ref="D38:L38" si="9">IF(D22&lt;&gt;"",IF(D36&gt;$B38,$B38,D36),"")</f>
        <v>7.5</v>
      </c>
      <c r="E38" s="15">
        <f t="shared" si="9"/>
        <v>7.5</v>
      </c>
      <c r="F38" s="15">
        <f t="shared" si="9"/>
        <v>7.5</v>
      </c>
      <c r="G38" s="15">
        <f t="shared" si="9"/>
        <v>7.5</v>
      </c>
      <c r="H38" s="15">
        <f t="shared" si="9"/>
        <v>7.5</v>
      </c>
      <c r="I38" s="15">
        <f t="shared" si="9"/>
        <v>7.5</v>
      </c>
      <c r="J38" s="15">
        <f t="shared" si="9"/>
        <v>7.5</v>
      </c>
      <c r="K38" s="15">
        <f t="shared" si="9"/>
        <v>7.5</v>
      </c>
      <c r="L38" s="15">
        <f t="shared" si="9"/>
        <v>7.5</v>
      </c>
    </row>
    <row r="39" spans="1:13" x14ac:dyDescent="0.35">
      <c r="A39" s="1" t="s">
        <v>109</v>
      </c>
      <c r="C39"/>
    </row>
    <row r="40" spans="1:13" x14ac:dyDescent="0.35">
      <c r="A40" s="33" t="s">
        <v>107</v>
      </c>
      <c r="B40" s="1"/>
      <c r="C40" s="26"/>
      <c r="D40" s="26"/>
      <c r="E40" s="26"/>
      <c r="F40" s="26"/>
      <c r="G40" s="26"/>
      <c r="H40" s="26"/>
      <c r="I40" s="26"/>
      <c r="J40" s="26"/>
      <c r="K40" s="26"/>
      <c r="L40" s="26"/>
    </row>
    <row r="41" spans="1:13" x14ac:dyDescent="0.35">
      <c r="A41" s="33" t="s">
        <v>108</v>
      </c>
      <c r="B41" s="1"/>
      <c r="C41" s="32"/>
      <c r="D41" s="32"/>
      <c r="E41" s="32"/>
      <c r="F41" s="32"/>
      <c r="G41" s="32"/>
      <c r="H41" s="32"/>
      <c r="I41" s="32"/>
      <c r="J41" s="32"/>
      <c r="K41" s="32"/>
      <c r="L41" s="32"/>
      <c r="M41" s="34">
        <f>SUM(C41:L41)</f>
        <v>0</v>
      </c>
    </row>
    <row r="42" spans="1:13" hidden="1" x14ac:dyDescent="0.35">
      <c r="A42" s="33" t="s">
        <v>110</v>
      </c>
      <c r="B42" s="1"/>
      <c r="C42" s="26"/>
      <c r="D42" s="26"/>
      <c r="E42" s="26"/>
      <c r="F42" s="26"/>
      <c r="G42" s="26"/>
      <c r="H42" s="26"/>
      <c r="I42" s="26"/>
      <c r="J42" s="26"/>
      <c r="K42" s="26"/>
      <c r="L42" s="26"/>
      <c r="M42" s="35"/>
    </row>
    <row r="43" spans="1:13" hidden="1" x14ac:dyDescent="0.35">
      <c r="A43" s="33" t="s">
        <v>111</v>
      </c>
      <c r="B43" s="1"/>
      <c r="C43" s="32"/>
      <c r="D43" s="32"/>
      <c r="E43" s="32"/>
      <c r="F43" s="32"/>
      <c r="G43" s="32"/>
      <c r="H43" s="32"/>
      <c r="I43" s="32"/>
      <c r="J43" s="32"/>
      <c r="K43" s="32"/>
      <c r="L43" s="32"/>
      <c r="M43" s="34">
        <f>SUM(C43:L43)</f>
        <v>0</v>
      </c>
    </row>
    <row r="44" spans="1:13" x14ac:dyDescent="0.35">
      <c r="A44" s="1" t="s">
        <v>128</v>
      </c>
      <c r="B44" s="1"/>
      <c r="C44"/>
    </row>
    <row r="45" spans="1:13" x14ac:dyDescent="0.35">
      <c r="A45" t="s">
        <v>2</v>
      </c>
      <c r="C45" s="15">
        <f>IF(C$22&lt;&gt;"",C25+C37-C32-C40,"")</f>
        <v>13.217257133649303</v>
      </c>
      <c r="D45" s="15">
        <f t="shared" ref="D45:L45" si="10">IF(D$22&lt;&gt;"",D25+D37-D32-D40,"")</f>
        <v>11.308860168267607</v>
      </c>
      <c r="E45" s="15">
        <f t="shared" si="10"/>
        <v>9.4782273122835061</v>
      </c>
      <c r="F45" s="15">
        <f>IF(F$22&lt;&gt;"",F25+F37-F32-F40,"")</f>
        <v>8.5112853600768066</v>
      </c>
      <c r="G45" s="15">
        <f t="shared" si="10"/>
        <v>8.5079688711010348</v>
      </c>
      <c r="H45" s="15">
        <f t="shared" si="10"/>
        <v>8.5047270927738641</v>
      </c>
      <c r="I45" s="15">
        <f t="shared" si="10"/>
        <v>8.8881038289447343</v>
      </c>
      <c r="J45" s="15">
        <f t="shared" si="10"/>
        <v>9.2503712989619817</v>
      </c>
      <c r="K45" s="15">
        <f t="shared" si="10"/>
        <v>9.5937558729898971</v>
      </c>
      <c r="L45" s="15">
        <f t="shared" si="10"/>
        <v>9.918860666769266</v>
      </c>
    </row>
    <row r="46" spans="1:13" x14ac:dyDescent="0.35">
      <c r="A46" t="s">
        <v>3</v>
      </c>
      <c r="C46" s="15">
        <f>IF(C$22&lt;&gt;"",C26+C38-C33+C40+C42+C23-C35/2,"")</f>
        <v>17.160845186350727</v>
      </c>
      <c r="D46" s="15">
        <f t="shared" ref="D46:L46" si="11">IF(D$22&lt;&gt;"",D26+D38-D33+D40+D42+D23-D35/2,"")</f>
        <v>16.751053514732423</v>
      </c>
      <c r="E46" s="15">
        <f t="shared" si="11"/>
        <v>16.336953315716549</v>
      </c>
      <c r="F46" s="15">
        <f t="shared" si="11"/>
        <v>16.006767238139169</v>
      </c>
      <c r="G46" s="15">
        <f t="shared" si="11"/>
        <v>15.690226771938736</v>
      </c>
      <c r="H46" s="15">
        <f t="shared" si="11"/>
        <v>15.387020159064299</v>
      </c>
      <c r="I46" s="15">
        <f t="shared" si="11"/>
        <v>15.102892855394604</v>
      </c>
      <c r="J46" s="15">
        <f t="shared" si="11"/>
        <v>14.835338780376185</v>
      </c>
      <c r="K46" s="15">
        <f t="shared" si="11"/>
        <v>14.584396611248271</v>
      </c>
      <c r="L46" s="15">
        <f t="shared" si="11"/>
        <v>14.348455174969503</v>
      </c>
    </row>
    <row r="47" spans="1:13" x14ac:dyDescent="0.35">
      <c r="A47" t="s">
        <v>4</v>
      </c>
      <c r="C47" s="15">
        <f>IF(C$22&lt;&gt;"",C27+C35-C34-C42,"")</f>
        <v>1.5</v>
      </c>
      <c r="D47" s="15">
        <f t="shared" ref="D47:L47" si="12">IF(D$22&lt;&gt;"",D27+D35-D34-D42,"")</f>
        <v>1.5</v>
      </c>
      <c r="E47" s="15">
        <f t="shared" si="12"/>
        <v>1.5</v>
      </c>
      <c r="F47" s="15">
        <f t="shared" si="12"/>
        <v>1.5</v>
      </c>
      <c r="G47" s="15">
        <f t="shared" si="12"/>
        <v>1.5</v>
      </c>
      <c r="H47" s="15">
        <f t="shared" si="12"/>
        <v>1.5</v>
      </c>
      <c r="I47" s="15">
        <f t="shared" si="12"/>
        <v>1.5</v>
      </c>
      <c r="J47" s="15">
        <f t="shared" si="12"/>
        <v>1.5</v>
      </c>
      <c r="K47" s="15">
        <f t="shared" si="12"/>
        <v>1.5</v>
      </c>
      <c r="L47" s="15">
        <f t="shared" si="12"/>
        <v>1.5</v>
      </c>
    </row>
    <row r="48" spans="1:13" x14ac:dyDescent="0.35">
      <c r="A48" s="1" t="s">
        <v>140</v>
      </c>
      <c r="B48" s="1"/>
      <c r="C48" s="30"/>
      <c r="D48" s="2"/>
      <c r="E48" s="2"/>
      <c r="F48" s="2"/>
      <c r="G48" s="2"/>
      <c r="H48" s="2"/>
      <c r="I48" s="2"/>
      <c r="J48" s="2"/>
      <c r="K48" s="2"/>
      <c r="L48" s="2"/>
    </row>
    <row r="49" spans="1:18" x14ac:dyDescent="0.35">
      <c r="A49" t="s">
        <v>141</v>
      </c>
      <c r="C49" s="45">
        <f>IF(C45&gt;6.1+4.2,4.2,MAX(C45-6.1,0))</f>
        <v>4.2</v>
      </c>
      <c r="D49" s="45">
        <f t="shared" ref="D49:G49" si="13">IF(D45&gt;6.1+4.2,4.2,MAX(D45-6.1,0))</f>
        <v>4.2</v>
      </c>
      <c r="E49" s="45">
        <f t="shared" si="13"/>
        <v>3.3782273122835065</v>
      </c>
      <c r="F49" s="45">
        <f t="shared" si="13"/>
        <v>2.4112853600768069</v>
      </c>
      <c r="G49" s="45">
        <f t="shared" si="13"/>
        <v>2.4079688711010352</v>
      </c>
      <c r="H49" s="45">
        <v>2</v>
      </c>
      <c r="I49" s="45">
        <v>2</v>
      </c>
      <c r="J49" s="45">
        <v>2</v>
      </c>
      <c r="K49" s="45">
        <v>2</v>
      </c>
      <c r="L49" s="45">
        <v>2</v>
      </c>
      <c r="M49" s="51"/>
      <c r="N49" s="1" t="s">
        <v>133</v>
      </c>
    </row>
    <row r="50" spans="1:18" x14ac:dyDescent="0.35">
      <c r="A50" t="s">
        <v>142</v>
      </c>
      <c r="C50" s="45">
        <f>7.5-IF(C26&lt;$O$51,$P$51,IF(C26&lt;=$O$58,VLOOKUP(C26,$O$51:$P$58,2),0))</f>
        <v>6.867</v>
      </c>
      <c r="D50" s="45">
        <f t="shared" ref="D50:G50" si="14">7.5-IF(D26&lt;$O$51,$P$51,IF(D26&lt;=$O$58,VLOOKUP(D26,$O$51:$P$58,2),0))</f>
        <v>6.867</v>
      </c>
      <c r="E50" s="45">
        <f t="shared" si="14"/>
        <v>6.7829999999999995</v>
      </c>
      <c r="F50" s="45">
        <f t="shared" si="14"/>
        <v>6.7829999999999995</v>
      </c>
      <c r="G50" s="45">
        <f t="shared" si="14"/>
        <v>6.7829999999999995</v>
      </c>
      <c r="H50" s="45">
        <f t="shared" ref="H50:L50" si="15">G50</f>
        <v>6.7829999999999995</v>
      </c>
      <c r="I50" s="45">
        <f t="shared" si="15"/>
        <v>6.7829999999999995</v>
      </c>
      <c r="J50" s="45">
        <f t="shared" si="15"/>
        <v>6.7829999999999995</v>
      </c>
      <c r="K50" s="45">
        <f t="shared" si="15"/>
        <v>6.7829999999999995</v>
      </c>
      <c r="L50" s="45">
        <f t="shared" si="15"/>
        <v>6.7829999999999995</v>
      </c>
      <c r="N50" s="39" t="s">
        <v>134</v>
      </c>
      <c r="O50" s="39" t="s">
        <v>135</v>
      </c>
      <c r="P50" s="40" t="s">
        <v>136</v>
      </c>
      <c r="Q50" s="40" t="s">
        <v>137</v>
      </c>
      <c r="R50" s="39" t="s">
        <v>138</v>
      </c>
    </row>
    <row r="51" spans="1:18" x14ac:dyDescent="0.35">
      <c r="A51" t="s">
        <v>143</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41">
        <v>1025</v>
      </c>
      <c r="O51" s="42">
        <v>5.981122</v>
      </c>
      <c r="P51" s="43">
        <f t="shared" ref="P51:P58" si="17">R51-Q51</f>
        <v>1.2</v>
      </c>
      <c r="Q51" s="44">
        <v>0.125</v>
      </c>
      <c r="R51" s="43">
        <v>1.325</v>
      </c>
    </row>
    <row r="52" spans="1:18" x14ac:dyDescent="0.35">
      <c r="A52" t="s">
        <v>144</v>
      </c>
      <c r="C52" s="26">
        <v>1.5</v>
      </c>
      <c r="D52" s="26">
        <v>1.5</v>
      </c>
      <c r="E52" s="26">
        <v>1.5</v>
      </c>
      <c r="F52" s="26">
        <v>1.5</v>
      </c>
      <c r="G52" s="26">
        <v>1.5</v>
      </c>
      <c r="H52" s="26">
        <v>1.5</v>
      </c>
      <c r="I52" s="26">
        <v>1.5</v>
      </c>
      <c r="J52" s="26">
        <v>1.5</v>
      </c>
      <c r="K52" s="26">
        <v>1.5</v>
      </c>
      <c r="L52" s="26">
        <v>1.5</v>
      </c>
      <c r="N52" s="41">
        <v>1030</v>
      </c>
      <c r="O52" s="42">
        <v>6.305377</v>
      </c>
      <c r="P52" s="43">
        <f t="shared" si="17"/>
        <v>1.117</v>
      </c>
      <c r="Q52" s="44">
        <v>7.0000000000000007E-2</v>
      </c>
      <c r="R52" s="43">
        <v>1.1870000000000001</v>
      </c>
    </row>
    <row r="53" spans="1:18" x14ac:dyDescent="0.35">
      <c r="A53" s="1" t="s">
        <v>145</v>
      </c>
      <c r="B53" s="1"/>
      <c r="D53" s="2"/>
      <c r="E53" s="2"/>
      <c r="F53" s="2"/>
      <c r="G53" s="2"/>
      <c r="H53" s="2"/>
      <c r="I53" s="2"/>
      <c r="J53" s="2"/>
      <c r="K53" s="2"/>
      <c r="L53" s="2"/>
      <c r="N53" s="41">
        <v>1035</v>
      </c>
      <c r="O53" s="42">
        <v>6.6375080000000004</v>
      </c>
      <c r="P53" s="43">
        <f t="shared" si="17"/>
        <v>1.0669999999999999</v>
      </c>
      <c r="Q53" s="44">
        <v>7.0000000000000007E-2</v>
      </c>
      <c r="R53" s="43">
        <v>1.137</v>
      </c>
    </row>
    <row r="54" spans="1:18" x14ac:dyDescent="0.35">
      <c r="A54" t="s">
        <v>2</v>
      </c>
      <c r="C54" s="15">
        <f>IF(C$22&lt;&gt;"",C45-C49,"")</f>
        <v>9.0172571336493021</v>
      </c>
      <c r="D54" s="15">
        <f t="shared" ref="D54:L54" si="18">IF(D$22&lt;&gt;"",D45-D49,"")</f>
        <v>7.1088601682676069</v>
      </c>
      <c r="E54" s="15">
        <f t="shared" si="18"/>
        <v>6.1</v>
      </c>
      <c r="F54" s="15">
        <f t="shared" si="18"/>
        <v>6.1</v>
      </c>
      <c r="G54" s="15">
        <f t="shared" si="18"/>
        <v>6.1</v>
      </c>
      <c r="H54" s="15">
        <f t="shared" si="18"/>
        <v>6.5047270927738641</v>
      </c>
      <c r="I54" s="15">
        <f t="shared" si="18"/>
        <v>6.8881038289447343</v>
      </c>
      <c r="J54" s="15">
        <f t="shared" si="18"/>
        <v>7.2503712989619817</v>
      </c>
      <c r="K54" s="15">
        <f t="shared" si="18"/>
        <v>7.5937558729898971</v>
      </c>
      <c r="L54" s="15">
        <f t="shared" si="18"/>
        <v>7.918860666769266</v>
      </c>
      <c r="N54" s="41">
        <v>1040</v>
      </c>
      <c r="O54" s="42">
        <v>6.977665</v>
      </c>
      <c r="P54" s="43">
        <f t="shared" si="17"/>
        <v>1.0169999999999999</v>
      </c>
      <c r="Q54" s="44">
        <v>7.0000000000000007E-2</v>
      </c>
      <c r="R54" s="43">
        <v>1.087</v>
      </c>
    </row>
    <row r="55" spans="1:18" x14ac:dyDescent="0.35">
      <c r="A55" t="s">
        <v>3</v>
      </c>
      <c r="C55" s="15">
        <f>IF(C$22&lt;&gt;"",C46-C50-C51,"")</f>
        <v>9.6938451863507265</v>
      </c>
      <c r="D55" s="15">
        <f t="shared" ref="D55:L55" si="19">IF(D$22&lt;&gt;"",D46-D50-D51,"")</f>
        <v>9.2840535147324221</v>
      </c>
      <c r="E55" s="15">
        <f t="shared" si="19"/>
        <v>8.9539533157165501</v>
      </c>
      <c r="F55" s="15">
        <f t="shared" si="19"/>
        <v>8.6237672381391697</v>
      </c>
      <c r="G55" s="15">
        <f t="shared" si="19"/>
        <v>8.3072267719387369</v>
      </c>
      <c r="H55" s="15">
        <f t="shared" si="19"/>
        <v>8.0040201590643001</v>
      </c>
      <c r="I55" s="15">
        <f t="shared" si="19"/>
        <v>7.7198928553946047</v>
      </c>
      <c r="J55" s="15">
        <f t="shared" si="19"/>
        <v>7.452338780376186</v>
      </c>
      <c r="K55" s="15">
        <f t="shared" si="19"/>
        <v>7.2013966112482724</v>
      </c>
      <c r="L55" s="15">
        <f t="shared" si="19"/>
        <v>6.9654551749695042</v>
      </c>
      <c r="N55" s="41">
        <v>1045</v>
      </c>
      <c r="O55" s="42">
        <v>7.3260519999999998</v>
      </c>
      <c r="P55" s="43">
        <f t="shared" si="17"/>
        <v>0.96699999999999986</v>
      </c>
      <c r="Q55" s="44">
        <v>7.0000000000000007E-2</v>
      </c>
      <c r="R55" s="43">
        <v>1.0369999999999999</v>
      </c>
    </row>
    <row r="56" spans="1:18" x14ac:dyDescent="0.35">
      <c r="A56" t="s">
        <v>4</v>
      </c>
      <c r="C56" s="15">
        <f>IF(C$22&lt;&gt;"",C47-C52,"")</f>
        <v>0</v>
      </c>
      <c r="D56" s="15">
        <f t="shared" ref="D56:L56" si="20">IF(D$22&lt;&gt;"",D47-D52,"")</f>
        <v>0</v>
      </c>
      <c r="E56" s="15">
        <f t="shared" si="20"/>
        <v>0</v>
      </c>
      <c r="F56" s="15">
        <f t="shared" si="20"/>
        <v>0</v>
      </c>
      <c r="G56" s="15">
        <f t="shared" si="20"/>
        <v>0</v>
      </c>
      <c r="H56" s="15">
        <f t="shared" si="20"/>
        <v>0</v>
      </c>
      <c r="I56" s="15">
        <f t="shared" si="20"/>
        <v>0</v>
      </c>
      <c r="J56" s="15">
        <f t="shared" si="20"/>
        <v>0</v>
      </c>
      <c r="K56" s="15">
        <f t="shared" si="20"/>
        <v>0</v>
      </c>
      <c r="L56" s="15">
        <f t="shared" si="20"/>
        <v>0</v>
      </c>
      <c r="N56" s="41">
        <v>1050</v>
      </c>
      <c r="O56" s="42">
        <v>7.6828779999999997</v>
      </c>
      <c r="P56" s="43">
        <f t="shared" si="17"/>
        <v>0.71700000000000008</v>
      </c>
      <c r="Q56" s="44">
        <v>7.0000000000000007E-2</v>
      </c>
      <c r="R56" s="43">
        <v>0.78700000000000003</v>
      </c>
    </row>
    <row r="57" spans="1:18" x14ac:dyDescent="0.35">
      <c r="A57" s="1" t="s">
        <v>129</v>
      </c>
      <c r="B57" s="1"/>
      <c r="C57" s="15">
        <f>IF(C$22&lt;&gt;"",SUM(C54:C56),"")</f>
        <v>18.71110232000003</v>
      </c>
      <c r="D57" s="15">
        <f t="shared" ref="D57:L57" si="21">IF(D$22&lt;&gt;"",SUM(D54:D56),"")</f>
        <v>16.392913683000028</v>
      </c>
      <c r="E57" s="15">
        <f t="shared" si="21"/>
        <v>15.05395331571655</v>
      </c>
      <c r="F57" s="15">
        <f t="shared" si="21"/>
        <v>14.723767238139169</v>
      </c>
      <c r="G57" s="15">
        <f t="shared" si="21"/>
        <v>14.407226771938737</v>
      </c>
      <c r="H57" s="15">
        <f t="shared" si="21"/>
        <v>14.508747251838164</v>
      </c>
      <c r="I57" s="15">
        <f t="shared" si="21"/>
        <v>14.607996684339339</v>
      </c>
      <c r="J57" s="15">
        <f t="shared" si="21"/>
        <v>14.702710079338168</v>
      </c>
      <c r="K57" s="15">
        <f t="shared" si="21"/>
        <v>14.795152484238169</v>
      </c>
      <c r="L57" s="15">
        <f t="shared" si="21"/>
        <v>14.88431584173877</v>
      </c>
      <c r="N57" s="41">
        <v>1075</v>
      </c>
      <c r="O57" s="42">
        <v>9.6009879999900001</v>
      </c>
      <c r="P57" s="43">
        <f t="shared" si="17"/>
        <v>0.63300000000000001</v>
      </c>
      <c r="Q57" s="44">
        <v>0.05</v>
      </c>
      <c r="R57" s="43">
        <v>0.68300000000000005</v>
      </c>
    </row>
    <row r="58" spans="1:18" x14ac:dyDescent="0.35">
      <c r="N58" s="41">
        <v>1090</v>
      </c>
      <c r="O58" s="42">
        <v>10.857008</v>
      </c>
      <c r="P58" s="43">
        <f t="shared" si="17"/>
        <v>0.3</v>
      </c>
      <c r="Q58" s="40"/>
      <c r="R58" s="43">
        <v>0.3</v>
      </c>
    </row>
    <row r="59" spans="1:18" x14ac:dyDescent="0.35">
      <c r="A59" s="1" t="s">
        <v>131</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132</v>
      </c>
      <c r="C60" s="15">
        <f>IF(C$22&lt;&gt;"",C50+C59,"")</f>
        <v>7.0670000000000002</v>
      </c>
      <c r="D60" s="15">
        <f t="shared" ref="D60:L60" si="23">IF(D$22&lt;&gt;"",D50+D59,"")</f>
        <v>7.0670000000000002</v>
      </c>
      <c r="E60" s="15">
        <f t="shared" si="23"/>
        <v>6.9829999999999997</v>
      </c>
      <c r="F60" s="15">
        <f t="shared" si="23"/>
        <v>6.9829999999999997</v>
      </c>
      <c r="G60" s="15">
        <f t="shared" si="23"/>
        <v>6.9829999999999997</v>
      </c>
      <c r="H60" s="15">
        <f t="shared" si="23"/>
        <v>6.9829999999999997</v>
      </c>
      <c r="I60" s="15">
        <f t="shared" si="23"/>
        <v>6.9829999999999997</v>
      </c>
      <c r="J60" s="15">
        <f t="shared" si="23"/>
        <v>6.9829999999999997</v>
      </c>
      <c r="K60" s="15">
        <f t="shared" si="23"/>
        <v>6.9829999999999997</v>
      </c>
      <c r="L60" s="15">
        <f t="shared" si="23"/>
        <v>6.9829999999999997</v>
      </c>
    </row>
    <row r="62" spans="1:18" x14ac:dyDescent="0.35">
      <c r="D62" s="19"/>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ReadMe-Directions</vt:lpstr>
      <vt:lpstr>Master</vt:lpstr>
      <vt:lpstr>11.0-Trade</vt:lpstr>
      <vt:lpstr>11.0-LawOfRiver</vt:lpstr>
      <vt:lpstr>11.0-Plots</vt:lpstr>
      <vt:lpstr>MilleniumRecovers-LawOfRiver</vt:lpstr>
      <vt:lpstr>Mill-Plots</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2021-05-21T23:42:59Z</dcterms:modified>
</cp:coreProperties>
</file>