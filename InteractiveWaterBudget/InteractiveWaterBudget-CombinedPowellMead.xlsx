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05E6F8CC-6741-4150-AD77-3FA91804BF60}" xr6:coauthVersionLast="36" xr6:coauthVersionMax="36" xr10:uidLastSave="{00000000-0000-0000-0000-000000000000}"/>
  <bookViews>
    <workbookView xWindow="0" yWindow="0" windowWidth="19200" windowHeight="6640" firstSheet="2" activeTab="2" xr2:uid="{5373AB19-D84C-490D-97DC-C516D358024A}"/>
  </bookViews>
  <sheets>
    <sheet name="ReadMe-Directions" sheetId="6" r:id="rId1"/>
    <sheet name="Master" sheetId="5" r:id="rId2"/>
    <sheet name="Millenium-LawOfRiver" sheetId="11" r:id="rId3"/>
    <sheet name="HydrologicScenarios" sheetId="7" r:id="rId4"/>
    <sheet name="Powell-Elevation-Area" sheetId="2" r:id="rId5"/>
    <sheet name="Mead-Elevation-Area" sheetId="10"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7" i="5" l="1"/>
  <c r="H37" i="5"/>
  <c r="I37" i="5"/>
  <c r="J37" i="5"/>
  <c r="K37" i="5"/>
  <c r="L37" i="5"/>
  <c r="D35" i="5"/>
  <c r="E35" i="5"/>
  <c r="F35" i="5"/>
  <c r="G35" i="5"/>
  <c r="H35" i="5"/>
  <c r="I35" i="5"/>
  <c r="J35" i="5"/>
  <c r="K35" i="5"/>
  <c r="L35" i="5"/>
  <c r="C35" i="5"/>
  <c r="C36" i="5" s="1"/>
  <c r="L59" i="11"/>
  <c r="K59" i="11"/>
  <c r="J59" i="11"/>
  <c r="I59" i="11"/>
  <c r="H59" i="11"/>
  <c r="G59" i="11"/>
  <c r="F59" i="11"/>
  <c r="E59" i="11"/>
  <c r="D59" i="11"/>
  <c r="C59" i="11"/>
  <c r="P58" i="11"/>
  <c r="P57" i="11"/>
  <c r="P56" i="11"/>
  <c r="P55" i="11"/>
  <c r="P54" i="11"/>
  <c r="P53" i="11"/>
  <c r="P52" i="11"/>
  <c r="E52" i="11"/>
  <c r="F52" i="11" s="1"/>
  <c r="G52" i="11" s="1"/>
  <c r="H52" i="11" s="1"/>
  <c r="I52" i="11" s="1"/>
  <c r="J52" i="11" s="1"/>
  <c r="K52" i="11" s="1"/>
  <c r="L52" i="11" s="1"/>
  <c r="D52" i="11"/>
  <c r="P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P57" i="5"/>
  <c r="P56" i="5"/>
  <c r="P55" i="5"/>
  <c r="P54" i="5"/>
  <c r="P53" i="5"/>
  <c r="P52" i="5"/>
  <c r="P51" i="5"/>
  <c r="F51" i="5"/>
  <c r="G51" i="5"/>
  <c r="H51" i="5"/>
  <c r="I51" i="5"/>
  <c r="J51" i="5"/>
  <c r="K51" i="5"/>
  <c r="L51" i="5"/>
  <c r="D51" i="5"/>
  <c r="E51" i="5"/>
  <c r="D23" i="5"/>
  <c r="E23" i="5"/>
  <c r="F23" i="5"/>
  <c r="G23" i="5"/>
  <c r="H23" i="5"/>
  <c r="I23" i="5"/>
  <c r="J23" i="5"/>
  <c r="K23" i="5"/>
  <c r="L23" i="5"/>
  <c r="C51" i="5"/>
  <c r="D59" i="5"/>
  <c r="E59" i="5"/>
  <c r="F59" i="5"/>
  <c r="G59" i="5"/>
  <c r="H59" i="5"/>
  <c r="I59" i="5"/>
  <c r="J59" i="5"/>
  <c r="K59" i="5"/>
  <c r="L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C31" i="5" l="1"/>
  <c r="C33" i="5" s="1"/>
  <c r="C30" i="5"/>
  <c r="D38" i="11"/>
  <c r="D37" i="11"/>
  <c r="E38" i="11"/>
  <c r="E37" i="11" s="1"/>
  <c r="F35" i="11"/>
  <c r="C24" i="11"/>
  <c r="C37" i="11"/>
  <c r="C30" i="11"/>
  <c r="C31" i="11"/>
  <c r="C38" i="5"/>
  <c r="C37" i="5" s="1"/>
  <c r="C60" i="5"/>
  <c r="C24" i="5"/>
  <c r="C32" i="5" l="1"/>
  <c r="C34" i="5"/>
  <c r="C47" i="5" s="1"/>
  <c r="C56" i="5" s="1"/>
  <c r="C46" i="5"/>
  <c r="F36" i="11"/>
  <c r="G35" i="11"/>
  <c r="C34" i="11"/>
  <c r="C47" i="11" s="1"/>
  <c r="C56" i="11" s="1"/>
  <c r="C33" i="11"/>
  <c r="C46" i="11" s="1"/>
  <c r="C55" i="11" s="1"/>
  <c r="D26" i="11" s="1"/>
  <c r="C32" i="11"/>
  <c r="C45" i="11" s="1"/>
  <c r="C54" i="11" s="1"/>
  <c r="C57" i="11" l="1"/>
  <c r="D24" i="11" s="1"/>
  <c r="D25" i="11"/>
  <c r="D50" i="11"/>
  <c r="D60" i="11" s="1"/>
  <c r="G36" i="11"/>
  <c r="H35" i="11"/>
  <c r="F38" i="11"/>
  <c r="F37" i="11"/>
  <c r="D31" i="11" l="1"/>
  <c r="G37" i="11"/>
  <c r="G38" i="11"/>
  <c r="D30" i="11"/>
  <c r="D29" i="11"/>
  <c r="D27" i="11"/>
  <c r="H36" i="11"/>
  <c r="I35" i="11"/>
  <c r="D34" i="11" l="1"/>
  <c r="D47" i="11" s="1"/>
  <c r="D56" i="11" s="1"/>
  <c r="D33" i="11"/>
  <c r="D46" i="11" s="1"/>
  <c r="D55" i="11" s="1"/>
  <c r="E26" i="11" s="1"/>
  <c r="D32" i="11"/>
  <c r="D45" i="11" s="1"/>
  <c r="D54" i="11" s="1"/>
  <c r="I36" i="11"/>
  <c r="J35" i="11"/>
  <c r="H38" i="11"/>
  <c r="H37" i="11" s="1"/>
  <c r="E50" i="11" l="1"/>
  <c r="E60" i="11" s="1"/>
  <c r="J36" i="11"/>
  <c r="K35" i="11"/>
  <c r="I38" i="11"/>
  <c r="I37" i="11" s="1"/>
  <c r="D57" i="11"/>
  <c r="E24" i="11" s="1"/>
  <c r="E25" i="11"/>
  <c r="E31" i="11" l="1"/>
  <c r="J38" i="11"/>
  <c r="J37" i="11" s="1"/>
  <c r="E29" i="11"/>
  <c r="E27" i="11"/>
  <c r="E30" i="11"/>
  <c r="L35" i="11"/>
  <c r="L36" i="11" s="1"/>
  <c r="K36" i="11"/>
  <c r="K38" i="11" l="1"/>
  <c r="K37" i="11" s="1"/>
  <c r="L38" i="11"/>
  <c r="L37" i="11" s="1"/>
  <c r="E34" i="11"/>
  <c r="E47" i="11" s="1"/>
  <c r="E56" i="11" s="1"/>
  <c r="E33" i="11"/>
  <c r="E46" i="11" s="1"/>
  <c r="E55" i="11" s="1"/>
  <c r="F26" i="11" s="1"/>
  <c r="E32" i="11"/>
  <c r="E45" i="11" s="1"/>
  <c r="E54" i="11" s="1"/>
  <c r="F25" i="11" l="1"/>
  <c r="E57" i="11"/>
  <c r="F24" i="11" s="1"/>
  <c r="F50" i="11"/>
  <c r="F60" i="11" s="1"/>
  <c r="F31" i="11" l="1"/>
  <c r="F29" i="11"/>
  <c r="F27" i="11"/>
  <c r="F30" i="11"/>
  <c r="F33" i="11" l="1"/>
  <c r="F46" i="11" s="1"/>
  <c r="F55" i="11" s="1"/>
  <c r="G26" i="11" s="1"/>
  <c r="F32" i="11"/>
  <c r="F45" i="11" s="1"/>
  <c r="F54" i="11" s="1"/>
  <c r="F34" i="11"/>
  <c r="F47" i="11" s="1"/>
  <c r="F56" i="11" s="1"/>
  <c r="G25" i="11" l="1"/>
  <c r="F57" i="11"/>
  <c r="G24" i="11" s="1"/>
  <c r="G50" i="11"/>
  <c r="G60" i="11" s="1"/>
  <c r="G27" i="11" l="1"/>
  <c r="G29" i="11"/>
  <c r="G30" i="11"/>
  <c r="G31" i="11"/>
  <c r="G33" i="11" l="1"/>
  <c r="G46" i="11" s="1"/>
  <c r="G55" i="11" s="1"/>
  <c r="H26" i="11" s="1"/>
  <c r="G32" i="11"/>
  <c r="G45" i="11" s="1"/>
  <c r="G54" i="11" s="1"/>
  <c r="G34" i="11"/>
  <c r="G47" i="11" s="1"/>
  <c r="G56" i="11" s="1"/>
  <c r="G57" i="11" l="1"/>
  <c r="H24" i="11" s="1"/>
  <c r="H25" i="11"/>
  <c r="H50" i="11"/>
  <c r="H60" i="11" s="1"/>
  <c r="H29" i="11" l="1"/>
  <c r="H27" i="11"/>
  <c r="H30" i="11"/>
  <c r="H31" i="11"/>
  <c r="H32" i="11" l="1"/>
  <c r="H45" i="11" s="1"/>
  <c r="H54" i="11" s="1"/>
  <c r="H33" i="11"/>
  <c r="H46" i="11" s="1"/>
  <c r="H55" i="11" s="1"/>
  <c r="I26" i="11" s="1"/>
  <c r="H34" i="11"/>
  <c r="H47" i="11"/>
  <c r="H56" i="11" s="1"/>
  <c r="I50" i="11" l="1"/>
  <c r="I60" i="11" s="1"/>
  <c r="H57" i="11"/>
  <c r="I24" i="11" s="1"/>
  <c r="I25" i="11"/>
  <c r="I27" i="11" l="1"/>
  <c r="I29" i="11"/>
  <c r="I30" i="11"/>
  <c r="I31" i="11"/>
  <c r="I32" i="11" l="1"/>
  <c r="I45" i="11" s="1"/>
  <c r="I54" i="11" s="1"/>
  <c r="I34" i="11"/>
  <c r="I47" i="11" s="1"/>
  <c r="I56" i="11" s="1"/>
  <c r="I33" i="11"/>
  <c r="I46" i="11" s="1"/>
  <c r="I55" i="11" s="1"/>
  <c r="J26" i="11" s="1"/>
  <c r="J50" i="11" l="1"/>
  <c r="J60" i="11" s="1"/>
  <c r="I57" i="11"/>
  <c r="J24" i="11" s="1"/>
  <c r="J25" i="11"/>
  <c r="J27" i="11" l="1"/>
  <c r="J29" i="11"/>
  <c r="J30" i="11"/>
  <c r="J31" i="11"/>
  <c r="J34" i="11" l="1"/>
  <c r="J33" i="11"/>
  <c r="J46" i="11" s="1"/>
  <c r="J55" i="11" s="1"/>
  <c r="K26" i="11" s="1"/>
  <c r="J32" i="11"/>
  <c r="J45" i="11" s="1"/>
  <c r="J54" i="11" s="1"/>
  <c r="J47" i="11"/>
  <c r="J56" i="11" s="1"/>
  <c r="J57" i="11" l="1"/>
  <c r="K24" i="11" s="1"/>
  <c r="K25" i="11"/>
  <c r="K50" i="11"/>
  <c r="K60" i="11" s="1"/>
  <c r="K31" i="11" l="1"/>
  <c r="K27" i="11"/>
  <c r="K29" i="11"/>
  <c r="K30" i="11"/>
  <c r="K34" i="11" l="1"/>
  <c r="K47" i="11" s="1"/>
  <c r="K56" i="11" s="1"/>
  <c r="K33" i="11"/>
  <c r="K46" i="11" s="1"/>
  <c r="K55" i="11" s="1"/>
  <c r="L26" i="11" s="1"/>
  <c r="K32" i="11"/>
  <c r="K45" i="11" s="1"/>
  <c r="K54" i="11" s="1"/>
  <c r="K57" i="11" l="1"/>
  <c r="L24" i="11" s="1"/>
  <c r="L25" i="11"/>
  <c r="L50" i="11"/>
  <c r="L60" i="11" s="1"/>
  <c r="L31" i="11" l="1"/>
  <c r="L30" i="11"/>
  <c r="L29" i="11"/>
  <c r="L27" i="11"/>
  <c r="L34" i="11" l="1"/>
  <c r="L47" i="11" s="1"/>
  <c r="L56" i="11" s="1"/>
  <c r="L33" i="11"/>
  <c r="L46" i="11" s="1"/>
  <c r="L55" i="11" s="1"/>
  <c r="L32" i="11"/>
  <c r="L45" i="11" s="1"/>
  <c r="L54" i="11" s="1"/>
  <c r="L57" i="11" l="1"/>
  <c r="M43" i="5" l="1"/>
  <c r="V15" i="7" l="1"/>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c r="H36" i="5"/>
  <c r="H38" i="5" s="1"/>
  <c r="G36" i="5"/>
  <c r="G38" i="5" s="1"/>
  <c r="C54" i="5"/>
  <c r="D25" i="5" s="1"/>
  <c r="C55" i="5"/>
  <c r="D26" i="5" s="1"/>
  <c r="V10" i="7"/>
  <c r="W10" i="7"/>
  <c r="I36" i="5"/>
  <c r="I38" i="5" s="1"/>
  <c r="K13" i="2"/>
  <c r="L13" i="2" s="1"/>
  <c r="K8" i="2"/>
  <c r="D60" i="5" l="1"/>
  <c r="C57" i="5"/>
  <c r="D24" i="5" s="1"/>
  <c r="D31" i="5"/>
  <c r="J36" i="5"/>
  <c r="J38" i="5" s="1"/>
  <c r="N13" i="2"/>
  <c r="O13" i="2"/>
  <c r="M13" i="2"/>
  <c r="D33" i="5" l="1"/>
  <c r="D32" i="5"/>
  <c r="D45" i="5" s="1"/>
  <c r="D54" i="5" s="1"/>
  <c r="D29" i="5"/>
  <c r="D27" i="5"/>
  <c r="D34" i="5" s="1"/>
  <c r="D47" i="5" s="1"/>
  <c r="D56" i="5" s="1"/>
  <c r="D30" i="5"/>
  <c r="K36" i="5"/>
  <c r="K38" i="5" s="1"/>
  <c r="P13" i="2"/>
  <c r="D46" i="5" l="1"/>
  <c r="D55" i="5" s="1"/>
  <c r="E25" i="5"/>
  <c r="L36" i="5"/>
  <c r="L38" i="5" s="1"/>
  <c r="E26" i="5" l="1"/>
  <c r="D57" i="5"/>
  <c r="E24" i="5" s="1"/>
  <c r="E29" i="5" s="1"/>
  <c r="E31" i="5"/>
  <c r="E32" i="5" s="1"/>
  <c r="E45" i="5" s="1"/>
  <c r="E54" i="5" s="1"/>
  <c r="E60" i="5" l="1"/>
  <c r="E30" i="5"/>
  <c r="E27" i="5"/>
  <c r="E34" i="5" s="1"/>
  <c r="E47" i="5" s="1"/>
  <c r="E56" i="5" s="1"/>
  <c r="E33" i="5"/>
  <c r="E46" i="5" s="1"/>
  <c r="F25" i="5"/>
  <c r="E55" i="5" l="1"/>
  <c r="F26" i="5"/>
  <c r="E57" i="5"/>
  <c r="F24" i="5" s="1"/>
  <c r="F27" i="5" s="1"/>
  <c r="F31" i="5"/>
  <c r="F32" i="5" s="1"/>
  <c r="F45" i="5" s="1"/>
  <c r="F54" i="5" s="1"/>
  <c r="G25" i="5" s="1"/>
  <c r="F30" i="5" l="1"/>
  <c r="F29" i="5"/>
  <c r="F34" i="5"/>
  <c r="F47" i="5" s="1"/>
  <c r="F56" i="5" s="1"/>
  <c r="F33" i="5"/>
  <c r="F46" i="5" s="1"/>
  <c r="F60" i="5"/>
  <c r="F55" i="5" l="1"/>
  <c r="G26" i="5" l="1"/>
  <c r="F57" i="5"/>
  <c r="G24" i="5" s="1"/>
  <c r="G29" i="5" l="1"/>
  <c r="G30" i="5"/>
  <c r="G27" i="5"/>
  <c r="G60" i="5"/>
  <c r="G31" i="5"/>
  <c r="G33" i="5" l="1"/>
  <c r="G32" i="5"/>
  <c r="G45" i="5" s="1"/>
  <c r="G54" i="5" s="1"/>
  <c r="G34" i="5"/>
  <c r="G47" i="5" s="1"/>
  <c r="G56" i="5" s="1"/>
  <c r="H25" i="5" l="1"/>
  <c r="G46" i="5"/>
  <c r="G55" i="5" s="1"/>
  <c r="H26" i="5" l="1"/>
  <c r="G57" i="5"/>
  <c r="H24" i="5" s="1"/>
  <c r="H31" i="5"/>
  <c r="H33" i="5" l="1"/>
  <c r="H32" i="5"/>
  <c r="H45" i="5" s="1"/>
  <c r="H54" i="5" s="1"/>
  <c r="H29" i="5"/>
  <c r="H30" i="5"/>
  <c r="H27" i="5"/>
  <c r="H34" i="5" s="1"/>
  <c r="H47" i="5" s="1"/>
  <c r="H56" i="5" s="1"/>
  <c r="H60" i="5"/>
  <c r="H46" i="5" l="1"/>
  <c r="H55" i="5" s="1"/>
  <c r="I25" i="5"/>
  <c r="I26" i="5" l="1"/>
  <c r="H57" i="5"/>
  <c r="I24" i="5" s="1"/>
  <c r="I31" i="5"/>
  <c r="I27" i="5" l="1"/>
  <c r="I30" i="5"/>
  <c r="I29" i="5"/>
  <c r="I34" i="5"/>
  <c r="I47" i="5" s="1"/>
  <c r="I56" i="5" s="1"/>
  <c r="I32" i="5"/>
  <c r="I45" i="5" s="1"/>
  <c r="I54" i="5" s="1"/>
  <c r="I33" i="5"/>
  <c r="I60" i="5"/>
  <c r="I46" i="5"/>
  <c r="I55" i="5" l="1"/>
  <c r="J26" i="5" s="1"/>
  <c r="J25" i="5"/>
  <c r="J31" i="5" s="1"/>
  <c r="I57" i="5" l="1"/>
  <c r="J24" i="5" s="1"/>
  <c r="J33" i="5" s="1"/>
  <c r="J60" i="5"/>
  <c r="J29" i="5" l="1"/>
  <c r="J27" i="5"/>
  <c r="J34" i="5" s="1"/>
  <c r="J47" i="5" s="1"/>
  <c r="J56" i="5" s="1"/>
  <c r="J30" i="5"/>
  <c r="J46" i="5"/>
  <c r="J55" i="5" s="1"/>
  <c r="K26" i="5" s="1"/>
  <c r="J32" i="5"/>
  <c r="J45" i="5" s="1"/>
  <c r="J54" i="5" s="1"/>
  <c r="K60" i="5" l="1"/>
  <c r="K25" i="5"/>
  <c r="K31" i="5" s="1"/>
  <c r="J57" i="5"/>
  <c r="K24" i="5" s="1"/>
  <c r="K27" i="5" l="1"/>
  <c r="K34" i="5" s="1"/>
  <c r="K47" i="5" s="1"/>
  <c r="K56" i="5" s="1"/>
  <c r="K30" i="5"/>
  <c r="K29" i="5"/>
  <c r="K33" i="5"/>
  <c r="K32" i="5"/>
  <c r="K45" i="5" s="1"/>
  <c r="K54" i="5" s="1"/>
  <c r="K46" i="5" l="1"/>
  <c r="K55" i="5" s="1"/>
  <c r="L26" i="5" s="1"/>
  <c r="L25" i="5"/>
  <c r="L60" i="5" l="1"/>
  <c r="L31" i="5"/>
  <c r="K57" i="5"/>
  <c r="L24" i="5" s="1"/>
  <c r="L30" i="5" l="1"/>
  <c r="L27" i="5"/>
  <c r="L34" i="5" s="1"/>
  <c r="L47" i="5" s="1"/>
  <c r="L56" i="5" s="1"/>
  <c r="L29" i="5"/>
  <c r="L33" i="5"/>
  <c r="L32" i="5"/>
  <c r="L45" i="5" s="1"/>
  <c r="L54" i="5" s="1"/>
  <c r="L46" i="5" l="1"/>
  <c r="L55" i="5" s="1"/>
  <c r="L57" i="5" s="1"/>
</calcChain>
</file>

<file path=xl/sharedStrings.xml><?xml version="1.0" encoding="utf-8"?>
<sst xmlns="http://schemas.openxmlformats.org/spreadsheetml/2006/main" count="273" uniqueCount="163">
  <si>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</si>
  <si>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</si>
  <si>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</si>
  <si>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</si>
  <si>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</si>
  <si>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</si>
  <si>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</si>
  <si>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</si>
  <si>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</si>
  <si>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</si>
  <si>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</si>
  <si>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</si>
  <si>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</si>
  <si>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</si>
  <si>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</si>
  <si>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</si>
  <si>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</si>
  <si>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</si>
  <si>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</si>
  <si>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</si>
  <si>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</si>
  <si>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</si>
  <si>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</si>
  <si>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</si>
  <si>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</si>
  <si>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</si>
  <si>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</si>
  <si>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</si>
  <si>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</si>
  <si>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</si>
  <si>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</si>
  <si>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</si>
  <si>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</si>
  <si>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</si>
  <si>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</si>
  <si>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</si>
  <si>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</si>
  <si>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</si>
  <si>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</si>
  <si>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</si>
  <si>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</si>
  <si>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</si>
  <si>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</si>
  <si>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</si>
  <si>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</si>
  <si>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</si>
  <si>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</si>
  <si>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</si>
  <si>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</si>
  <si>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</si>
  <si>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</si>
  <si>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</si>
  <si>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</si>
  <si>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</si>
  <si>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</si>
  <si>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</si>
  <si>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</si>
  <si>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</si>
  <si>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</si>
  <si>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</si>
  <si>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</si>
  <si>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</si>
  <si>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</si>
  <si>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</si>
  <si>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</si>
  <si>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</si>
  <si>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</si>
  <si>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</si>
  <si>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</si>
  <si>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</si>
  <si>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</si>
  <si>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</si>
  <si>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</si>
  <si>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</si>
  <si>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</si>
  <si>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</si>
  <si>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</si>
  <si>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</si>
  <si>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</si>
  <si>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</si>
  <si>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</si>
  <si>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</si>
  <si>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</si>
  <si>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</si>
  <si>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</si>
  <si>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</si>
  <si>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</si>
  <si>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</si>
  <si>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</si>
  <si>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</si>
  <si>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</si>
  <si>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</si>
  <si>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</si>
  <si>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</si>
  <si>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</si>
  <si>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</si>
  <si>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</si>
  <si>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</si>
  <si>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</si>
  <si>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</si>
  <si>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</si>
  <si>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</si>
  <si>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</si>
  <si>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</si>
  <si>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</si>
  <si>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</si>
  <si>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</si>
  <si>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</si>
  <si>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</si>
  <si>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A completed role play of the Millennium Drought continuing for 10 more years where David Rosenberg (DER) played all roles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</si>
  <si>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</si>
  <si>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</si>
  <si>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</si>
  <si>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</si>
  <si>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</si>
  <si>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</si>
  <si>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</si>
  <si>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</si>
  <si>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</si>
  <si>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</si>
  <si>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</si>
  <si>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</si>
  <si>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</si>
  <si>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</si>
  <si>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</si>
  <si>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</si>
  <si>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</si>
  <si>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</si>
  <si>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</si>
  <si>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</si>
  <si>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</si>
  <si>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</si>
  <si>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</si>
  <si>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</si>
  <si>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</si>
  <si>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</si>
  <si>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</si>
  <si>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</si>
  <si>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</si>
  <si>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</si>
  <si>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</si>
  <si>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</si>
  <si>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</si>
  <si>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</si>
  <si>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</si>
  <si>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</si>
  <si>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Reservoir Releases</t>
  </si>
  <si>
    <t xml:space="preserve">    Upper Basin (from Powell)</t>
  </si>
  <si>
    <t xml:space="preserve">    Lower Basin (from Mead)</t>
  </si>
  <si>
    <t xml:space="preserve">    Mexico (from Mead)</t>
  </si>
  <si>
    <t xml:space="preserve">    Mohave / Havasu Evaporation &amp; ET (from Mead)</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</si>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</sst>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27"/>
  <sheetViews>
    <sheetView zoomScale="150" zoomScaleNormal="150" workbookViewId="0"/>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127</v>
      </c>
      <c r="B1" s="1"/>
      <c r="C1" s="2"/>
      <c r="D1"/>
    </row>
    <row r="2" spans="1:12" x14ac:dyDescent="0.35">
      <c r="A2" s="1"/>
      <c r="B2" s="1"/>
      <c r="C2" s="2"/>
      <c r="D2"/>
    </row>
    <row r="3" spans="1:12" x14ac:dyDescent="0.35">
      <c r="A3" s="1" t="s">
        <v>39</v>
      </c>
      <c r="B3" s="1"/>
      <c r="C3" s="2"/>
      <c r="D3"/>
    </row>
    <row r="4" spans="1:12" ht="164.5" customHeight="1" x14ac:dyDescent="0.35">
      <c r="A4" s="57" t="s">
        <v>120</v>
      </c>
      <c r="B4" s="57"/>
      <c r="C4" s="57"/>
      <c r="D4" s="57"/>
      <c r="E4" s="57"/>
      <c r="F4" s="57"/>
      <c r="G4" s="57"/>
      <c r="H4" s="57"/>
      <c r="I4" s="57"/>
      <c r="J4" s="57"/>
      <c r="K4" s="57"/>
      <c r="L4" s="57"/>
    </row>
    <row r="5" spans="1:12" ht="13.5" customHeight="1" x14ac:dyDescent="0.35">
      <c r="B5" s="16"/>
      <c r="C5" s="16"/>
      <c r="D5" s="16"/>
      <c r="E5" s="16"/>
      <c r="F5" s="16"/>
      <c r="G5" s="16"/>
      <c r="H5" s="16"/>
      <c r="I5" s="16"/>
      <c r="J5" s="16"/>
      <c r="K5" s="16"/>
      <c r="L5" s="16"/>
    </row>
    <row r="6" spans="1:12" ht="16.5" customHeight="1" x14ac:dyDescent="0.35">
      <c r="A6" s="48" t="s">
        <v>125</v>
      </c>
      <c r="B6" s="49"/>
      <c r="C6" s="49"/>
      <c r="D6" s="49"/>
      <c r="E6" s="49"/>
      <c r="F6" s="49"/>
      <c r="G6" s="49"/>
      <c r="H6" s="49"/>
      <c r="I6" s="49"/>
      <c r="J6" s="49"/>
      <c r="K6" s="49"/>
      <c r="L6" s="50"/>
    </row>
    <row r="7" spans="1:12" ht="16.5" customHeight="1" x14ac:dyDescent="0.35">
      <c r="A7" s="29">
        <v>1</v>
      </c>
      <c r="B7" s="51" t="s">
        <v>121</v>
      </c>
      <c r="C7" s="51"/>
      <c r="D7" s="51"/>
      <c r="E7" s="51"/>
      <c r="F7" s="51"/>
      <c r="G7" s="51"/>
      <c r="H7" s="51"/>
      <c r="I7" s="51"/>
      <c r="J7" s="51"/>
      <c r="K7" s="51"/>
      <c r="L7" s="52"/>
    </row>
    <row r="8" spans="1:12" ht="16.5" customHeight="1" x14ac:dyDescent="0.35">
      <c r="A8" s="29">
        <v>2</v>
      </c>
      <c r="B8" s="51" t="s">
        <v>99</v>
      </c>
      <c r="C8" s="51"/>
      <c r="D8" s="51"/>
      <c r="E8" s="51"/>
      <c r="F8" s="51"/>
      <c r="G8" s="51"/>
      <c r="H8" s="51"/>
      <c r="I8" s="51"/>
      <c r="J8" s="51"/>
      <c r="K8" s="51"/>
      <c r="L8" s="52"/>
    </row>
    <row r="9" spans="1:12" ht="16.5" customHeight="1" x14ac:dyDescent="0.35">
      <c r="A9" s="29">
        <v>3</v>
      </c>
      <c r="B9" s="51" t="s">
        <v>55</v>
      </c>
      <c r="C9" s="51"/>
      <c r="D9" s="51"/>
      <c r="E9" s="51"/>
      <c r="F9" s="51"/>
      <c r="G9" s="51"/>
      <c r="H9" s="51"/>
      <c r="I9" s="51"/>
      <c r="J9" s="51"/>
      <c r="K9" s="51"/>
      <c r="L9" s="52"/>
    </row>
    <row r="10" spans="1:12" ht="32.5" customHeight="1" x14ac:dyDescent="0.35">
      <c r="A10" s="29">
        <v>4</v>
      </c>
      <c r="B10" s="51" t="s">
        <v>100</v>
      </c>
      <c r="C10" s="51"/>
      <c r="D10" s="51"/>
      <c r="E10" s="51"/>
      <c r="F10" s="51"/>
      <c r="G10" s="51"/>
      <c r="H10" s="51"/>
      <c r="I10" s="51"/>
      <c r="J10" s="51"/>
      <c r="K10" s="51"/>
      <c r="L10" s="52"/>
    </row>
    <row r="11" spans="1:12" ht="16.5" customHeight="1" x14ac:dyDescent="0.35">
      <c r="A11" s="29">
        <v>5</v>
      </c>
      <c r="B11" s="51" t="s">
        <v>57</v>
      </c>
      <c r="C11" s="51"/>
      <c r="D11" s="51"/>
      <c r="E11" s="51"/>
      <c r="F11" s="51"/>
      <c r="G11" s="51"/>
      <c r="H11" s="51"/>
      <c r="I11" s="51"/>
      <c r="J11" s="51"/>
      <c r="K11" s="51"/>
      <c r="L11" s="52"/>
    </row>
    <row r="12" spans="1:12" ht="16.5" customHeight="1" x14ac:dyDescent="0.35">
      <c r="A12" s="29">
        <v>6</v>
      </c>
      <c r="B12" s="51" t="s">
        <v>58</v>
      </c>
      <c r="C12" s="51"/>
      <c r="D12" s="51"/>
      <c r="E12" s="51"/>
      <c r="F12" s="51"/>
      <c r="G12" s="51"/>
      <c r="H12" s="51"/>
      <c r="I12" s="51"/>
      <c r="J12" s="51"/>
      <c r="K12" s="51"/>
      <c r="L12" s="52"/>
    </row>
    <row r="13" spans="1:12" ht="32.5" customHeight="1" x14ac:dyDescent="0.35">
      <c r="A13" s="29">
        <v>7</v>
      </c>
      <c r="B13" s="51" t="s">
        <v>122</v>
      </c>
      <c r="C13" s="51"/>
      <c r="D13" s="51"/>
      <c r="E13" s="51"/>
      <c r="F13" s="51"/>
      <c r="G13" s="51"/>
      <c r="H13" s="51"/>
      <c r="I13" s="51"/>
      <c r="J13" s="51"/>
      <c r="K13" s="51"/>
      <c r="L13" s="52"/>
    </row>
    <row r="14" spans="1:12" ht="16.5" customHeight="1" x14ac:dyDescent="0.35">
      <c r="A14" s="29">
        <v>8</v>
      </c>
      <c r="B14" s="51" t="s">
        <v>123</v>
      </c>
      <c r="C14" s="51"/>
      <c r="D14" s="51"/>
      <c r="E14" s="51"/>
      <c r="F14" s="51"/>
      <c r="G14" s="51"/>
      <c r="H14" s="51"/>
      <c r="I14" s="51"/>
      <c r="J14" s="51"/>
      <c r="K14" s="51"/>
      <c r="L14" s="52"/>
    </row>
    <row r="15" spans="1:12" ht="16.5" customHeight="1" x14ac:dyDescent="0.35">
      <c r="A15" s="29">
        <v>9</v>
      </c>
      <c r="B15" s="51" t="s">
        <v>124</v>
      </c>
      <c r="C15" s="51"/>
      <c r="D15" s="51"/>
      <c r="E15" s="51"/>
      <c r="F15" s="51"/>
      <c r="G15" s="51"/>
      <c r="H15" s="51"/>
      <c r="I15" s="51"/>
      <c r="J15" s="51"/>
      <c r="K15" s="51"/>
      <c r="L15" s="52"/>
    </row>
    <row r="16" spans="1:12" ht="16.5" customHeight="1" x14ac:dyDescent="0.35">
      <c r="A16" s="29">
        <v>10</v>
      </c>
      <c r="B16" s="51" t="s">
        <v>59</v>
      </c>
      <c r="C16" s="51"/>
      <c r="D16" s="51"/>
      <c r="E16" s="51"/>
      <c r="F16" s="51"/>
      <c r="G16" s="51"/>
      <c r="H16" s="51"/>
      <c r="I16" s="51"/>
      <c r="J16" s="51"/>
      <c r="K16" s="51"/>
      <c r="L16" s="52"/>
    </row>
    <row r="17" spans="1:12" ht="16.5" customHeight="1" x14ac:dyDescent="0.35">
      <c r="A17" s="29">
        <v>11</v>
      </c>
      <c r="B17" s="53" t="s">
        <v>60</v>
      </c>
      <c r="C17" s="53"/>
      <c r="D17" s="53"/>
      <c r="E17" s="53"/>
      <c r="F17" s="53"/>
      <c r="G17" s="53"/>
      <c r="H17" s="53"/>
      <c r="I17" s="53"/>
      <c r="J17" s="53"/>
      <c r="K17" s="53"/>
      <c r="L17" s="54"/>
    </row>
    <row r="18" spans="1:12" ht="32" customHeight="1" x14ac:dyDescent="0.35">
      <c r="A18" s="29">
        <v>12</v>
      </c>
      <c r="B18" s="55" t="s">
        <v>110</v>
      </c>
      <c r="C18" s="55"/>
      <c r="D18" s="55"/>
      <c r="E18" s="55"/>
      <c r="F18" s="55"/>
      <c r="G18" s="55"/>
      <c r="H18" s="55"/>
      <c r="I18" s="55"/>
      <c r="J18" s="55"/>
      <c r="K18" s="55"/>
      <c r="L18" s="56"/>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105</v>
      </c>
      <c r="C22" t="s">
        <v>106</v>
      </c>
    </row>
    <row r="23" spans="1:12" x14ac:dyDescent="0.35">
      <c r="B23" s="2" t="s">
        <v>107</v>
      </c>
      <c r="C23" t="s">
        <v>108</v>
      </c>
    </row>
    <row r="24" spans="1:12" x14ac:dyDescent="0.35">
      <c r="B24" s="2" t="s">
        <v>104</v>
      </c>
      <c r="C24" t="s">
        <v>109</v>
      </c>
    </row>
    <row r="26" spans="1:12" x14ac:dyDescent="0.35">
      <c r="A26" s="1" t="s">
        <v>51</v>
      </c>
    </row>
    <row r="27" spans="1:12" ht="30.5" customHeight="1" x14ac:dyDescent="0.35">
      <c r="A27" s="47" t="s">
        <v>126</v>
      </c>
      <c r="B27" s="47"/>
      <c r="C27" s="47"/>
      <c r="D27" s="47"/>
      <c r="E27" s="47"/>
      <c r="F27" s="47"/>
      <c r="G27" s="47"/>
      <c r="H27" s="47"/>
      <c r="I27" s="47"/>
      <c r="J27" s="47"/>
      <c r="K27" s="47"/>
      <c r="L27" s="47"/>
    </row>
  </sheetData>
  <mergeCells count="15">
    <mergeCell ref="A4:L4"/>
    <mergeCell ref="B9:L9"/>
    <mergeCell ref="B11:L11"/>
    <mergeCell ref="B12:L12"/>
    <mergeCell ref="B13:L13"/>
    <mergeCell ref="A27:L27"/>
    <mergeCell ref="A6:L6"/>
    <mergeCell ref="B10:L10"/>
    <mergeCell ref="B7:L7"/>
    <mergeCell ref="B8:L8"/>
    <mergeCell ref="B14:L14"/>
    <mergeCell ref="B15:L15"/>
    <mergeCell ref="B16:L16"/>
    <mergeCell ref="B17:L17"/>
    <mergeCell ref="B18:L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45" zoomScale="150" zoomScaleNormal="150" workbookViewId="0">
      <selection activeCell="A22" sqref="A22:A2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58"/>
      <c r="D5" s="58"/>
      <c r="E5" s="58"/>
      <c r="F5" s="58"/>
      <c r="G5" s="58"/>
      <c r="H5" s="58"/>
    </row>
    <row r="6" spans="1:11" x14ac:dyDescent="0.35">
      <c r="A6" s="17" t="s">
        <v>41</v>
      </c>
      <c r="B6" s="13"/>
      <c r="C6" s="58"/>
      <c r="D6" s="58"/>
      <c r="E6" s="58"/>
      <c r="F6" s="58"/>
      <c r="G6" s="58"/>
      <c r="H6" s="58"/>
    </row>
    <row r="7" spans="1:11" x14ac:dyDescent="0.35">
      <c r="A7" s="17" t="s">
        <v>42</v>
      </c>
      <c r="B7" s="13"/>
      <c r="C7" s="58"/>
      <c r="D7" s="58"/>
      <c r="E7" s="58"/>
      <c r="F7" s="58"/>
      <c r="G7" s="58"/>
      <c r="H7" s="58"/>
    </row>
    <row r="8" spans="1:11" x14ac:dyDescent="0.35">
      <c r="A8" s="17" t="s">
        <v>43</v>
      </c>
      <c r="B8" s="13"/>
      <c r="C8" s="58"/>
      <c r="D8" s="58"/>
      <c r="E8" s="58"/>
      <c r="F8" s="58"/>
      <c r="G8" s="58"/>
      <c r="H8" s="58"/>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119</v>
      </c>
    </row>
    <row r="22" spans="1:13" x14ac:dyDescent="0.35">
      <c r="A22" s="1" t="s">
        <v>46</v>
      </c>
      <c r="B22" s="1"/>
      <c r="C22" s="12">
        <v>13.4</v>
      </c>
      <c r="D22" s="12">
        <v>13</v>
      </c>
      <c r="E22" s="12">
        <v>12.6</v>
      </c>
      <c r="F22" s="12">
        <v>10</v>
      </c>
      <c r="G22" s="12"/>
      <c r="H22" s="12"/>
      <c r="I22" s="12"/>
      <c r="J22" s="12"/>
      <c r="K22" s="12"/>
      <c r="L22" s="12"/>
    </row>
    <row r="23" spans="1:13" x14ac:dyDescent="0.35">
      <c r="A23" s="1" t="s">
        <v>140</v>
      </c>
      <c r="B23" s="1"/>
      <c r="C23" s="12">
        <f>IF(C$22&lt;&gt;"",0.8,"")</f>
        <v>0.8</v>
      </c>
      <c r="D23" s="12">
        <f t="shared" ref="D23:L23" si="0">IF(D$22&lt;&gt;"",0.8,"")</f>
        <v>0.8</v>
      </c>
      <c r="E23" s="12">
        <f t="shared" si="0"/>
        <v>0.8</v>
      </c>
      <c r="F23" s="12">
        <f t="shared" si="0"/>
        <v>0.8</v>
      </c>
      <c r="G23" s="12" t="str">
        <f t="shared" si="0"/>
        <v/>
      </c>
      <c r="H23" s="12" t="str">
        <f t="shared" si="0"/>
        <v/>
      </c>
      <c r="I23" s="12" t="str">
        <f t="shared" si="0"/>
        <v/>
      </c>
      <c r="J23" s="12" t="str">
        <f t="shared" si="0"/>
        <v/>
      </c>
      <c r="K23" s="12" t="str">
        <f t="shared" si="0"/>
        <v/>
      </c>
      <c r="L23" s="12" t="str">
        <f t="shared" si="0"/>
        <v/>
      </c>
    </row>
    <row r="24" spans="1:13" x14ac:dyDescent="0.35">
      <c r="A24" s="1" t="s">
        <v>143</v>
      </c>
      <c r="B24" s="1"/>
      <c r="C24" s="15">
        <f>IF(C$22&lt;&gt;"",SUM(C25:C27),"")</f>
        <v>21.1</v>
      </c>
      <c r="D24" s="15">
        <f>IF(D$22&lt;&gt;"",C57,"")</f>
        <v>33.678102320000029</v>
      </c>
      <c r="E24" s="15">
        <f t="shared" ref="E24:L24" si="1">IF(E$22&lt;&gt;"",D57,"")</f>
        <v>45.545975380316023</v>
      </c>
      <c r="F24" s="15">
        <f t="shared" si="1"/>
        <v>56.696708477344025</v>
      </c>
      <c r="G24" s="15" t="str">
        <f t="shared" si="1"/>
        <v/>
      </c>
      <c r="H24" s="15" t="str">
        <f t="shared" si="1"/>
        <v/>
      </c>
      <c r="I24" s="15" t="str">
        <f t="shared" si="1"/>
        <v/>
      </c>
      <c r="J24" s="15" t="str">
        <f t="shared" si="1"/>
        <v/>
      </c>
      <c r="K24" s="15" t="str">
        <f t="shared" si="1"/>
        <v/>
      </c>
      <c r="L24" s="15" t="str">
        <f t="shared" si="1"/>
        <v/>
      </c>
    </row>
    <row r="25" spans="1:13" x14ac:dyDescent="0.35">
      <c r="A25" t="s">
        <v>135</v>
      </c>
      <c r="C25" s="15">
        <f>IF(C$22&lt;&gt;"",$B$19,"")</f>
        <v>11</v>
      </c>
      <c r="D25" s="15">
        <f>IF(D22&lt;&gt;"",C54,"")</f>
        <v>15.617257133649302</v>
      </c>
      <c r="E25" s="15">
        <f t="shared" ref="E25:L25" si="2">IF(E22&lt;&gt;"",D54,"")</f>
        <v>19.749521349309944</v>
      </c>
      <c r="F25" s="15">
        <f t="shared" si="2"/>
        <v>23.384370742939733</v>
      </c>
      <c r="G25" s="15" t="str">
        <f t="shared" si="2"/>
        <v/>
      </c>
      <c r="H25" s="15" t="str">
        <f t="shared" si="2"/>
        <v/>
      </c>
      <c r="I25" s="15" t="str">
        <f t="shared" si="2"/>
        <v/>
      </c>
      <c r="J25" s="15" t="str">
        <f t="shared" si="2"/>
        <v/>
      </c>
      <c r="K25" s="15" t="str">
        <f t="shared" si="2"/>
        <v/>
      </c>
      <c r="L25" s="15" t="str">
        <f t="shared" si="2"/>
        <v/>
      </c>
    </row>
    <row r="26" spans="1:13" x14ac:dyDescent="0.35">
      <c r="A26" t="s">
        <v>136</v>
      </c>
      <c r="C26" s="15">
        <f>IF(C$22&lt;&gt;"",$C$19,"")</f>
        <v>10.1</v>
      </c>
      <c r="D26" s="15">
        <f>IF(D23&lt;&gt;"",C55,"")</f>
        <v>16.560845186350726</v>
      </c>
      <c r="E26" s="15">
        <f t="shared" ref="E26:L27" si="3">IF(E23&lt;&gt;"",D55,"")</f>
        <v>22.85578606790471</v>
      </c>
      <c r="F26" s="15">
        <f t="shared" si="3"/>
        <v>28.97815440147442</v>
      </c>
      <c r="G26" s="15" t="str">
        <f t="shared" si="3"/>
        <v/>
      </c>
      <c r="H26" s="15" t="str">
        <f t="shared" si="3"/>
        <v/>
      </c>
      <c r="I26" s="15" t="str">
        <f t="shared" si="3"/>
        <v/>
      </c>
      <c r="J26" s="15" t="str">
        <f t="shared" si="3"/>
        <v/>
      </c>
      <c r="K26" s="15" t="str">
        <f t="shared" si="3"/>
        <v/>
      </c>
      <c r="L26" s="15" t="str">
        <f t="shared" si="3"/>
        <v/>
      </c>
    </row>
    <row r="27" spans="1:13" x14ac:dyDescent="0.35">
      <c r="A27" t="s">
        <v>32</v>
      </c>
      <c r="C27" s="15">
        <f>IF(C22&lt;&gt;"",0,"")</f>
        <v>0</v>
      </c>
      <c r="D27" s="15">
        <f>IF(D24&lt;&gt;"",C56,"")</f>
        <v>1.5</v>
      </c>
      <c r="E27" s="15">
        <f t="shared" si="3"/>
        <v>2.9406679631013724</v>
      </c>
      <c r="F27" s="15">
        <f t="shared" si="3"/>
        <v>4.3341833329298725</v>
      </c>
      <c r="G27" s="15" t="str">
        <f t="shared" si="3"/>
        <v/>
      </c>
      <c r="H27" s="15" t="str">
        <f t="shared" si="3"/>
        <v/>
      </c>
      <c r="I27" s="15" t="str">
        <f t="shared" si="3"/>
        <v/>
      </c>
      <c r="J27" s="15" t="str">
        <f t="shared" si="3"/>
        <v/>
      </c>
      <c r="K27" s="15" t="str">
        <f t="shared" si="3"/>
        <v/>
      </c>
      <c r="L27" s="15" t="str">
        <f t="shared" si="3"/>
        <v/>
      </c>
    </row>
    <row r="28" spans="1:13" x14ac:dyDescent="0.35">
      <c r="A28" s="1" t="s">
        <v>134</v>
      </c>
      <c r="C28"/>
    </row>
    <row r="29" spans="1:13" x14ac:dyDescent="0.35">
      <c r="A29" t="s">
        <v>132</v>
      </c>
      <c r="B29" s="37">
        <v>0.5</v>
      </c>
      <c r="C29" s="15">
        <f>C25</f>
        <v>11</v>
      </c>
      <c r="D29" s="15">
        <f t="shared" ref="D29:L29" si="4">IF(D22&lt;&gt;"",$B29*D$24,"")</f>
        <v>16.839051160000015</v>
      </c>
      <c r="E29" s="15">
        <f t="shared" si="4"/>
        <v>22.772987690158011</v>
      </c>
      <c r="F29" s="15">
        <f t="shared" si="4"/>
        <v>28.348354238672012</v>
      </c>
      <c r="G29" s="15" t="str">
        <f t="shared" si="4"/>
        <v/>
      </c>
      <c r="H29" s="15" t="str">
        <f t="shared" si="4"/>
        <v/>
      </c>
      <c r="I29" s="15" t="str">
        <f t="shared" si="4"/>
        <v/>
      </c>
      <c r="J29" s="15" t="str">
        <f t="shared" si="4"/>
        <v/>
      </c>
      <c r="K29" s="15" t="str">
        <f t="shared" si="4"/>
        <v/>
      </c>
      <c r="L29" s="15" t="str">
        <f t="shared" si="4"/>
        <v/>
      </c>
    </row>
    <row r="30" spans="1:13" x14ac:dyDescent="0.35">
      <c r="A30" t="s">
        <v>133</v>
      </c>
      <c r="B30" s="37">
        <f>1-B29</f>
        <v>0.5</v>
      </c>
      <c r="C30" s="15">
        <f>C26</f>
        <v>10.1</v>
      </c>
      <c r="D30" s="15">
        <f t="shared" ref="D30:L30" si="5">IF(D23&lt;&gt;"",$B30*D$24,"")</f>
        <v>16.839051160000015</v>
      </c>
      <c r="E30" s="15">
        <f t="shared" si="5"/>
        <v>22.772987690158011</v>
      </c>
      <c r="F30" s="15">
        <f t="shared" si="5"/>
        <v>28.348354238672012</v>
      </c>
      <c r="G30" s="15" t="str">
        <f t="shared" si="5"/>
        <v/>
      </c>
      <c r="H30" s="15" t="str">
        <f t="shared" si="5"/>
        <v/>
      </c>
      <c r="I30" s="15" t="str">
        <f t="shared" si="5"/>
        <v/>
      </c>
      <c r="J30" s="15" t="str">
        <f t="shared" si="5"/>
        <v/>
      </c>
      <c r="K30" s="15" t="str">
        <f t="shared" si="5"/>
        <v/>
      </c>
      <c r="L30" s="15" t="str">
        <f t="shared" si="5"/>
        <v/>
      </c>
    </row>
    <row r="31" spans="1:13" x14ac:dyDescent="0.35">
      <c r="A31" s="1" t="s">
        <v>138</v>
      </c>
      <c r="B31" s="1"/>
      <c r="C31" s="15">
        <f>IF(C$22&lt;&gt;"",VLOOKUP(C25*1000000,'Powell-Elevation-Area'!$B$5:$D$689,3)*$B$18/1000000 + VLOOKUP(C26*1000000,'Mead-Elevation-Area'!$B$5:$D$676,3)*$C$18/1000000,"")</f>
        <v>1.0218976799999733</v>
      </c>
      <c r="D31" s="15">
        <f>IF(D$22&lt;&gt;"",VLOOKUP(D25*1000000,'Powell-Elevation-Area'!$B$5:$D$689,3)*$B$18/1000000 + VLOOKUP(D26*1000000,'Mead-Elevation-Area'!$B$5:$D$676,3)*$C$18/1000000,"")</f>
        <v>1.3321269396840001</v>
      </c>
      <c r="E31" s="15">
        <f>IF(E$22&lt;&gt;"",VLOOKUP(E25*1000000,'Powell-Elevation-Area'!$B$5:$D$689,3)*$B$18/1000000 + VLOOKUP(E26*1000000,'Mead-Elevation-Area'!$B$5:$D$676,3)*$C$18/1000000,"")</f>
        <v>1.6492669029720002</v>
      </c>
      <c r="F31" s="15">
        <f>IF(F$22&lt;&gt;"",VLOOKUP(F25*1000000,'Powell-Elevation-Area'!$B$5:$D$689,3)*$B$18/1000000 + VLOOKUP(F26*1000000,'Mead-Elevation-Area'!$B$5:$D$676,3)*$C$18/1000000,"")</f>
        <v>1.8762957386819998</v>
      </c>
      <c r="G31" s="15" t="str">
        <f>IF(G$22&lt;&gt;"",VLOOKUP(G25*1000000,'Powell-Elevation-Area'!$B$5:$D$689,3)*$B$18/1000000 + VLOOKUP(G26*1000000,'Mead-Elevation-Area'!$B$5:$D$676,3)*$C$18/1000000,"")</f>
        <v/>
      </c>
      <c r="H31" s="15" t="str">
        <f>IF(H$22&lt;&gt;"",VLOOKUP(H25*1000000,'Powell-Elevation-Area'!$B$5:$D$689,3)*$B$18/1000000 + VLOOKUP(H26*1000000,'Mead-Elevation-Area'!$B$5:$D$676,3)*$C$18/1000000,"")</f>
        <v/>
      </c>
      <c r="I31" s="15" t="str">
        <f>IF(I$22&lt;&gt;"",VLOOKUP(I25*1000000,'Powell-Elevation-Area'!$B$5:$D$689,3)*$B$18/1000000 + VLOOKUP(I26*1000000,'Mead-Elevation-Area'!$B$5:$D$676,3)*$C$18/1000000,"")</f>
        <v/>
      </c>
      <c r="J31" s="15" t="str">
        <f>IF(J$22&lt;&gt;"",VLOOKUP(J25*1000000,'Powell-Elevation-Area'!$B$5:$D$689,3)*$B$18/1000000 + VLOOKUP(J26*1000000,'Mead-Elevation-Area'!$B$5:$D$676,3)*$C$18/1000000,"")</f>
        <v/>
      </c>
      <c r="K31" s="15" t="str">
        <f>IF(K$22&lt;&gt;"",VLOOKUP(K25*1000000,'Powell-Elevation-Area'!$B$5:$D$689,3)*$B$18/1000000 + VLOOKUP(K26*1000000,'Mead-Elevation-Area'!$B$5:$D$676,3)*$C$18/1000000,"")</f>
        <v/>
      </c>
      <c r="L31" s="15" t="str">
        <f>IF(L$22&lt;&gt;"",VLOOKUP(L25*1000000,'Powell-Elevation-Area'!$B$5:$D$689,3)*$B$18/1000000 + VLOOKUP(L26*1000000,'Mead-Elevation-Area'!$B$5:$D$676,3)*$C$18/1000000,"")</f>
        <v/>
      </c>
    </row>
    <row r="32" spans="1:13" x14ac:dyDescent="0.35">
      <c r="A32" t="s">
        <v>111</v>
      </c>
      <c r="B32" s="1"/>
      <c r="C32" s="15">
        <f>IF(C$22&lt;&gt;"",C$31*C25/C$24,"")</f>
        <v>0.5327428663506969</v>
      </c>
      <c r="D32" s="15">
        <f t="shared" ref="D32:L32" si="6">IF(D$22&lt;&gt;"",D$31*D25/D$24,"")</f>
        <v>0.61773578433935772</v>
      </c>
      <c r="E32" s="15">
        <f t="shared" si="6"/>
        <v>0.71515060637021322</v>
      </c>
      <c r="F32" s="15">
        <f t="shared" si="6"/>
        <v>0.77387199989344491</v>
      </c>
      <c r="G32" s="15" t="str">
        <f t="shared" si="6"/>
        <v/>
      </c>
      <c r="H32" s="15" t="str">
        <f t="shared" si="6"/>
        <v/>
      </c>
      <c r="I32" s="15" t="str">
        <f t="shared" si="6"/>
        <v/>
      </c>
      <c r="J32" s="15" t="str">
        <f t="shared" si="6"/>
        <v/>
      </c>
      <c r="K32" s="15" t="str">
        <f t="shared" si="6"/>
        <v/>
      </c>
      <c r="L32" s="15" t="str">
        <f t="shared" si="6"/>
        <v/>
      </c>
    </row>
    <row r="33" spans="1:13" x14ac:dyDescent="0.35">
      <c r="A33" t="s">
        <v>112</v>
      </c>
      <c r="B33" s="1"/>
      <c r="C33" s="15">
        <f>IF(C$22&lt;&gt;"",C$31*C26/C$24,"")</f>
        <v>0.48915481364927621</v>
      </c>
      <c r="D33" s="15">
        <f t="shared" ref="D33:L33" si="7">IF(D$22&lt;&gt;"",D$31*D26/D$24,"")</f>
        <v>0.65505911844601461</v>
      </c>
      <c r="E33" s="15">
        <f t="shared" si="7"/>
        <v>0.8276316664302874</v>
      </c>
      <c r="F33" s="15">
        <f t="shared" si="7"/>
        <v>0.95899019676040542</v>
      </c>
      <c r="G33" s="15" t="str">
        <f t="shared" si="7"/>
        <v/>
      </c>
      <c r="H33" s="15" t="str">
        <f t="shared" si="7"/>
        <v/>
      </c>
      <c r="I33" s="15" t="str">
        <f t="shared" si="7"/>
        <v/>
      </c>
      <c r="J33" s="15" t="str">
        <f t="shared" si="7"/>
        <v/>
      </c>
      <c r="K33" s="15" t="str">
        <f t="shared" si="7"/>
        <v/>
      </c>
      <c r="L33" s="15" t="str">
        <f t="shared" si="7"/>
        <v/>
      </c>
    </row>
    <row r="34" spans="1:13" x14ac:dyDescent="0.35">
      <c r="A34" t="s">
        <v>113</v>
      </c>
      <c r="B34" s="1"/>
      <c r="C34" s="15">
        <f>IF(C$22&lt;&gt;"",C$31*C27/C$24,"")</f>
        <v>0</v>
      </c>
      <c r="D34" s="15">
        <f t="shared" ref="D34:L34" si="8">IF(D$22&lt;&gt;"",D$31*D27/D$24,"")</f>
        <v>5.9332036898627677E-2</v>
      </c>
      <c r="E34" s="15">
        <f t="shared" si="8"/>
        <v>0.10648463017149967</v>
      </c>
      <c r="F34" s="15">
        <f t="shared" si="8"/>
        <v>0.14343354202814956</v>
      </c>
      <c r="G34" s="15" t="str">
        <f t="shared" si="8"/>
        <v/>
      </c>
      <c r="H34" s="15" t="str">
        <f t="shared" si="8"/>
        <v/>
      </c>
      <c r="I34" s="15" t="str">
        <f t="shared" si="8"/>
        <v/>
      </c>
      <c r="J34" s="15" t="str">
        <f t="shared" si="8"/>
        <v/>
      </c>
      <c r="K34" s="15" t="str">
        <f t="shared" si="8"/>
        <v/>
      </c>
      <c r="L34" s="15" t="str">
        <f t="shared" si="8"/>
        <v/>
      </c>
    </row>
    <row r="35" spans="1:13" x14ac:dyDescent="0.35">
      <c r="A35" s="1" t="s">
        <v>137</v>
      </c>
      <c r="B35" s="1"/>
      <c r="C35" s="26">
        <f>IF(C22&lt;&gt;"",1.5,"")</f>
        <v>1.5</v>
      </c>
      <c r="D35" s="26">
        <f t="shared" ref="D35:L35" si="9">IF(D22&lt;&gt;"",1.5,"")</f>
        <v>1.5</v>
      </c>
      <c r="E35" s="26">
        <f t="shared" si="9"/>
        <v>1.5</v>
      </c>
      <c r="F35" s="26">
        <f t="shared" si="9"/>
        <v>1.5</v>
      </c>
      <c r="G35" s="26" t="str">
        <f t="shared" si="9"/>
        <v/>
      </c>
      <c r="H35" s="26" t="str">
        <f t="shared" si="9"/>
        <v/>
      </c>
      <c r="I35" s="26" t="str">
        <f t="shared" si="9"/>
        <v/>
      </c>
      <c r="J35" s="26" t="str">
        <f t="shared" si="9"/>
        <v/>
      </c>
      <c r="K35" s="26" t="str">
        <f t="shared" si="9"/>
        <v/>
      </c>
      <c r="L35" s="26" t="str">
        <f t="shared" si="9"/>
        <v/>
      </c>
    </row>
    <row r="36" spans="1:13" x14ac:dyDescent="0.35">
      <c r="A36" s="1" t="s">
        <v>157</v>
      </c>
      <c r="B36" s="1"/>
      <c r="C36" s="15">
        <f>IF(C$22&lt;&gt;"",C22-C35/2,"")</f>
        <v>12.65</v>
      </c>
      <c r="D36" s="15">
        <f t="shared" ref="D36:L36" si="10">IF(D$22&lt;&gt;"",D22-D35/2,"")</f>
        <v>12.25</v>
      </c>
      <c r="E36" s="15">
        <f t="shared" si="10"/>
        <v>11.85</v>
      </c>
      <c r="F36" s="15">
        <f t="shared" si="10"/>
        <v>9.25</v>
      </c>
      <c r="G36" s="15" t="str">
        <f t="shared" si="10"/>
        <v/>
      </c>
      <c r="H36" s="15" t="str">
        <f t="shared" si="10"/>
        <v/>
      </c>
      <c r="I36" s="15" t="str">
        <f t="shared" si="10"/>
        <v/>
      </c>
      <c r="J36" s="15" t="str">
        <f t="shared" si="10"/>
        <v/>
      </c>
      <c r="K36" s="15" t="str">
        <f t="shared" si="10"/>
        <v/>
      </c>
      <c r="L36" s="15" t="str">
        <f t="shared" si="10"/>
        <v/>
      </c>
    </row>
    <row r="37" spans="1:13" x14ac:dyDescent="0.35">
      <c r="A37" t="s">
        <v>0</v>
      </c>
      <c r="B37" s="25"/>
      <c r="C37" s="15">
        <f>IF(C22&lt;&gt;"",MAX(0,C36-C38),"")</f>
        <v>5.15</v>
      </c>
      <c r="D37" s="15">
        <f t="shared" ref="D37:L37" si="11">IF(D22&lt;&gt;"",MAX(0,D36-D38),"")</f>
        <v>4.75</v>
      </c>
      <c r="E37" s="15">
        <f t="shared" si="11"/>
        <v>4.3499999999999996</v>
      </c>
      <c r="F37" s="15">
        <f t="shared" si="11"/>
        <v>1.75</v>
      </c>
      <c r="G37" s="15" t="str">
        <f t="shared" si="11"/>
        <v/>
      </c>
      <c r="H37" s="15" t="str">
        <f t="shared" si="11"/>
        <v/>
      </c>
      <c r="I37" s="15" t="str">
        <f t="shared" si="11"/>
        <v/>
      </c>
      <c r="J37" s="15" t="str">
        <f t="shared" si="11"/>
        <v/>
      </c>
      <c r="K37" s="15" t="str">
        <f t="shared" si="11"/>
        <v/>
      </c>
      <c r="L37" s="15" t="str">
        <f t="shared" si="11"/>
        <v/>
      </c>
    </row>
    <row r="38" spans="1:13" x14ac:dyDescent="0.35">
      <c r="A38" t="s">
        <v>1</v>
      </c>
      <c r="B38" s="46">
        <v>7.5</v>
      </c>
      <c r="C38" s="15">
        <f>IF(C22&lt;&gt;"",IF(C36&gt;$B38,$B38,C36),"")</f>
        <v>7.5</v>
      </c>
      <c r="D38" s="15">
        <f t="shared" ref="D38:L38" si="12">IF(D22&lt;&gt;"",IF(D36&gt;$B38,$B38,D36),"")</f>
        <v>7.5</v>
      </c>
      <c r="E38" s="15">
        <f t="shared" si="12"/>
        <v>7.5</v>
      </c>
      <c r="F38" s="15">
        <f t="shared" si="12"/>
        <v>7.5</v>
      </c>
      <c r="G38" s="15" t="str">
        <f t="shared" si="12"/>
        <v/>
      </c>
      <c r="H38" s="15" t="str">
        <f t="shared" si="12"/>
        <v/>
      </c>
      <c r="I38" s="15" t="str">
        <f t="shared" si="12"/>
        <v/>
      </c>
      <c r="J38" s="15" t="str">
        <f t="shared" si="12"/>
        <v/>
      </c>
      <c r="K38" s="15" t="str">
        <f t="shared" si="12"/>
        <v/>
      </c>
      <c r="L38" s="15" t="str">
        <f t="shared" si="12"/>
        <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15.617257133649302</v>
      </c>
      <c r="D45" s="15">
        <f t="shared" ref="D45:L45" si="13">IF(D$22&lt;&gt;"",D25+D37-D32-D40,"")</f>
        <v>19.749521349309944</v>
      </c>
      <c r="E45" s="15">
        <f t="shared" si="13"/>
        <v>23.384370742939733</v>
      </c>
      <c r="F45" s="15">
        <f t="shared" si="13"/>
        <v>24.360498743046289</v>
      </c>
      <c r="G45" s="15" t="str">
        <f t="shared" si="13"/>
        <v/>
      </c>
      <c r="H45" s="15" t="str">
        <f t="shared" si="13"/>
        <v/>
      </c>
      <c r="I45" s="15" t="str">
        <f t="shared" si="13"/>
        <v/>
      </c>
      <c r="J45" s="15" t="str">
        <f t="shared" si="13"/>
        <v/>
      </c>
      <c r="K45" s="15" t="str">
        <f t="shared" si="13"/>
        <v/>
      </c>
      <c r="L45" s="15" t="str">
        <f t="shared" si="13"/>
        <v/>
      </c>
    </row>
    <row r="46" spans="1:13" x14ac:dyDescent="0.35">
      <c r="A46" t="s">
        <v>3</v>
      </c>
      <c r="C46" s="15">
        <f>IF(C$22&lt;&gt;"",C26+C38-C33+C40+C42+C23-C35/2,"")</f>
        <v>17.160845186350727</v>
      </c>
      <c r="D46" s="15">
        <f t="shared" ref="D46:L46" si="14">IF(D$22&lt;&gt;"",D26+D38-D33+D40+D42+D23-D35/2,"")</f>
        <v>23.455786067904711</v>
      </c>
      <c r="E46" s="15">
        <f t="shared" si="14"/>
        <v>29.578154401474421</v>
      </c>
      <c r="F46" s="15">
        <f t="shared" si="14"/>
        <v>35.569164204714014</v>
      </c>
      <c r="G46" s="15" t="str">
        <f t="shared" si="14"/>
        <v/>
      </c>
      <c r="H46" s="15" t="str">
        <f t="shared" si="14"/>
        <v/>
      </c>
      <c r="I46" s="15" t="str">
        <f t="shared" si="14"/>
        <v/>
      </c>
      <c r="J46" s="15" t="str">
        <f t="shared" si="14"/>
        <v/>
      </c>
      <c r="K46" s="15" t="str">
        <f t="shared" si="14"/>
        <v/>
      </c>
      <c r="L46" s="15" t="str">
        <f t="shared" si="14"/>
        <v/>
      </c>
    </row>
    <row r="47" spans="1:13" x14ac:dyDescent="0.35">
      <c r="A47" t="s">
        <v>4</v>
      </c>
      <c r="C47" s="15">
        <f>IF(C$22&lt;&gt;"",C27+C35-C34-C42,"")</f>
        <v>1.5</v>
      </c>
      <c r="D47" s="15">
        <f t="shared" ref="D47:L47" si="15">IF(D$22&lt;&gt;"",D27+D35-D34-D42,"")</f>
        <v>2.9406679631013724</v>
      </c>
      <c r="E47" s="15">
        <f t="shared" si="15"/>
        <v>4.3341833329298725</v>
      </c>
      <c r="F47" s="15">
        <f t="shared" si="15"/>
        <v>5.6907497909017231</v>
      </c>
      <c r="G47" s="15" t="str">
        <f t="shared" si="15"/>
        <v/>
      </c>
      <c r="H47" s="15" t="str">
        <f t="shared" si="15"/>
        <v/>
      </c>
      <c r="I47" s="15" t="str">
        <f t="shared" si="15"/>
        <v/>
      </c>
      <c r="J47" s="15" t="str">
        <f t="shared" si="15"/>
        <v/>
      </c>
      <c r="K47" s="15" t="str">
        <f t="shared" si="15"/>
        <v/>
      </c>
      <c r="L47" s="15" t="str">
        <f t="shared" si="15"/>
        <v/>
      </c>
    </row>
    <row r="48" spans="1:13" x14ac:dyDescent="0.35">
      <c r="A48" s="1" t="s">
        <v>146</v>
      </c>
      <c r="B48" s="1"/>
      <c r="C48" s="30"/>
      <c r="D48" s="2"/>
      <c r="E48" s="2"/>
      <c r="F48" s="2"/>
      <c r="G48" s="2"/>
      <c r="H48" s="2"/>
      <c r="I48" s="2"/>
      <c r="J48" s="2"/>
      <c r="K48" s="2"/>
      <c r="L48" s="2"/>
    </row>
    <row r="49" spans="1:18" x14ac:dyDescent="0.35">
      <c r="A49" t="s">
        <v>147</v>
      </c>
      <c r="C49" s="26"/>
      <c r="D49" s="26"/>
      <c r="E49" s="26"/>
      <c r="F49" s="26"/>
      <c r="G49" s="26"/>
      <c r="H49" s="26"/>
      <c r="I49" s="26"/>
      <c r="J49" s="26"/>
      <c r="K49" s="26"/>
      <c r="L49" s="26"/>
      <c r="N49" s="1" t="s">
        <v>151</v>
      </c>
    </row>
    <row r="50" spans="1:18" x14ac:dyDescent="0.35">
      <c r="A50" t="s">
        <v>148</v>
      </c>
      <c r="C50" s="45"/>
      <c r="D50" s="45"/>
      <c r="E50" s="45"/>
      <c r="F50" s="45"/>
      <c r="G50" s="45"/>
      <c r="H50" s="45"/>
      <c r="I50" s="45"/>
      <c r="J50" s="45"/>
      <c r="K50" s="45"/>
      <c r="L50" s="45"/>
      <c r="N50" s="39" t="s">
        <v>152</v>
      </c>
      <c r="O50" s="39" t="s">
        <v>153</v>
      </c>
      <c r="P50" s="40" t="s">
        <v>154</v>
      </c>
      <c r="Q50" s="40" t="s">
        <v>155</v>
      </c>
      <c r="R50" s="39" t="s">
        <v>156</v>
      </c>
    </row>
    <row r="51" spans="1:18" x14ac:dyDescent="0.35">
      <c r="A51" t="s">
        <v>150</v>
      </c>
      <c r="C51" s="12">
        <f>IF(C$22&lt;&gt;"",0.6,"")</f>
        <v>0.6</v>
      </c>
      <c r="D51" s="12">
        <f t="shared" ref="D51:L51" si="16">IF(D$22&lt;&gt;"",0.6,"")</f>
        <v>0.6</v>
      </c>
      <c r="E51" s="12">
        <f t="shared" si="16"/>
        <v>0.6</v>
      </c>
      <c r="F51" s="12">
        <f t="shared" si="16"/>
        <v>0.6</v>
      </c>
      <c r="G51" s="12" t="str">
        <f t="shared" si="16"/>
        <v/>
      </c>
      <c r="H51" s="12" t="str">
        <f t="shared" si="16"/>
        <v/>
      </c>
      <c r="I51" s="12" t="str">
        <f t="shared" si="16"/>
        <v/>
      </c>
      <c r="J51" s="12" t="str">
        <f t="shared" si="16"/>
        <v/>
      </c>
      <c r="K51" s="12" t="str">
        <f t="shared" si="16"/>
        <v/>
      </c>
      <c r="L51" s="12" t="str">
        <f t="shared" si="16"/>
        <v/>
      </c>
      <c r="N51" s="41">
        <v>1025</v>
      </c>
      <c r="O51" s="42">
        <v>5.981122</v>
      </c>
      <c r="P51" s="43">
        <f t="shared" ref="P51:P58" si="17">R51-Q51</f>
        <v>1.2</v>
      </c>
      <c r="Q51" s="44">
        <v>0.125</v>
      </c>
      <c r="R51" s="43">
        <v>1.325</v>
      </c>
    </row>
    <row r="52" spans="1:18" x14ac:dyDescent="0.35">
      <c r="A52" t="s">
        <v>149</v>
      </c>
      <c r="C52" s="26"/>
      <c r="D52" s="26"/>
      <c r="E52" s="26"/>
      <c r="F52" s="26"/>
      <c r="G52" s="26"/>
      <c r="H52" s="26"/>
      <c r="I52" s="26"/>
      <c r="J52" s="26"/>
      <c r="K52" s="26"/>
      <c r="L52" s="26"/>
      <c r="N52" s="41">
        <v>1030</v>
      </c>
      <c r="O52" s="42">
        <v>6.305377</v>
      </c>
      <c r="P52" s="43">
        <f t="shared" si="17"/>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15.617257133649302</v>
      </c>
      <c r="D54" s="15">
        <f t="shared" ref="D54:L54" si="18">IF(D$22&lt;&gt;"",D45-D49,"")</f>
        <v>19.749521349309944</v>
      </c>
      <c r="E54" s="15">
        <f t="shared" si="18"/>
        <v>23.384370742939733</v>
      </c>
      <c r="F54" s="15">
        <f t="shared" si="18"/>
        <v>24.360498743046289</v>
      </c>
      <c r="G54" s="15" t="str">
        <f t="shared" si="18"/>
        <v/>
      </c>
      <c r="H54" s="15" t="str">
        <f t="shared" si="18"/>
        <v/>
      </c>
      <c r="I54" s="15" t="str">
        <f t="shared" si="18"/>
        <v/>
      </c>
      <c r="J54" s="15" t="str">
        <f t="shared" si="18"/>
        <v/>
      </c>
      <c r="K54" s="15" t="str">
        <f t="shared" si="18"/>
        <v/>
      </c>
      <c r="L54" s="15" t="str">
        <f t="shared" si="18"/>
        <v/>
      </c>
      <c r="N54" s="41">
        <v>1040</v>
      </c>
      <c r="O54" s="42">
        <v>6.977665</v>
      </c>
      <c r="P54" s="43">
        <f t="shared" si="17"/>
        <v>1.0169999999999999</v>
      </c>
      <c r="Q54" s="44">
        <v>7.0000000000000007E-2</v>
      </c>
      <c r="R54" s="43">
        <v>1.087</v>
      </c>
    </row>
    <row r="55" spans="1:18" x14ac:dyDescent="0.35">
      <c r="A55" t="s">
        <v>3</v>
      </c>
      <c r="C55" s="15">
        <f>IF(C$22&lt;&gt;"",C46-C50-C51,"")</f>
        <v>16.560845186350726</v>
      </c>
      <c r="D55" s="15">
        <f t="shared" ref="D55:L55" si="19">IF(D$22&lt;&gt;"",D46-D50-D51,"")</f>
        <v>22.85578606790471</v>
      </c>
      <c r="E55" s="15">
        <f t="shared" si="19"/>
        <v>28.97815440147442</v>
      </c>
      <c r="F55" s="15">
        <f t="shared" si="19"/>
        <v>34.969164204714012</v>
      </c>
      <c r="G55" s="15" t="str">
        <f t="shared" si="19"/>
        <v/>
      </c>
      <c r="H55" s="15" t="str">
        <f t="shared" si="19"/>
        <v/>
      </c>
      <c r="I55" s="15" t="str">
        <f t="shared" si="19"/>
        <v/>
      </c>
      <c r="J55" s="15" t="str">
        <f t="shared" si="19"/>
        <v/>
      </c>
      <c r="K55" s="15" t="str">
        <f t="shared" si="19"/>
        <v/>
      </c>
      <c r="L55" s="15" t="str">
        <f t="shared" si="19"/>
        <v/>
      </c>
      <c r="N55" s="41">
        <v>1045</v>
      </c>
      <c r="O55" s="42">
        <v>7.3260519999999998</v>
      </c>
      <c r="P55" s="43">
        <f t="shared" si="17"/>
        <v>0.96699999999999986</v>
      </c>
      <c r="Q55" s="44">
        <v>7.0000000000000007E-2</v>
      </c>
      <c r="R55" s="43">
        <v>1.0369999999999999</v>
      </c>
    </row>
    <row r="56" spans="1:18" x14ac:dyDescent="0.35">
      <c r="A56" t="s">
        <v>4</v>
      </c>
      <c r="C56" s="15">
        <f>IF(C$22&lt;&gt;"",C47-C52,"")</f>
        <v>1.5</v>
      </c>
      <c r="D56" s="15">
        <f t="shared" ref="D56:L56" si="20">IF(D$22&lt;&gt;"",D47-D52,"")</f>
        <v>2.9406679631013724</v>
      </c>
      <c r="E56" s="15">
        <f t="shared" si="20"/>
        <v>4.3341833329298725</v>
      </c>
      <c r="F56" s="15">
        <f t="shared" si="20"/>
        <v>5.6907497909017231</v>
      </c>
      <c r="G56" s="15" t="str">
        <f t="shared" si="20"/>
        <v/>
      </c>
      <c r="H56" s="15" t="str">
        <f t="shared" si="20"/>
        <v/>
      </c>
      <c r="I56" s="15" t="str">
        <f t="shared" si="20"/>
        <v/>
      </c>
      <c r="J56" s="15" t="str">
        <f t="shared" si="20"/>
        <v/>
      </c>
      <c r="K56" s="15" t="str">
        <f t="shared" si="20"/>
        <v/>
      </c>
      <c r="L56" s="15" t="str">
        <f t="shared" si="20"/>
        <v/>
      </c>
      <c r="N56" s="41">
        <v>1050</v>
      </c>
      <c r="O56" s="42">
        <v>7.6828779999999997</v>
      </c>
      <c r="P56" s="43">
        <f t="shared" si="17"/>
        <v>0.71700000000000008</v>
      </c>
      <c r="Q56" s="44">
        <v>7.0000000000000007E-2</v>
      </c>
      <c r="R56" s="43">
        <v>0.78700000000000003</v>
      </c>
    </row>
    <row r="57" spans="1:18" x14ac:dyDescent="0.35">
      <c r="A57" s="1" t="s">
        <v>142</v>
      </c>
      <c r="B57" s="1"/>
      <c r="C57" s="15">
        <f>IF(C$22&lt;&gt;"",SUM(C54:C56),"")</f>
        <v>33.678102320000029</v>
      </c>
      <c r="D57" s="15">
        <f t="shared" ref="D57:L57" si="21">IF(D$22&lt;&gt;"",SUM(D54:D56),"")</f>
        <v>45.545975380316023</v>
      </c>
      <c r="E57" s="15">
        <f t="shared" si="21"/>
        <v>56.696708477344025</v>
      </c>
      <c r="F57" s="15">
        <f t="shared" si="21"/>
        <v>65.020412738662017</v>
      </c>
      <c r="G57" s="15" t="str">
        <f t="shared" si="21"/>
        <v/>
      </c>
      <c r="H57" s="15" t="str">
        <f t="shared" si="21"/>
        <v/>
      </c>
      <c r="I57" s="15" t="str">
        <f t="shared" si="21"/>
        <v/>
      </c>
      <c r="J57" s="15" t="str">
        <f t="shared" si="21"/>
        <v/>
      </c>
      <c r="K57" s="15" t="str">
        <f t="shared" si="21"/>
        <v/>
      </c>
      <c r="L57" s="15" t="str">
        <f t="shared" si="21"/>
        <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144</v>
      </c>
      <c r="C59" s="12">
        <f>IF(C$22&lt;&gt;"",0.2,"")</f>
        <v>0.2</v>
      </c>
      <c r="D59" s="12">
        <f t="shared" ref="D59:L59" si="22">IF(D$22&lt;&gt;"",0.2,"")</f>
        <v>0.2</v>
      </c>
      <c r="E59" s="12">
        <f t="shared" si="22"/>
        <v>0.2</v>
      </c>
      <c r="F59" s="12">
        <f t="shared" si="22"/>
        <v>0.2</v>
      </c>
      <c r="G59" s="12" t="str">
        <f t="shared" si="22"/>
        <v/>
      </c>
      <c r="H59" s="12" t="str">
        <f t="shared" si="22"/>
        <v/>
      </c>
      <c r="I59" s="12" t="str">
        <f t="shared" si="22"/>
        <v/>
      </c>
      <c r="J59" s="12" t="str">
        <f t="shared" si="22"/>
        <v/>
      </c>
      <c r="K59" s="12" t="str">
        <f t="shared" si="22"/>
        <v/>
      </c>
      <c r="L59" s="12" t="str">
        <f t="shared" si="22"/>
        <v/>
      </c>
    </row>
    <row r="60" spans="1:18" x14ac:dyDescent="0.35">
      <c r="A60" t="s">
        <v>145</v>
      </c>
      <c r="C60" s="15">
        <f>IF(C$22&lt;&gt;"",C50+C59,"")</f>
        <v>0.2</v>
      </c>
      <c r="D60" s="15">
        <f t="shared" ref="D60:L60" si="23">IF(D$22&lt;&gt;"",D50+D59,"")</f>
        <v>0.2</v>
      </c>
      <c r="E60" s="15">
        <f t="shared" si="23"/>
        <v>0.2</v>
      </c>
      <c r="F60" s="15">
        <f t="shared" si="23"/>
        <v>0.2</v>
      </c>
      <c r="G60" s="15" t="str">
        <f t="shared" si="23"/>
        <v/>
      </c>
      <c r="H60" s="15" t="str">
        <f t="shared" si="23"/>
        <v/>
      </c>
      <c r="I60" s="15" t="str">
        <f t="shared" si="23"/>
        <v/>
      </c>
      <c r="J60" s="15" t="str">
        <f t="shared" si="23"/>
        <v/>
      </c>
      <c r="K60" s="15" t="str">
        <f t="shared" si="23"/>
        <v/>
      </c>
      <c r="L60" s="15" t="str">
        <f t="shared" si="23"/>
        <v/>
      </c>
    </row>
    <row r="62" spans="1:18" x14ac:dyDescent="0.35">
      <c r="D62" s="19"/>
    </row>
  </sheetData>
  <mergeCells count="4">
    <mergeCell ref="C5:H5"/>
    <mergeCell ref="C6:H6"/>
    <mergeCell ref="C7:H7"/>
    <mergeCell ref="C8:H8"/>
  </mergeCells>
  <conditionalFormatting sqref="C49:L49 D52:L52">
    <cfRule type="cellIs" dxfId="1" priority="1" operator="greaterThan">
      <formula>$C$45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abSelected="1" topLeftCell="B46" zoomScale="150" zoomScaleNormal="150" workbookViewId="0">
      <selection activeCell="C50" sqref="C5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58"/>
      <c r="D5" s="58"/>
      <c r="E5" s="58"/>
      <c r="F5" s="58"/>
      <c r="G5" s="58"/>
      <c r="H5" s="58"/>
    </row>
    <row r="6" spans="1:11" x14ac:dyDescent="0.35">
      <c r="A6" s="17" t="s">
        <v>41</v>
      </c>
      <c r="B6" s="36"/>
      <c r="C6" s="58"/>
      <c r="D6" s="58"/>
      <c r="E6" s="58"/>
      <c r="F6" s="58"/>
      <c r="G6" s="58"/>
      <c r="H6" s="58"/>
    </row>
    <row r="7" spans="1:11" x14ac:dyDescent="0.35">
      <c r="A7" s="17" t="s">
        <v>42</v>
      </c>
      <c r="B7" s="36"/>
      <c r="C7" s="58"/>
      <c r="D7" s="58"/>
      <c r="E7" s="58"/>
      <c r="F7" s="58"/>
      <c r="G7" s="58"/>
      <c r="H7" s="58"/>
    </row>
    <row r="8" spans="1:11" x14ac:dyDescent="0.35">
      <c r="A8" s="17" t="s">
        <v>43</v>
      </c>
      <c r="B8" s="36"/>
      <c r="C8" s="58"/>
      <c r="D8" s="58"/>
      <c r="E8" s="58"/>
      <c r="F8" s="58"/>
      <c r="G8" s="58"/>
      <c r="H8" s="58"/>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60" t="s">
        <v>36</v>
      </c>
      <c r="B21" s="60" t="s">
        <v>50</v>
      </c>
      <c r="C21" s="61" t="s">
        <v>6</v>
      </c>
      <c r="D21" s="61" t="s">
        <v>7</v>
      </c>
      <c r="E21" s="61" t="s">
        <v>8</v>
      </c>
      <c r="F21" s="61" t="s">
        <v>9</v>
      </c>
      <c r="G21" s="61" t="s">
        <v>10</v>
      </c>
      <c r="H21" s="61" t="s">
        <v>11</v>
      </c>
      <c r="I21" s="61" t="s">
        <v>12</v>
      </c>
      <c r="J21" s="61" t="s">
        <v>13</v>
      </c>
      <c r="K21" s="61" t="s">
        <v>37</v>
      </c>
      <c r="L21" s="61" t="s">
        <v>38</v>
      </c>
      <c r="M21" s="61" t="s">
        <v>119</v>
      </c>
    </row>
    <row r="22" spans="1:13" x14ac:dyDescent="0.35">
      <c r="A22" s="1" t="s">
        <v>46</v>
      </c>
      <c r="B22" s="1"/>
      <c r="C22" s="59">
        <v>12.4</v>
      </c>
      <c r="D22" s="59">
        <v>12.4</v>
      </c>
      <c r="E22" s="59">
        <v>12.4</v>
      </c>
      <c r="F22" s="59">
        <v>12.4</v>
      </c>
      <c r="G22" s="59">
        <v>12.4</v>
      </c>
      <c r="H22" s="59">
        <v>12.4</v>
      </c>
      <c r="I22" s="59">
        <v>12.4</v>
      </c>
      <c r="J22" s="59">
        <v>12.4</v>
      </c>
      <c r="K22" s="59">
        <v>12.4</v>
      </c>
      <c r="L22" s="59">
        <v>12.4</v>
      </c>
    </row>
    <row r="23" spans="1:13" x14ac:dyDescent="0.35">
      <c r="A23" s="1" t="s">
        <v>140</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143</v>
      </c>
      <c r="B24" s="1"/>
      <c r="C24" s="15">
        <f>IF(C$22&lt;&gt;"",SUM(C25:C27),"")</f>
        <v>21.1</v>
      </c>
      <c r="D24" s="15">
        <f>IF(D$22&lt;&gt;"",C57,"")</f>
        <v>19.611102320000029</v>
      </c>
      <c r="E24" s="15">
        <f t="shared" ref="E24:L24" si="1">IF(E$22&lt;&gt;"",D57,"")</f>
        <v>18.165689929499429</v>
      </c>
      <c r="F24" s="15">
        <f t="shared" si="1"/>
        <v>16.849171526499429</v>
      </c>
      <c r="G24" s="15">
        <f t="shared" si="1"/>
        <v>15.576945668900006</v>
      </c>
      <c r="H24" s="15">
        <f t="shared" si="1"/>
        <v>14.347347288900004</v>
      </c>
      <c r="I24" s="15">
        <f t="shared" si="1"/>
        <v>13.158549261398832</v>
      </c>
      <c r="J24" s="15">
        <f t="shared" si="1"/>
        <v>12.009916988898837</v>
      </c>
      <c r="K24" s="15">
        <f t="shared" si="1"/>
        <v>10.90093064580001</v>
      </c>
      <c r="L24" s="15">
        <f t="shared" si="1"/>
        <v>10.080001617800583</v>
      </c>
    </row>
    <row r="25" spans="1:13" x14ac:dyDescent="0.35">
      <c r="A25" t="s">
        <v>135</v>
      </c>
      <c r="C25" s="15">
        <f>IF(C$22&lt;&gt;"",$B$19,"")</f>
        <v>11</v>
      </c>
      <c r="D25" s="15">
        <f>IF(D22&lt;&gt;"",C54,"")</f>
        <v>9.9172571336493043</v>
      </c>
      <c r="E25" s="15">
        <f t="shared" ref="E25:L25" si="2">IF(E22&lt;&gt;"",D54,"")</f>
        <v>8.8724778448049761</v>
      </c>
      <c r="F25" s="15">
        <f t="shared" si="2"/>
        <v>7.8665292196506416</v>
      </c>
      <c r="G25" s="15">
        <f t="shared" si="2"/>
        <v>6.9013680836462248</v>
      </c>
      <c r="H25" s="15">
        <f t="shared" si="2"/>
        <v>5.9762825461095703</v>
      </c>
      <c r="I25" s="15">
        <f t="shared" si="2"/>
        <v>5.0906332730784181</v>
      </c>
      <c r="J25" s="15">
        <f t="shared" si="2"/>
        <v>4.2444339699557885</v>
      </c>
      <c r="K25" s="15">
        <f t="shared" si="2"/>
        <v>3.4378625798936513</v>
      </c>
      <c r="L25" s="15">
        <f t="shared" si="2"/>
        <v>2.6709081252854068</v>
      </c>
    </row>
    <row r="26" spans="1:13" x14ac:dyDescent="0.35">
      <c r="A26" t="s">
        <v>136</v>
      </c>
      <c r="C26" s="15">
        <f>IF(C$22&lt;&gt;"",$C$19,"")</f>
        <v>10.1</v>
      </c>
      <c r="D26" s="15">
        <f>IF(D23&lt;&gt;"",C55,"")</f>
        <v>9.6938451863507265</v>
      </c>
      <c r="E26" s="15">
        <f t="shared" ref="E26:L27" si="3">IF(E23&lt;&gt;"",D55,"")</f>
        <v>9.2932120846944546</v>
      </c>
      <c r="F26" s="15">
        <f t="shared" si="3"/>
        <v>8.9826423068487884</v>
      </c>
      <c r="G26" s="15">
        <f t="shared" si="3"/>
        <v>8.6755775852537802</v>
      </c>
      <c r="H26" s="15">
        <f t="shared" si="3"/>
        <v>8.3710647427904341</v>
      </c>
      <c r="I26" s="15">
        <f t="shared" si="3"/>
        <v>8.067915988320415</v>
      </c>
      <c r="J26" s="15">
        <f t="shared" si="3"/>
        <v>7.7654830189430477</v>
      </c>
      <c r="K26" s="15">
        <f t="shared" si="3"/>
        <v>7.4630680659063593</v>
      </c>
      <c r="L26" s="15">
        <f t="shared" si="3"/>
        <v>7.4090934925151775</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134</v>
      </c>
      <c r="C28"/>
    </row>
    <row r="29" spans="1:13" x14ac:dyDescent="0.35">
      <c r="A29" t="s">
        <v>132</v>
      </c>
      <c r="B29" s="37">
        <v>0.5</v>
      </c>
      <c r="C29" s="15">
        <f>C25</f>
        <v>11</v>
      </c>
      <c r="D29" s="15">
        <f t="shared" ref="D29:L30" si="4">IF(D22&lt;&gt;"",$B29*D$24,"")</f>
        <v>9.8055511600000145</v>
      </c>
      <c r="E29" s="15">
        <f t="shared" si="4"/>
        <v>9.0828449647497145</v>
      </c>
      <c r="F29" s="15">
        <f t="shared" si="4"/>
        <v>8.4245857632497145</v>
      </c>
      <c r="G29" s="15">
        <f t="shared" si="4"/>
        <v>7.7884728344500029</v>
      </c>
      <c r="H29" s="15">
        <f t="shared" si="4"/>
        <v>7.1736736444500018</v>
      </c>
      <c r="I29" s="15">
        <f t="shared" si="4"/>
        <v>6.5792746306994161</v>
      </c>
      <c r="J29" s="15">
        <f t="shared" si="4"/>
        <v>6.0049584944494185</v>
      </c>
      <c r="K29" s="15">
        <f t="shared" si="4"/>
        <v>5.4504653229000048</v>
      </c>
      <c r="L29" s="15">
        <f t="shared" si="4"/>
        <v>5.0400008089002917</v>
      </c>
    </row>
    <row r="30" spans="1:13" x14ac:dyDescent="0.35">
      <c r="A30" t="s">
        <v>133</v>
      </c>
      <c r="B30" s="37">
        <f>1-B29</f>
        <v>0.5</v>
      </c>
      <c r="C30" s="15">
        <f>C26</f>
        <v>10.1</v>
      </c>
      <c r="D30" s="15">
        <f t="shared" si="4"/>
        <v>9.8055511600000145</v>
      </c>
      <c r="E30" s="15">
        <f t="shared" si="4"/>
        <v>9.0828449647497145</v>
      </c>
      <c r="F30" s="15">
        <f t="shared" si="4"/>
        <v>8.4245857632497145</v>
      </c>
      <c r="G30" s="15">
        <f t="shared" si="4"/>
        <v>7.7884728344500029</v>
      </c>
      <c r="H30" s="15">
        <f t="shared" si="4"/>
        <v>7.1736736444500018</v>
      </c>
      <c r="I30" s="15">
        <f t="shared" si="4"/>
        <v>6.5792746306994161</v>
      </c>
      <c r="J30" s="15">
        <f t="shared" si="4"/>
        <v>6.0049584944494185</v>
      </c>
      <c r="K30" s="15">
        <f t="shared" si="4"/>
        <v>5.4504653229000048</v>
      </c>
      <c r="L30" s="15">
        <f t="shared" si="4"/>
        <v>5.0400008089002917</v>
      </c>
    </row>
    <row r="31" spans="1:13" x14ac:dyDescent="0.35">
      <c r="A31" s="1" t="s">
        <v>138</v>
      </c>
      <c r="B31" s="1"/>
      <c r="C31" s="15">
        <f>IF(C$22&lt;&gt;"",VLOOKUP(C25*1000000,'Powell-Elevation-Area'!$B$5:$D$689,3)*$B$18/1000000 + VLOOKUP(C26*1000000,'Mead-Elevation-Area'!$B$5:$D$676,3)*$C$18/1000000,"")</f>
        <v>1.0218976799999733</v>
      </c>
      <c r="D31" s="15">
        <f>IF(D$22&lt;&gt;"",VLOOKUP(D25*1000000,'Powell-Elevation-Area'!$B$5:$D$689,3)*$B$18/1000000 + VLOOKUP(D26*1000000,'Mead-Elevation-Area'!$B$5:$D$676,3)*$C$18/1000000,"")</f>
        <v>0.97841239050060014</v>
      </c>
      <c r="E31" s="15">
        <f>IF(E$22&lt;&gt;"",VLOOKUP(E25*1000000,'Powell-Elevation-Area'!$B$5:$D$689,3)*$B$18/1000000 + VLOOKUP(E26*1000000,'Mead-Elevation-Area'!$B$5:$D$676,3)*$C$18/1000000,"")</f>
        <v>0.93351840300000011</v>
      </c>
      <c r="F31" s="15">
        <f>IF(F$22&lt;&gt;"",VLOOKUP(F25*1000000,'Powell-Elevation-Area'!$B$5:$D$689,3)*$B$18/1000000 + VLOOKUP(F26*1000000,'Mead-Elevation-Area'!$B$5:$D$676,3)*$C$18/1000000,"")</f>
        <v>0.88922585759942696</v>
      </c>
      <c r="G31" s="15">
        <f>IF(G$22&lt;&gt;"",VLOOKUP(G25*1000000,'Powell-Elevation-Area'!$B$5:$D$689,3)*$B$18/1000000 + VLOOKUP(G26*1000000,'Mead-Elevation-Area'!$B$5:$D$676,3)*$C$18/1000000,"")</f>
        <v>0.84659837999999998</v>
      </c>
      <c r="H31" s="15">
        <f>IF(H$22&lt;&gt;"",VLOOKUP(H25*1000000,'Powell-Elevation-Area'!$B$5:$D$689,3)*$B$18/1000000 + VLOOKUP(H26*1000000,'Mead-Elevation-Area'!$B$5:$D$676,3)*$C$18/1000000,"")</f>
        <v>0.80579802750117302</v>
      </c>
      <c r="I31" s="15">
        <f>IF(I$22&lt;&gt;"",VLOOKUP(I25*1000000,'Powell-Elevation-Area'!$B$5:$D$689,3)*$B$18/1000000 + VLOOKUP(I26*1000000,'Mead-Elevation-Area'!$B$5:$D$676,3)*$C$18/1000000,"")</f>
        <v>0.76563227249999999</v>
      </c>
      <c r="J31" s="15">
        <f>IF(J$22&lt;&gt;"",VLOOKUP(J25*1000000,'Powell-Elevation-Area'!$B$5:$D$689,3)*$B$18/1000000 + VLOOKUP(J26*1000000,'Mead-Elevation-Area'!$B$5:$D$676,3)*$C$18/1000000,"")</f>
        <v>0.72598634309882693</v>
      </c>
      <c r="K31" s="15">
        <f>IF(K$22&lt;&gt;"",VLOOKUP(K25*1000000,'Powell-Elevation-Area'!$B$5:$D$689,3)*$B$18/1000000 + VLOOKUP(K26*1000000,'Mead-Elevation-Area'!$B$5:$D$676,3)*$C$18/1000000,"")</f>
        <v>0.68792902799942701</v>
      </c>
      <c r="L31" s="15">
        <f>IF(L$22&lt;&gt;"",VLOOKUP(L25*1000000,'Powell-Elevation-Area'!$B$5:$D$689,3)*$B$18/1000000 + VLOOKUP(L26*1000000,'Mead-Elevation-Area'!$B$5:$D$676,3)*$C$18/1000000,"")</f>
        <v>0.65641652999882705</v>
      </c>
    </row>
    <row r="32" spans="1:13" x14ac:dyDescent="0.35">
      <c r="A32" t="s">
        <v>111</v>
      </c>
      <c r="B32" s="1"/>
      <c r="C32" s="15">
        <f>IF(C$22&lt;&gt;"",C$31*C25/C$24,"")</f>
        <v>0.5327428663506969</v>
      </c>
      <c r="D32" s="15">
        <f t="shared" ref="D32:L34" si="5">IF(D$22&lt;&gt;"",D$31*D25/D$24,"")</f>
        <v>0.49477928884432704</v>
      </c>
      <c r="E32" s="15">
        <f t="shared" si="5"/>
        <v>0.4559486251543356</v>
      </c>
      <c r="F32" s="15">
        <f t="shared" si="5"/>
        <v>0.41516113600441773</v>
      </c>
      <c r="G32" s="15">
        <f t="shared" si="5"/>
        <v>0.37508553753665302</v>
      </c>
      <c r="H32" s="15">
        <f t="shared" si="5"/>
        <v>0.33564927303115372</v>
      </c>
      <c r="I32" s="15">
        <f t="shared" si="5"/>
        <v>0.29619930312263082</v>
      </c>
      <c r="J32" s="15">
        <f t="shared" si="5"/>
        <v>0.25657139006213614</v>
      </c>
      <c r="K32" s="15">
        <f t="shared" si="5"/>
        <v>0.21695445460824475</v>
      </c>
      <c r="L32" s="15">
        <f t="shared" si="5"/>
        <v>0.1739313454523102</v>
      </c>
    </row>
    <row r="33" spans="1:13" x14ac:dyDescent="0.35">
      <c r="A33" t="s">
        <v>112</v>
      </c>
      <c r="B33" s="1"/>
      <c r="C33" s="15">
        <f>IF(C$22&lt;&gt;"",C$31*C26/C$24,"")</f>
        <v>0.48915481364927621</v>
      </c>
      <c r="D33" s="15">
        <f t="shared" si="5"/>
        <v>0.48363310165627327</v>
      </c>
      <c r="E33" s="15">
        <f t="shared" si="5"/>
        <v>0.47756977784566457</v>
      </c>
      <c r="F33" s="15">
        <f t="shared" si="5"/>
        <v>0.47406472159500923</v>
      </c>
      <c r="G33" s="15">
        <f t="shared" si="5"/>
        <v>0.4715128424633469</v>
      </c>
      <c r="H33" s="15">
        <f t="shared" si="5"/>
        <v>0.47014875447001936</v>
      </c>
      <c r="I33" s="15">
        <f t="shared" si="5"/>
        <v>0.46943296937736922</v>
      </c>
      <c r="J33" s="15">
        <f t="shared" si="5"/>
        <v>0.46941495303669073</v>
      </c>
      <c r="K33" s="15">
        <f t="shared" si="5"/>
        <v>0.47097457339118232</v>
      </c>
      <c r="L33" s="15">
        <f t="shared" si="5"/>
        <v>0.4824851845465169</v>
      </c>
    </row>
    <row r="34" spans="1:13" x14ac:dyDescent="0.35">
      <c r="A34" t="s">
        <v>113</v>
      </c>
      <c r="B34" s="1"/>
      <c r="C34" s="15">
        <f>IF(C$22&lt;&gt;"",C$31*C27/C$24,"")</f>
        <v>0</v>
      </c>
      <c r="D34" s="15">
        <f t="shared" si="5"/>
        <v>0</v>
      </c>
      <c r="E34" s="15">
        <f t="shared" si="5"/>
        <v>0</v>
      </c>
      <c r="F34" s="15">
        <f t="shared" si="5"/>
        <v>0</v>
      </c>
      <c r="G34" s="15">
        <f t="shared" si="5"/>
        <v>0</v>
      </c>
      <c r="H34" s="15">
        <f t="shared" si="5"/>
        <v>0</v>
      </c>
      <c r="I34" s="15">
        <f t="shared" si="5"/>
        <v>0</v>
      </c>
      <c r="J34" s="15">
        <f t="shared" si="5"/>
        <v>0</v>
      </c>
      <c r="K34" s="15">
        <f t="shared" si="5"/>
        <v>0</v>
      </c>
      <c r="L34" s="15">
        <f t="shared" si="5"/>
        <v>0</v>
      </c>
    </row>
    <row r="35" spans="1:13" x14ac:dyDescent="0.35">
      <c r="A35" s="1" t="s">
        <v>137</v>
      </c>
      <c r="B35" s="1"/>
      <c r="C35" s="26">
        <v>1.5</v>
      </c>
      <c r="D35" s="26">
        <f>C35</f>
        <v>1.5</v>
      </c>
      <c r="E35" s="26">
        <f t="shared" ref="E35:L35" si="6">D35</f>
        <v>1.5</v>
      </c>
      <c r="F35" s="26">
        <f t="shared" si="6"/>
        <v>1.5</v>
      </c>
      <c r="G35" s="26">
        <f t="shared" si="6"/>
        <v>1.5</v>
      </c>
      <c r="H35" s="26">
        <f t="shared" si="6"/>
        <v>1.5</v>
      </c>
      <c r="I35" s="26">
        <f t="shared" si="6"/>
        <v>1.5</v>
      </c>
      <c r="J35" s="26">
        <f t="shared" si="6"/>
        <v>1.5</v>
      </c>
      <c r="K35" s="26">
        <f t="shared" si="6"/>
        <v>1.5</v>
      </c>
      <c r="L35" s="26">
        <f t="shared" si="6"/>
        <v>1.5</v>
      </c>
    </row>
    <row r="36" spans="1:13" x14ac:dyDescent="0.35">
      <c r="A36" s="1" t="s">
        <v>157</v>
      </c>
      <c r="B36" s="1"/>
      <c r="C36" s="15">
        <f>IF(C$22&lt;&gt;"",C22-C35/2,"")</f>
        <v>11.65</v>
      </c>
      <c r="D36" s="15">
        <f t="shared" ref="D36:L36" si="7">IF(D$22&lt;&gt;"",D22-D35/2,"")</f>
        <v>11.65</v>
      </c>
      <c r="E36" s="15">
        <f t="shared" si="7"/>
        <v>11.65</v>
      </c>
      <c r="F36" s="15">
        <f t="shared" si="7"/>
        <v>11.65</v>
      </c>
      <c r="G36" s="15">
        <f t="shared" si="7"/>
        <v>11.65</v>
      </c>
      <c r="H36" s="15">
        <f t="shared" si="7"/>
        <v>11.65</v>
      </c>
      <c r="I36" s="15">
        <f t="shared" si="7"/>
        <v>11.65</v>
      </c>
      <c r="J36" s="15">
        <f t="shared" si="7"/>
        <v>11.65</v>
      </c>
      <c r="K36" s="15">
        <f t="shared" si="7"/>
        <v>11.65</v>
      </c>
      <c r="L36" s="15">
        <f t="shared" si="7"/>
        <v>11.65</v>
      </c>
    </row>
    <row r="37" spans="1:13" x14ac:dyDescent="0.35">
      <c r="A37" t="s">
        <v>0</v>
      </c>
      <c r="B37" s="25"/>
      <c r="C37" s="15">
        <f>IF(C21&lt;&gt;"",MAX(0,C36-C38),"")</f>
        <v>4.1500000000000004</v>
      </c>
      <c r="D37" s="15">
        <f t="shared" ref="D37:L37" si="8">IF(D21&lt;&gt;"",MAX(0,D36-D38),"")</f>
        <v>4.1500000000000004</v>
      </c>
      <c r="E37" s="15">
        <f t="shared" si="8"/>
        <v>4.1500000000000004</v>
      </c>
      <c r="F37" s="15">
        <f t="shared" si="8"/>
        <v>4.1500000000000004</v>
      </c>
      <c r="G37" s="15">
        <f t="shared" si="8"/>
        <v>4.1500000000000004</v>
      </c>
      <c r="H37" s="15">
        <f t="shared" si="8"/>
        <v>4.1500000000000004</v>
      </c>
      <c r="I37" s="15">
        <f t="shared" si="8"/>
        <v>4.1500000000000004</v>
      </c>
      <c r="J37" s="15">
        <f t="shared" si="8"/>
        <v>4.1500000000000004</v>
      </c>
      <c r="K37" s="15">
        <f t="shared" si="8"/>
        <v>4.1500000000000004</v>
      </c>
      <c r="L37" s="15">
        <f t="shared" si="8"/>
        <v>4.1500000000000004</v>
      </c>
    </row>
    <row r="38" spans="1:13" x14ac:dyDescent="0.35">
      <c r="A38" t="s">
        <v>1</v>
      </c>
      <c r="B38" s="46">
        <v>7.5</v>
      </c>
      <c r="C38" s="15">
        <f>IF(C22&lt;&gt;"",IF(C36&gt;$B38,$B38,C36),"")</f>
        <v>7.5</v>
      </c>
      <c r="D38" s="15">
        <f t="shared" ref="D38:L38" si="9">IF(D22&lt;&gt;"",IF(D36&gt;$B38,$B38,D36),"")</f>
        <v>7.5</v>
      </c>
      <c r="E38" s="15">
        <f t="shared" si="9"/>
        <v>7.5</v>
      </c>
      <c r="F38" s="15">
        <f t="shared" si="9"/>
        <v>7.5</v>
      </c>
      <c r="G38" s="15">
        <f t="shared" si="9"/>
        <v>7.5</v>
      </c>
      <c r="H38" s="15">
        <f t="shared" si="9"/>
        <v>7.5</v>
      </c>
      <c r="I38" s="15">
        <f t="shared" si="9"/>
        <v>7.5</v>
      </c>
      <c r="J38" s="15">
        <f t="shared" si="9"/>
        <v>7.5</v>
      </c>
      <c r="K38" s="15">
        <f t="shared" si="9"/>
        <v>7.5</v>
      </c>
      <c r="L38" s="15">
        <f t="shared" si="9"/>
        <v>7.5</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14.617257133649304</v>
      </c>
      <c r="D45" s="15">
        <f t="shared" ref="D45:L45" si="10">IF(D$22&lt;&gt;"",D25+D37-D32-D40,"")</f>
        <v>13.572477844804977</v>
      </c>
      <c r="E45" s="15">
        <f t="shared" si="10"/>
        <v>12.566529219650642</v>
      </c>
      <c r="F45" s="15">
        <f t="shared" si="10"/>
        <v>11.601368083646225</v>
      </c>
      <c r="G45" s="15">
        <f t="shared" si="10"/>
        <v>10.676282546109571</v>
      </c>
      <c r="H45" s="15">
        <f t="shared" si="10"/>
        <v>9.7906332730784182</v>
      </c>
      <c r="I45" s="15">
        <f t="shared" si="10"/>
        <v>8.9444339699557887</v>
      </c>
      <c r="J45" s="15">
        <f t="shared" si="10"/>
        <v>8.1378625798936515</v>
      </c>
      <c r="K45" s="15">
        <f t="shared" si="10"/>
        <v>7.370908125285407</v>
      </c>
      <c r="L45" s="15">
        <f t="shared" si="10"/>
        <v>6.6469767798330972</v>
      </c>
    </row>
    <row r="46" spans="1:13" x14ac:dyDescent="0.35">
      <c r="A46" t="s">
        <v>3</v>
      </c>
      <c r="C46" s="15">
        <f>IF(C$22&lt;&gt;"",C26+C38-C33+C40+C42+C23-C35/2,"")</f>
        <v>17.160845186350727</v>
      </c>
      <c r="D46" s="15">
        <f t="shared" ref="D46:L46" si="11">IF(D$22&lt;&gt;"",D26+D38-D33+D40+D42+D23-D35/2,"")</f>
        <v>16.760212084694455</v>
      </c>
      <c r="E46" s="15">
        <f t="shared" si="11"/>
        <v>16.365642306848788</v>
      </c>
      <c r="F46" s="15">
        <f t="shared" si="11"/>
        <v>16.058577585253779</v>
      </c>
      <c r="G46" s="15">
        <f t="shared" si="11"/>
        <v>15.754064742790433</v>
      </c>
      <c r="H46" s="15">
        <f t="shared" si="11"/>
        <v>15.450915988320414</v>
      </c>
      <c r="I46" s="15">
        <f t="shared" si="11"/>
        <v>15.148483018943047</v>
      </c>
      <c r="J46" s="15">
        <f t="shared" si="11"/>
        <v>14.846068065906358</v>
      </c>
      <c r="K46" s="15">
        <f t="shared" si="11"/>
        <v>14.542093492515178</v>
      </c>
      <c r="L46" s="15">
        <f t="shared" si="11"/>
        <v>14.476608307968661</v>
      </c>
    </row>
    <row r="47" spans="1:13" x14ac:dyDescent="0.35">
      <c r="A47" t="s">
        <v>4</v>
      </c>
      <c r="C47" s="15">
        <f>IF(C$22&lt;&gt;"",C27+C35-C34-C42,"")</f>
        <v>1.5</v>
      </c>
      <c r="D47" s="15">
        <f t="shared" ref="D47:L47" si="12">IF(D$22&lt;&gt;"",D27+D35-D34-D42,"")</f>
        <v>1.5</v>
      </c>
      <c r="E47" s="15">
        <f t="shared" si="12"/>
        <v>1.5</v>
      </c>
      <c r="F47" s="15">
        <f t="shared" si="12"/>
        <v>1.5</v>
      </c>
      <c r="G47" s="15">
        <f t="shared" si="12"/>
        <v>1.5</v>
      </c>
      <c r="H47" s="15">
        <f t="shared" si="12"/>
        <v>1.5</v>
      </c>
      <c r="I47" s="15">
        <f t="shared" si="12"/>
        <v>1.5</v>
      </c>
      <c r="J47" s="15">
        <f t="shared" si="12"/>
        <v>1.5</v>
      </c>
      <c r="K47" s="15">
        <f t="shared" si="12"/>
        <v>1.5</v>
      </c>
      <c r="L47" s="15">
        <f t="shared" si="12"/>
        <v>1.5</v>
      </c>
    </row>
    <row r="48" spans="1:13" x14ac:dyDescent="0.35">
      <c r="A48" s="1" t="s">
        <v>158</v>
      </c>
      <c r="B48" s="1"/>
      <c r="C48" s="30"/>
      <c r="D48" s="2"/>
      <c r="E48" s="2"/>
      <c r="F48" s="2"/>
      <c r="G48" s="2"/>
      <c r="H48" s="2"/>
      <c r="I48" s="2"/>
      <c r="J48" s="2"/>
      <c r="K48" s="2"/>
      <c r="L48" s="2"/>
    </row>
    <row r="49" spans="1:18" x14ac:dyDescent="0.35">
      <c r="A49" t="s">
        <v>159</v>
      </c>
      <c r="C49" s="26">
        <v>4.7</v>
      </c>
      <c r="D49" s="26">
        <f>C49</f>
        <v>4.7</v>
      </c>
      <c r="E49" s="26">
        <f>D49</f>
        <v>4.7</v>
      </c>
      <c r="F49" s="26">
        <f t="shared" ref="F49:L49" si="13">E49</f>
        <v>4.7</v>
      </c>
      <c r="G49" s="26">
        <f t="shared" si="13"/>
        <v>4.7</v>
      </c>
      <c r="H49" s="26">
        <f t="shared" si="13"/>
        <v>4.7</v>
      </c>
      <c r="I49" s="26">
        <f t="shared" si="13"/>
        <v>4.7</v>
      </c>
      <c r="J49" s="26">
        <f t="shared" si="13"/>
        <v>4.7</v>
      </c>
      <c r="K49" s="26">
        <f t="shared" si="13"/>
        <v>4.7</v>
      </c>
      <c r="L49" s="26">
        <f t="shared" si="13"/>
        <v>4.7</v>
      </c>
      <c r="N49" s="1" t="s">
        <v>151</v>
      </c>
    </row>
    <row r="50" spans="1:18" x14ac:dyDescent="0.35">
      <c r="A50" t="s">
        <v>160</v>
      </c>
      <c r="C50" s="45">
        <f>7.5-IF(C26&lt;$O$51,$P$51,IF(C26&lt;=$O$58,VLOOKUP(C26,$O$51:$P$58,2),0))</f>
        <v>6.867</v>
      </c>
      <c r="D50" s="45">
        <f t="shared" ref="D50:L50" si="14">7.5-IF(D26&lt;$O$51,$P$51,IF(D26&lt;=$O$58,VLOOKUP(D26,$O$51:$P$58,2),0))</f>
        <v>6.867</v>
      </c>
      <c r="E50" s="45">
        <f t="shared" si="14"/>
        <v>6.7829999999999995</v>
      </c>
      <c r="F50" s="45">
        <f t="shared" si="14"/>
        <v>6.7829999999999995</v>
      </c>
      <c r="G50" s="45">
        <f t="shared" si="14"/>
        <v>6.7829999999999995</v>
      </c>
      <c r="H50" s="45">
        <f t="shared" si="14"/>
        <v>6.7829999999999995</v>
      </c>
      <c r="I50" s="45">
        <f t="shared" si="14"/>
        <v>6.7829999999999995</v>
      </c>
      <c r="J50" s="45">
        <f t="shared" si="14"/>
        <v>6.7829999999999995</v>
      </c>
      <c r="K50" s="45">
        <f t="shared" si="14"/>
        <v>6.5330000000000004</v>
      </c>
      <c r="L50" s="45">
        <f t="shared" si="14"/>
        <v>6.5330000000000004</v>
      </c>
      <c r="N50" s="39" t="s">
        <v>152</v>
      </c>
      <c r="O50" s="39" t="s">
        <v>153</v>
      </c>
      <c r="P50" s="40" t="s">
        <v>154</v>
      </c>
      <c r="Q50" s="40" t="s">
        <v>155</v>
      </c>
      <c r="R50" s="39" t="s">
        <v>156</v>
      </c>
    </row>
    <row r="51" spans="1:18" x14ac:dyDescent="0.35">
      <c r="A51" t="s">
        <v>161</v>
      </c>
      <c r="C51" s="12">
        <f>IF(C$22&lt;&gt;"",0.6,"")</f>
        <v>0.6</v>
      </c>
      <c r="D51" s="12">
        <f t="shared" ref="D51:L51" si="15">IF(D$22&lt;&gt;"",0.6,"")</f>
        <v>0.6</v>
      </c>
      <c r="E51" s="12">
        <f t="shared" si="15"/>
        <v>0.6</v>
      </c>
      <c r="F51" s="12">
        <f t="shared" si="15"/>
        <v>0.6</v>
      </c>
      <c r="G51" s="12">
        <f t="shared" si="15"/>
        <v>0.6</v>
      </c>
      <c r="H51" s="12">
        <f t="shared" si="15"/>
        <v>0.6</v>
      </c>
      <c r="I51" s="12">
        <f t="shared" si="15"/>
        <v>0.6</v>
      </c>
      <c r="J51" s="12">
        <f t="shared" si="15"/>
        <v>0.6</v>
      </c>
      <c r="K51" s="12">
        <f t="shared" si="15"/>
        <v>0.6</v>
      </c>
      <c r="L51" s="12">
        <f t="shared" si="15"/>
        <v>0.6</v>
      </c>
      <c r="N51" s="41">
        <v>1025</v>
      </c>
      <c r="O51" s="42">
        <v>5.981122</v>
      </c>
      <c r="P51" s="43">
        <f t="shared" ref="P51:P58" si="16">R51-Q51</f>
        <v>1.2</v>
      </c>
      <c r="Q51" s="44">
        <v>0.125</v>
      </c>
      <c r="R51" s="43">
        <v>1.325</v>
      </c>
    </row>
    <row r="52" spans="1:18" x14ac:dyDescent="0.35">
      <c r="A52" t="s">
        <v>162</v>
      </c>
      <c r="C52" s="26">
        <v>1.5</v>
      </c>
      <c r="D52" s="26">
        <f>C52</f>
        <v>1.5</v>
      </c>
      <c r="E52" s="26">
        <f>D52</f>
        <v>1.5</v>
      </c>
      <c r="F52" s="26">
        <f t="shared" ref="F52:L52" si="17">E52</f>
        <v>1.5</v>
      </c>
      <c r="G52" s="26">
        <f t="shared" si="17"/>
        <v>1.5</v>
      </c>
      <c r="H52" s="26">
        <f t="shared" si="17"/>
        <v>1.5</v>
      </c>
      <c r="I52" s="26">
        <f t="shared" si="17"/>
        <v>1.5</v>
      </c>
      <c r="J52" s="26">
        <f t="shared" si="17"/>
        <v>1.5</v>
      </c>
      <c r="K52" s="26">
        <f t="shared" si="17"/>
        <v>1.5</v>
      </c>
      <c r="L52" s="26">
        <f t="shared" si="17"/>
        <v>1.5</v>
      </c>
      <c r="N52" s="41">
        <v>1030</v>
      </c>
      <c r="O52" s="42">
        <v>6.305377</v>
      </c>
      <c r="P52" s="43">
        <f t="shared" si="16"/>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6"/>
        <v>1.0669999999999999</v>
      </c>
      <c r="Q53" s="44">
        <v>7.0000000000000007E-2</v>
      </c>
      <c r="R53" s="43">
        <v>1.137</v>
      </c>
    </row>
    <row r="54" spans="1:18" x14ac:dyDescent="0.35">
      <c r="A54" t="s">
        <v>2</v>
      </c>
      <c r="C54" s="15">
        <f>IF(C$22&lt;&gt;"",C45-C49,"")</f>
        <v>9.9172571336493043</v>
      </c>
      <c r="D54" s="15">
        <f t="shared" ref="D54:L54" si="18">IF(D$22&lt;&gt;"",D45-D49,"")</f>
        <v>8.8724778448049761</v>
      </c>
      <c r="E54" s="15">
        <f t="shared" si="18"/>
        <v>7.8665292196506416</v>
      </c>
      <c r="F54" s="15">
        <f t="shared" si="18"/>
        <v>6.9013680836462248</v>
      </c>
      <c r="G54" s="15">
        <f t="shared" si="18"/>
        <v>5.9762825461095703</v>
      </c>
      <c r="H54" s="15">
        <f t="shared" si="18"/>
        <v>5.0906332730784181</v>
      </c>
      <c r="I54" s="15">
        <f t="shared" si="18"/>
        <v>4.2444339699557885</v>
      </c>
      <c r="J54" s="15">
        <f t="shared" si="18"/>
        <v>3.4378625798936513</v>
      </c>
      <c r="K54" s="15">
        <f t="shared" si="18"/>
        <v>2.6709081252854068</v>
      </c>
      <c r="L54" s="15">
        <f t="shared" si="18"/>
        <v>1.946976779833097</v>
      </c>
      <c r="N54" s="41">
        <v>1040</v>
      </c>
      <c r="O54" s="42">
        <v>6.977665</v>
      </c>
      <c r="P54" s="43">
        <f t="shared" si="16"/>
        <v>1.0169999999999999</v>
      </c>
      <c r="Q54" s="44">
        <v>7.0000000000000007E-2</v>
      </c>
      <c r="R54" s="43">
        <v>1.087</v>
      </c>
    </row>
    <row r="55" spans="1:18" x14ac:dyDescent="0.35">
      <c r="A55" t="s">
        <v>3</v>
      </c>
      <c r="C55" s="15">
        <f>IF(C$22&lt;&gt;"",C46-C50-C51,"")</f>
        <v>9.6938451863507265</v>
      </c>
      <c r="D55" s="15">
        <f t="shared" ref="D55:L55" si="19">IF(D$22&lt;&gt;"",D46-D50-D51,"")</f>
        <v>9.2932120846944546</v>
      </c>
      <c r="E55" s="15">
        <f t="shared" si="19"/>
        <v>8.9826423068487884</v>
      </c>
      <c r="F55" s="15">
        <f t="shared" si="19"/>
        <v>8.6755775852537802</v>
      </c>
      <c r="G55" s="15">
        <f t="shared" si="19"/>
        <v>8.3710647427904341</v>
      </c>
      <c r="H55" s="15">
        <f t="shared" si="19"/>
        <v>8.067915988320415</v>
      </c>
      <c r="I55" s="15">
        <f t="shared" si="19"/>
        <v>7.7654830189430477</v>
      </c>
      <c r="J55" s="15">
        <f t="shared" si="19"/>
        <v>7.4630680659063593</v>
      </c>
      <c r="K55" s="15">
        <f t="shared" si="19"/>
        <v>7.4090934925151775</v>
      </c>
      <c r="L55" s="15">
        <f t="shared" si="19"/>
        <v>7.3436083079686609</v>
      </c>
      <c r="N55" s="41">
        <v>1045</v>
      </c>
      <c r="O55" s="42">
        <v>7.3260519999999998</v>
      </c>
      <c r="P55" s="43">
        <f t="shared" si="16"/>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6"/>
        <v>0.71700000000000008</v>
      </c>
      <c r="Q56" s="44">
        <v>7.0000000000000007E-2</v>
      </c>
      <c r="R56" s="43">
        <v>0.78700000000000003</v>
      </c>
    </row>
    <row r="57" spans="1:18" x14ac:dyDescent="0.35">
      <c r="A57" s="1" t="s">
        <v>142</v>
      </c>
      <c r="B57" s="1"/>
      <c r="C57" s="15">
        <f>IF(C$22&lt;&gt;"",SUM(C54:C56),"")</f>
        <v>19.611102320000029</v>
      </c>
      <c r="D57" s="15">
        <f t="shared" ref="D57:L57" si="21">IF(D$22&lt;&gt;"",SUM(D54:D56),"")</f>
        <v>18.165689929499429</v>
      </c>
      <c r="E57" s="15">
        <f t="shared" si="21"/>
        <v>16.849171526499429</v>
      </c>
      <c r="F57" s="15">
        <f t="shared" si="21"/>
        <v>15.576945668900006</v>
      </c>
      <c r="G57" s="15">
        <f t="shared" si="21"/>
        <v>14.347347288900004</v>
      </c>
      <c r="H57" s="15">
        <f t="shared" si="21"/>
        <v>13.158549261398832</v>
      </c>
      <c r="I57" s="15">
        <f t="shared" si="21"/>
        <v>12.009916988898837</v>
      </c>
      <c r="J57" s="15">
        <f t="shared" si="21"/>
        <v>10.90093064580001</v>
      </c>
      <c r="K57" s="15">
        <f t="shared" si="21"/>
        <v>10.080001617800583</v>
      </c>
      <c r="L57" s="15">
        <f t="shared" si="21"/>
        <v>9.2905850878017588</v>
      </c>
      <c r="N57" s="41">
        <v>1075</v>
      </c>
      <c r="O57" s="42">
        <v>9.6009879999900001</v>
      </c>
      <c r="P57" s="43">
        <f t="shared" si="16"/>
        <v>0.63300000000000001</v>
      </c>
      <c r="Q57" s="44">
        <v>0.05</v>
      </c>
      <c r="R57" s="43">
        <v>0.68300000000000005</v>
      </c>
    </row>
    <row r="58" spans="1:18" x14ac:dyDescent="0.35">
      <c r="N58" s="41">
        <v>1090</v>
      </c>
      <c r="O58" s="42">
        <v>10.857008</v>
      </c>
      <c r="P58" s="43">
        <f t="shared" si="16"/>
        <v>0.3</v>
      </c>
      <c r="Q58" s="40"/>
      <c r="R58" s="43">
        <v>0.3</v>
      </c>
    </row>
    <row r="59" spans="1:18" x14ac:dyDescent="0.35">
      <c r="A59" s="1" t="s">
        <v>144</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145</v>
      </c>
      <c r="C60" s="15">
        <f>IF(C$22&lt;&gt;"",C50+C59,"")</f>
        <v>7.0670000000000002</v>
      </c>
      <c r="D60" s="15">
        <f t="shared" ref="D60:L60" si="23">IF(D$22&lt;&gt;"",D50+D59,"")</f>
        <v>7.0670000000000002</v>
      </c>
      <c r="E60" s="15">
        <f t="shared" si="23"/>
        <v>6.9829999999999997</v>
      </c>
      <c r="F60" s="15">
        <f t="shared" si="23"/>
        <v>6.9829999999999997</v>
      </c>
      <c r="G60" s="15">
        <f t="shared" si="23"/>
        <v>6.9829999999999997</v>
      </c>
      <c r="H60" s="15">
        <f t="shared" si="23"/>
        <v>6.9829999999999997</v>
      </c>
      <c r="I60" s="15">
        <f t="shared" si="23"/>
        <v>6.9829999999999997</v>
      </c>
      <c r="J60" s="15">
        <f t="shared" si="23"/>
        <v>6.9829999999999997</v>
      </c>
      <c r="K60" s="15">
        <f t="shared" si="23"/>
        <v>6.7330000000000005</v>
      </c>
      <c r="L60" s="15">
        <f t="shared" si="23"/>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P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803"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139</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ReadMe-Directions</vt:lpstr>
      <vt:lpstr>Master</vt:lpstr>
      <vt:lpstr>Millenium-LawOfRiver</vt:lpstr>
      <vt:lpstr>HydrologicScenarios</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2021-05-05T01:19:43Z</dcterms:modified>
</cp:coreProperties>
</file>