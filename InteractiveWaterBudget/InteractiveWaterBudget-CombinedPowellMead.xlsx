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4A6C226E-3404-483B-8D46-8E3C7BFB0489}"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24" r:id="rId2"/>
    <sheet name="11.0-Trade" sheetId="27" r:id="rId3"/>
    <sheet name="11.0-LawOfRiver" sheetId="26" r:id="rId4"/>
    <sheet name="11.0-Plots" sheetId="19" r:id="rId5"/>
    <sheet name="MillenniumRecover-Trade" sheetId="29" r:id="rId6"/>
    <sheet name="MillenniumRecover-LawOfRiver" sheetId="25" r:id="rId7"/>
    <sheet name="Millennium-Plots" sheetId="28" r:id="rId8"/>
    <sheet name="MillenniumRecover-Delta" sheetId="21" r:id="rId9"/>
    <sheet name="HydrologicScenarios" sheetId="7" r:id="rId10"/>
    <sheet name="Powell-Elevation-Area" sheetId="2" r:id="rId11"/>
    <sheet name="Mead-Elevation-Area" sheetId="10" r:id="rId12"/>
    <sheet name="11.0-LawOfRiverShort" sheetId="16"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60" i="29" l="1"/>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M60" i="29" l="1"/>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P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E74" i="29" l="1"/>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F92" i="29" l="1"/>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B48" i="24"/>
  <c r="E48" i="24" s="1"/>
  <c r="B55"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C78" i="29" l="1"/>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77" i="29" l="1"/>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C89" i="29" l="1"/>
  <c r="D27" i="29" s="1"/>
  <c r="D28" i="29"/>
  <c r="C90" i="29"/>
  <c r="D44" i="27"/>
  <c r="D55" i="27" s="1"/>
  <c r="D54" i="27" s="1"/>
  <c r="D77" i="27"/>
  <c r="D93" i="27" s="1"/>
  <c r="C83" i="27"/>
  <c r="D44" i="26"/>
  <c r="D55" i="26" s="1"/>
  <c r="D54" i="26" s="1"/>
  <c r="D77" i="26"/>
  <c r="D93" i="26" s="1"/>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35" i="29" l="1"/>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37" i="29" l="1"/>
  <c r="D35" i="27"/>
  <c r="D36" i="27"/>
  <c r="D36" i="26"/>
  <c r="D35" i="26"/>
  <c r="C89" i="25"/>
  <c r="D27" i="25" s="1"/>
  <c r="D28" i="25"/>
  <c r="D35" i="24"/>
  <c r="D36" i="24"/>
  <c r="C90" i="24"/>
  <c r="L46" i="21"/>
  <c r="L53" i="21"/>
  <c r="D55" i="21"/>
  <c r="C83" i="21"/>
  <c r="D39" i="29" l="1"/>
  <c r="D70" i="29" s="1"/>
  <c r="D84" i="29" s="1"/>
  <c r="E29" i="29" s="1"/>
  <c r="D40" i="29"/>
  <c r="D71" i="29" s="1"/>
  <c r="D38" i="29"/>
  <c r="D41" i="29"/>
  <c r="D72" i="29" s="1"/>
  <c r="D86" i="29" s="1"/>
  <c r="E31" i="29" s="1"/>
  <c r="D37" i="27"/>
  <c r="D37" i="26"/>
  <c r="C90" i="25"/>
  <c r="D35" i="25"/>
  <c r="D36" i="25"/>
  <c r="D37" i="24"/>
  <c r="D54" i="21"/>
  <c r="C89" i="21"/>
  <c r="D28" i="21"/>
  <c r="D69" i="29" l="1"/>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76" i="29" l="1"/>
  <c r="D83" i="29"/>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D89" i="29" l="1"/>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35" i="29" l="1"/>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37" i="29" l="1"/>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40" i="29" l="1"/>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69" i="29" l="1"/>
  <c r="F77" i="29"/>
  <c r="F93" i="29" s="1"/>
  <c r="F44" i="29"/>
  <c r="F55" i="29" s="1"/>
  <c r="F54" i="29" s="1"/>
  <c r="E78" i="29"/>
  <c r="E85" i="29"/>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E76" i="29" l="1"/>
  <c r="F77" i="27"/>
  <c r="F93" i="27" s="1"/>
  <c r="F44" i="27"/>
  <c r="F55" i="27" s="1"/>
  <c r="F54" i="27" s="1"/>
  <c r="E69" i="27"/>
  <c r="E78" i="27"/>
  <c r="E85" i="27"/>
  <c r="F30" i="27" s="1"/>
  <c r="E78" i="26"/>
  <c r="E85" i="26"/>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E83" i="29" l="1"/>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E89" i="29" l="1"/>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27" i="29" l="1"/>
  <c r="E90" i="29"/>
  <c r="F35" i="27"/>
  <c r="F36" i="27"/>
  <c r="E90" i="26"/>
  <c r="F35" i="26"/>
  <c r="F36" i="26"/>
  <c r="E89" i="25"/>
  <c r="F27" i="25" s="1"/>
  <c r="F28" i="25"/>
  <c r="E90" i="24"/>
  <c r="F35" i="24"/>
  <c r="F36" i="24"/>
  <c r="E37" i="21"/>
  <c r="E49" i="16"/>
  <c r="E54" i="16" s="1"/>
  <c r="F50" i="16"/>
  <c r="F60" i="16" s="1"/>
  <c r="F35" i="29" l="1"/>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37" i="29" l="1"/>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40" i="29" l="1"/>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F69" i="29" l="1"/>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F76" i="29" l="1"/>
  <c r="F83" i="29"/>
  <c r="F89" i="27"/>
  <c r="G27" i="27" s="1"/>
  <c r="G28" i="27"/>
  <c r="F89" i="26"/>
  <c r="G27" i="26" s="1"/>
  <c r="G28" i="26"/>
  <c r="F90" i="26"/>
  <c r="F76" i="25"/>
  <c r="F83" i="25" s="1"/>
  <c r="F83" i="24"/>
  <c r="E90" i="21"/>
  <c r="F35" i="21"/>
  <c r="F36" i="21"/>
  <c r="F57" i="16"/>
  <c r="G24" i="16" s="1"/>
  <c r="G25" i="16"/>
  <c r="H50" i="16"/>
  <c r="G60" i="16"/>
  <c r="F89" i="29" l="1"/>
  <c r="G27" i="29" s="1"/>
  <c r="G28" i="29"/>
  <c r="F90" i="29"/>
  <c r="G35" i="27"/>
  <c r="G36" i="27"/>
  <c r="F90" i="27"/>
  <c r="G35" i="26"/>
  <c r="G36" i="26"/>
  <c r="F89" i="25"/>
  <c r="G27" i="25" s="1"/>
  <c r="G28" i="25"/>
  <c r="F89" i="24"/>
  <c r="G28" i="24"/>
  <c r="F37" i="21"/>
  <c r="I50" i="16"/>
  <c r="H60" i="16"/>
  <c r="G27" i="16"/>
  <c r="G29" i="16"/>
  <c r="G31" i="16" s="1"/>
  <c r="G30" i="16"/>
  <c r="G35" i="29" l="1"/>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G90" i="29"/>
  <c r="H35" i="26"/>
  <c r="H36" i="26"/>
  <c r="G89" i="25"/>
  <c r="H27" i="25" s="1"/>
  <c r="H28" i="25"/>
  <c r="G83" i="24"/>
  <c r="G37" i="21"/>
  <c r="H33" i="16"/>
  <c r="H46" i="16" s="1"/>
  <c r="H55" i="16" s="1"/>
  <c r="I26" i="16" s="1"/>
  <c r="H32" i="16"/>
  <c r="H45" i="16" s="1"/>
  <c r="H54" i="16" s="1"/>
  <c r="H35" i="29" l="1"/>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H90" i="29"/>
  <c r="I35" i="26"/>
  <c r="I36" i="26"/>
  <c r="I28" i="25"/>
  <c r="H89" i="25"/>
  <c r="I27" i="25" s="1"/>
  <c r="H83" i="24"/>
  <c r="H37" i="21"/>
  <c r="J32" i="16"/>
  <c r="J45" i="16" s="1"/>
  <c r="J54" i="16" s="1"/>
  <c r="K25" i="16" s="1"/>
  <c r="J33" i="16"/>
  <c r="J46" i="16" s="1"/>
  <c r="J55" i="16" s="1"/>
  <c r="K26" i="16" s="1"/>
  <c r="I35" i="29" l="1"/>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<sst xmlns="http://schemas.openxmlformats.org/spreadsheetml/2006/main" count="665" uniqueCount="200">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</sst>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3" fillId="2" borderId="1" xfId="2" applyAlignment="1">
      <alignment horizontal="center"/>
    </xf>
    <xf numFmtId="0" fontId="6" fillId="0" borderId="0" xfId="0" applyFont="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5"/>
  <sheetViews>
    <sheetView tabSelected="1" topLeftCell="A9" zoomScale="150" zoomScaleNormal="150" workbookViewId="0">
      <selection activeCell="B9" sqref="B9:L9"/>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74" t="s">
        <v>171</v>
      </c>
      <c r="B4" s="74"/>
      <c r="C4" s="74"/>
      <c r="D4" s="74"/>
      <c r="E4" s="74"/>
      <c r="F4" s="74"/>
      <c r="G4" s="74"/>
      <c r="H4" s="74"/>
      <c r="I4" s="74"/>
      <c r="J4" s="74"/>
      <c r="K4" s="74"/>
      <c r="L4" s="74"/>
    </row>
    <row r="5" spans="1:12" ht="13.5" customHeight="1" x14ac:dyDescent="0.35">
      <c r="B5" s="15"/>
      <c r="C5" s="15"/>
      <c r="D5" s="15"/>
      <c r="E5" s="15"/>
      <c r="F5" s="15"/>
      <c r="G5" s="15"/>
      <c r="H5" s="15"/>
      <c r="I5" s="15"/>
      <c r="J5" s="15"/>
      <c r="K5" s="15"/>
      <c r="L5" s="15"/>
    </row>
    <row r="6" spans="1:12" ht="16.5" customHeight="1" x14ac:dyDescent="0.35">
      <c r="A6" s="78" t="s">
        <v>109</v>
      </c>
      <c r="B6" s="79"/>
      <c r="C6" s="79"/>
      <c r="D6" s="79"/>
      <c r="E6" s="79"/>
      <c r="F6" s="79"/>
      <c r="G6" s="79"/>
      <c r="H6" s="79"/>
      <c r="I6" s="79"/>
      <c r="J6" s="79"/>
      <c r="K6" s="79"/>
      <c r="L6" s="80"/>
    </row>
    <row r="7" spans="1:12" ht="16.5" customHeight="1" x14ac:dyDescent="0.35">
      <c r="A7" s="28">
        <v>1</v>
      </c>
      <c r="B7" s="75" t="s">
        <v>148</v>
      </c>
      <c r="C7" s="75"/>
      <c r="D7" s="75"/>
      <c r="E7" s="75"/>
      <c r="F7" s="75"/>
      <c r="G7" s="75"/>
      <c r="H7" s="75"/>
      <c r="I7" s="75"/>
      <c r="J7" s="75"/>
      <c r="K7" s="75"/>
      <c r="L7" s="76"/>
    </row>
    <row r="8" spans="1:12" ht="16.5" customHeight="1" x14ac:dyDescent="0.35">
      <c r="A8" s="28">
        <v>2</v>
      </c>
      <c r="B8" s="75" t="s">
        <v>93</v>
      </c>
      <c r="C8" s="75"/>
      <c r="D8" s="75"/>
      <c r="E8" s="75"/>
      <c r="F8" s="75"/>
      <c r="G8" s="75"/>
      <c r="H8" s="75"/>
      <c r="I8" s="75"/>
      <c r="J8" s="75"/>
      <c r="K8" s="75"/>
      <c r="L8" s="76"/>
    </row>
    <row r="9" spans="1:12" ht="31" customHeight="1" x14ac:dyDescent="0.35">
      <c r="A9" s="28">
        <v>3</v>
      </c>
      <c r="B9" s="75" t="s">
        <v>170</v>
      </c>
      <c r="C9" s="75"/>
      <c r="D9" s="75"/>
      <c r="E9" s="75"/>
      <c r="F9" s="75"/>
      <c r="G9" s="75"/>
      <c r="H9" s="75"/>
      <c r="I9" s="75"/>
      <c r="J9" s="75"/>
      <c r="K9" s="75"/>
      <c r="L9" s="76"/>
    </row>
    <row r="10" spans="1:12" ht="32.5" customHeight="1" x14ac:dyDescent="0.35">
      <c r="A10" s="28">
        <v>4</v>
      </c>
      <c r="B10" s="75" t="s">
        <v>172</v>
      </c>
      <c r="C10" s="75"/>
      <c r="D10" s="75"/>
      <c r="E10" s="75"/>
      <c r="F10" s="75"/>
      <c r="G10" s="75"/>
      <c r="H10" s="75"/>
      <c r="I10" s="75"/>
      <c r="J10" s="75"/>
      <c r="K10" s="75"/>
      <c r="L10" s="76"/>
    </row>
    <row r="11" spans="1:12" ht="16.5" customHeight="1" x14ac:dyDescent="0.35">
      <c r="A11" s="28">
        <v>5</v>
      </c>
      <c r="B11" s="75" t="s">
        <v>173</v>
      </c>
      <c r="C11" s="75"/>
      <c r="D11" s="75"/>
      <c r="E11" s="75"/>
      <c r="F11" s="75"/>
      <c r="G11" s="75"/>
      <c r="H11" s="75"/>
      <c r="I11" s="75"/>
      <c r="J11" s="75"/>
      <c r="K11" s="75"/>
      <c r="L11" s="76"/>
    </row>
    <row r="12" spans="1:12" ht="16.5" customHeight="1" x14ac:dyDescent="0.35">
      <c r="A12" s="28">
        <v>6</v>
      </c>
      <c r="B12" s="75" t="s">
        <v>174</v>
      </c>
      <c r="C12" s="75"/>
      <c r="D12" s="75"/>
      <c r="E12" s="75"/>
      <c r="F12" s="75"/>
      <c r="G12" s="75"/>
      <c r="H12" s="75"/>
      <c r="I12" s="75"/>
      <c r="J12" s="75"/>
      <c r="K12" s="75"/>
      <c r="L12" s="76"/>
    </row>
    <row r="13" spans="1:12" ht="47" customHeight="1" x14ac:dyDescent="0.35">
      <c r="A13" s="28">
        <v>7</v>
      </c>
      <c r="B13" s="75" t="s">
        <v>175</v>
      </c>
      <c r="C13" s="75"/>
      <c r="D13" s="75"/>
      <c r="E13" s="75"/>
      <c r="F13" s="75"/>
      <c r="G13" s="75"/>
      <c r="H13" s="75"/>
      <c r="I13" s="75"/>
      <c r="J13" s="75"/>
      <c r="K13" s="75"/>
      <c r="L13" s="76"/>
    </row>
    <row r="14" spans="1:12" ht="32.5" customHeight="1" x14ac:dyDescent="0.35">
      <c r="A14" s="28">
        <v>8</v>
      </c>
      <c r="B14" s="75" t="s">
        <v>177</v>
      </c>
      <c r="C14" s="75"/>
      <c r="D14" s="75"/>
      <c r="E14" s="75"/>
      <c r="F14" s="75"/>
      <c r="G14" s="75"/>
      <c r="H14" s="75"/>
      <c r="I14" s="75"/>
      <c r="J14" s="75"/>
      <c r="K14" s="75"/>
      <c r="L14" s="76"/>
    </row>
    <row r="15" spans="1:12" ht="16.5" customHeight="1" x14ac:dyDescent="0.35">
      <c r="A15" s="28">
        <v>9</v>
      </c>
      <c r="B15" s="75" t="s">
        <v>176</v>
      </c>
      <c r="C15" s="75"/>
      <c r="D15" s="75"/>
      <c r="E15" s="75"/>
      <c r="F15" s="75"/>
      <c r="G15" s="75"/>
      <c r="H15" s="75"/>
      <c r="I15" s="75"/>
      <c r="J15" s="75"/>
      <c r="K15" s="75"/>
      <c r="L15" s="76"/>
    </row>
    <row r="16" spans="1:12" ht="16.5" customHeight="1" x14ac:dyDescent="0.35">
      <c r="A16" s="28">
        <v>10</v>
      </c>
      <c r="B16" s="75" t="s">
        <v>178</v>
      </c>
      <c r="C16" s="75"/>
      <c r="D16" s="75"/>
      <c r="E16" s="75"/>
      <c r="F16" s="75"/>
      <c r="G16" s="75"/>
      <c r="H16" s="75"/>
      <c r="I16" s="75"/>
      <c r="J16" s="75"/>
      <c r="K16" s="75"/>
      <c r="L16" s="76"/>
    </row>
    <row r="17" spans="1:12" ht="32" customHeight="1" x14ac:dyDescent="0.35">
      <c r="A17" s="28">
        <v>11</v>
      </c>
      <c r="B17" s="75" t="s">
        <v>179</v>
      </c>
      <c r="C17" s="75"/>
      <c r="D17" s="75"/>
      <c r="E17" s="75"/>
      <c r="F17" s="75"/>
      <c r="G17" s="75"/>
      <c r="H17" s="75"/>
      <c r="I17" s="75"/>
      <c r="J17" s="75"/>
      <c r="K17" s="75"/>
      <c r="L17" s="76"/>
    </row>
    <row r="18" spans="1:12" ht="16.5" customHeight="1" x14ac:dyDescent="0.35">
      <c r="A18" s="28">
        <v>12</v>
      </c>
      <c r="B18" s="81" t="s">
        <v>149</v>
      </c>
      <c r="C18" s="81"/>
      <c r="D18" s="81"/>
      <c r="E18" s="81"/>
      <c r="F18" s="81"/>
      <c r="G18" s="81"/>
      <c r="H18" s="81"/>
      <c r="I18" s="81"/>
      <c r="J18" s="81"/>
      <c r="K18" s="81"/>
      <c r="L18" s="82"/>
    </row>
    <row r="19" spans="1:12" ht="32" customHeight="1" x14ac:dyDescent="0.35">
      <c r="A19" s="28">
        <v>13</v>
      </c>
      <c r="B19" s="83" t="s">
        <v>150</v>
      </c>
      <c r="C19" s="83"/>
      <c r="D19" s="83"/>
      <c r="E19" s="83"/>
      <c r="F19" s="83"/>
      <c r="G19" s="83"/>
      <c r="H19" s="83"/>
      <c r="I19" s="83"/>
      <c r="J19" s="83"/>
      <c r="K19" s="83"/>
      <c r="L19" s="84"/>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143</v>
      </c>
      <c r="C23" t="s">
        <v>195</v>
      </c>
    </row>
    <row r="24" spans="1:12" x14ac:dyDescent="0.35">
      <c r="B24" s="2" t="s">
        <v>144</v>
      </c>
      <c r="C24" t="s">
        <v>152</v>
      </c>
    </row>
    <row r="25" spans="1:12" x14ac:dyDescent="0.35">
      <c r="B25" s="2" t="s">
        <v>146</v>
      </c>
      <c r="C25" t="s">
        <v>153</v>
      </c>
    </row>
    <row r="26" spans="1:12" x14ac:dyDescent="0.35">
      <c r="B26" s="2" t="s">
        <v>196</v>
      </c>
      <c r="C26" t="s">
        <v>197</v>
      </c>
    </row>
    <row r="27" spans="1:12" x14ac:dyDescent="0.35">
      <c r="B27" s="2" t="s">
        <v>191</v>
      </c>
      <c r="C27" t="s">
        <v>154</v>
      </c>
    </row>
    <row r="28" spans="1:12" x14ac:dyDescent="0.35">
      <c r="B28" s="2" t="s">
        <v>198</v>
      </c>
      <c r="C28" t="s">
        <v>199</v>
      </c>
    </row>
    <row r="29" spans="1:12" x14ac:dyDescent="0.35">
      <c r="B29" s="2" t="s">
        <v>192</v>
      </c>
      <c r="C29" t="s">
        <v>193</v>
      </c>
    </row>
    <row r="30" spans="1:12" x14ac:dyDescent="0.35">
      <c r="B30" s="2" t="s">
        <v>96</v>
      </c>
      <c r="C30" t="s">
        <v>97</v>
      </c>
    </row>
    <row r="31" spans="1:12" x14ac:dyDescent="0.35">
      <c r="B31" s="2" t="s">
        <v>98</v>
      </c>
      <c r="C31" t="s">
        <v>99</v>
      </c>
    </row>
    <row r="32" spans="1:12" x14ac:dyDescent="0.35">
      <c r="B32" s="2" t="s">
        <v>155</v>
      </c>
      <c r="C32" t="s">
        <v>156</v>
      </c>
    </row>
    <row r="34" spans="1:12" x14ac:dyDescent="0.35">
      <c r="A34" s="1" t="s">
        <v>50</v>
      </c>
    </row>
    <row r="35" spans="1:12" ht="30.5" customHeight="1" x14ac:dyDescent="0.35">
      <c r="A35" s="77" t="s">
        <v>151</v>
      </c>
      <c r="B35" s="77"/>
      <c r="C35" s="77"/>
      <c r="D35" s="77"/>
      <c r="E35" s="77"/>
      <c r="F35" s="77"/>
      <c r="G35" s="77"/>
      <c r="H35" s="77"/>
      <c r="I35" s="77"/>
      <c r="J35" s="77"/>
      <c r="K35" s="77"/>
      <c r="L35" s="77"/>
    </row>
  </sheetData>
  <mergeCells count="16">
    <mergeCell ref="A35:L35"/>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zoomScale="150" zoomScaleNormal="150" workbookViewId="0">
      <selection activeCell="F23" sqref="F2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c r="C6" s="91"/>
      <c r="D6" s="91"/>
      <c r="E6" s="91"/>
      <c r="F6" s="91"/>
      <c r="G6" s="91"/>
    </row>
    <row r="7" spans="1:11" x14ac:dyDescent="0.35">
      <c r="A7" s="66" t="s">
        <v>41</v>
      </c>
      <c r="B7" s="66"/>
      <c r="C7" s="85"/>
      <c r="D7" s="85"/>
      <c r="E7" s="85"/>
      <c r="F7" s="85"/>
      <c r="G7" s="85"/>
    </row>
    <row r="8" spans="1:11" x14ac:dyDescent="0.35">
      <c r="A8" s="66" t="s">
        <v>42</v>
      </c>
      <c r="B8" s="66"/>
      <c r="C8" s="91"/>
      <c r="D8" s="91"/>
      <c r="E8" s="91"/>
      <c r="F8" s="91"/>
      <c r="G8" s="91"/>
    </row>
    <row r="9" spans="1:11" x14ac:dyDescent="0.35">
      <c r="A9" s="66" t="s">
        <v>165</v>
      </c>
      <c r="B9" s="66"/>
      <c r="C9" s="85" t="s">
        <v>187</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t="e">
        <f>C44/2</f>
        <v>#VALUE!</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t="e">
        <f>C44/2</f>
        <v>#VALUE!</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1">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379" priority="60" operator="greaterThan">
      <formula>$C$69</formula>
    </cfRule>
  </conditionalFormatting>
  <conditionalFormatting sqref="C77">
    <cfRule type="cellIs" dxfId="378" priority="59" operator="greaterThan">
      <formula>$C$70</formula>
    </cfRule>
  </conditionalFormatting>
  <conditionalFormatting sqref="C78">
    <cfRule type="cellIs" dxfId="377" priority="58" operator="greaterThan">
      <formula>$C$71</formula>
    </cfRule>
  </conditionalFormatting>
  <conditionalFormatting sqref="C79">
    <cfRule type="cellIs" dxfId="376" priority="57" operator="greaterThan">
      <formula>$C$72</formula>
    </cfRule>
  </conditionalFormatting>
  <conditionalFormatting sqref="C80">
    <cfRule type="cellIs" dxfId="375" priority="56" operator="greaterThan">
      <formula>$C$73</formula>
    </cfRule>
  </conditionalFormatting>
  <conditionalFormatting sqref="C81">
    <cfRule type="cellIs" dxfId="374" priority="55" operator="greaterThan">
      <formula>$C$74</formula>
    </cfRule>
  </conditionalFormatting>
  <conditionalFormatting sqref="D76">
    <cfRule type="cellIs" dxfId="373" priority="54" operator="greaterThan">
      <formula>$D$69</formula>
    </cfRule>
  </conditionalFormatting>
  <conditionalFormatting sqref="D77">
    <cfRule type="cellIs" dxfId="372" priority="53" operator="greaterThan">
      <formula>$D$70</formula>
    </cfRule>
  </conditionalFormatting>
  <conditionalFormatting sqref="D78">
    <cfRule type="cellIs" dxfId="371" priority="52" operator="greaterThan">
      <formula>$D$71</formula>
    </cfRule>
  </conditionalFormatting>
  <conditionalFormatting sqref="D79">
    <cfRule type="cellIs" dxfId="370" priority="51" operator="greaterThan">
      <formula>$D$72</formula>
    </cfRule>
  </conditionalFormatting>
  <conditionalFormatting sqref="D80">
    <cfRule type="cellIs" dxfId="369" priority="50" operator="greaterThan">
      <formula>$D$73</formula>
    </cfRule>
  </conditionalFormatting>
  <conditionalFormatting sqref="D81">
    <cfRule type="cellIs" dxfId="368" priority="49" operator="greaterThan">
      <formula>$D$74</formula>
    </cfRule>
  </conditionalFormatting>
  <conditionalFormatting sqref="E76">
    <cfRule type="cellIs" dxfId="367" priority="48" operator="greaterThan">
      <formula>$E$69</formula>
    </cfRule>
  </conditionalFormatting>
  <conditionalFormatting sqref="E77">
    <cfRule type="cellIs" dxfId="366" priority="47" operator="greaterThan">
      <formula>$E$70</formula>
    </cfRule>
  </conditionalFormatting>
  <conditionalFormatting sqref="E78">
    <cfRule type="cellIs" dxfId="365" priority="46" operator="greaterThan">
      <formula>$E$71</formula>
    </cfRule>
  </conditionalFormatting>
  <conditionalFormatting sqref="E79">
    <cfRule type="cellIs" dxfId="364" priority="45" operator="greaterThan">
      <formula>$E$72</formula>
    </cfRule>
  </conditionalFormatting>
  <conditionalFormatting sqref="E80">
    <cfRule type="cellIs" dxfId="363" priority="44" operator="greaterThan">
      <formula>$E$73</formula>
    </cfRule>
  </conditionalFormatting>
  <conditionalFormatting sqref="E81">
    <cfRule type="cellIs" dxfId="362" priority="43" operator="greaterThan">
      <formula>$E$74</formula>
    </cfRule>
  </conditionalFormatting>
  <conditionalFormatting sqref="F76">
    <cfRule type="cellIs" dxfId="361" priority="42" operator="greaterThan">
      <formula>$F$69</formula>
    </cfRule>
  </conditionalFormatting>
  <conditionalFormatting sqref="F77">
    <cfRule type="cellIs" dxfId="360" priority="41" operator="greaterThan">
      <formula>$F$70</formula>
    </cfRule>
  </conditionalFormatting>
  <conditionalFormatting sqref="F78">
    <cfRule type="cellIs" dxfId="359" priority="40" operator="greaterThan">
      <formula>$F$71</formula>
    </cfRule>
  </conditionalFormatting>
  <conditionalFormatting sqref="F79">
    <cfRule type="cellIs" dxfId="358" priority="39" operator="greaterThan">
      <formula>$F$72</formula>
    </cfRule>
  </conditionalFormatting>
  <conditionalFormatting sqref="F80">
    <cfRule type="cellIs" dxfId="357" priority="38" operator="greaterThan">
      <formula>$F$73</formula>
    </cfRule>
  </conditionalFormatting>
  <conditionalFormatting sqref="F81">
    <cfRule type="cellIs" dxfId="356" priority="37" operator="greaterThan">
      <formula>$F$74</formula>
    </cfRule>
  </conditionalFormatting>
  <conditionalFormatting sqref="G76">
    <cfRule type="cellIs" dxfId="355" priority="36" operator="greaterThan">
      <formula>$G$69</formula>
    </cfRule>
  </conditionalFormatting>
  <conditionalFormatting sqref="G77">
    <cfRule type="cellIs" dxfId="354" priority="35" operator="greaterThan">
      <formula>$G$70</formula>
    </cfRule>
  </conditionalFormatting>
  <conditionalFormatting sqref="G78">
    <cfRule type="cellIs" dxfId="353" priority="34" operator="greaterThan">
      <formula>$G$71</formula>
    </cfRule>
  </conditionalFormatting>
  <conditionalFormatting sqref="G79">
    <cfRule type="cellIs" dxfId="352" priority="33" operator="greaterThan">
      <formula>$G$72</formula>
    </cfRule>
  </conditionalFormatting>
  <conditionalFormatting sqref="G80">
    <cfRule type="cellIs" dxfId="351" priority="32" operator="greaterThan">
      <formula>$G$73</formula>
    </cfRule>
  </conditionalFormatting>
  <conditionalFormatting sqref="G81">
    <cfRule type="cellIs" dxfId="350" priority="31" operator="greaterThan">
      <formula>$G$74</formula>
    </cfRule>
  </conditionalFormatting>
  <conditionalFormatting sqref="H76">
    <cfRule type="cellIs" dxfId="349" priority="30" operator="greaterThan">
      <formula>$H$69</formula>
    </cfRule>
  </conditionalFormatting>
  <conditionalFormatting sqref="H77">
    <cfRule type="cellIs" dxfId="348" priority="29" operator="greaterThan">
      <formula>$H$70</formula>
    </cfRule>
  </conditionalFormatting>
  <conditionalFormatting sqref="H78">
    <cfRule type="cellIs" dxfId="347" priority="28" operator="greaterThan">
      <formula>$H$71</formula>
    </cfRule>
  </conditionalFormatting>
  <conditionalFormatting sqref="H79">
    <cfRule type="cellIs" dxfId="346" priority="27" operator="greaterThan">
      <formula>$H$72</formula>
    </cfRule>
  </conditionalFormatting>
  <conditionalFormatting sqref="H80">
    <cfRule type="cellIs" dxfId="345" priority="26" operator="greaterThan">
      <formula>$H$73</formula>
    </cfRule>
  </conditionalFormatting>
  <conditionalFormatting sqref="H81">
    <cfRule type="cellIs" dxfId="344" priority="25" operator="greaterThan">
      <formula>$H$74</formula>
    </cfRule>
  </conditionalFormatting>
  <conditionalFormatting sqref="I76">
    <cfRule type="cellIs" dxfId="343" priority="24" operator="greaterThan">
      <formula>$I$69</formula>
    </cfRule>
  </conditionalFormatting>
  <conditionalFormatting sqref="I77">
    <cfRule type="cellIs" dxfId="342" priority="23" operator="greaterThan">
      <formula>$I$70</formula>
    </cfRule>
  </conditionalFormatting>
  <conditionalFormatting sqref="I78">
    <cfRule type="cellIs" dxfId="341" priority="22" operator="greaterThan">
      <formula>$I$71</formula>
    </cfRule>
  </conditionalFormatting>
  <conditionalFormatting sqref="I79">
    <cfRule type="cellIs" dxfId="340" priority="21" operator="greaterThan">
      <formula>$I$72</formula>
    </cfRule>
  </conditionalFormatting>
  <conditionalFormatting sqref="I80">
    <cfRule type="cellIs" dxfId="339" priority="20" operator="greaterThan">
      <formula>$I$73</formula>
    </cfRule>
  </conditionalFormatting>
  <conditionalFormatting sqref="I81">
    <cfRule type="cellIs" dxfId="338" priority="19" operator="greaterThan">
      <formula>$I$74</formula>
    </cfRule>
  </conditionalFormatting>
  <conditionalFormatting sqref="J76">
    <cfRule type="cellIs" dxfId="337" priority="18" operator="greaterThan">
      <formula>$J$69</formula>
    </cfRule>
  </conditionalFormatting>
  <conditionalFormatting sqref="J77">
    <cfRule type="cellIs" dxfId="336" priority="17" operator="greaterThan">
      <formula>$J$70</formula>
    </cfRule>
  </conditionalFormatting>
  <conditionalFormatting sqref="J78">
    <cfRule type="cellIs" dxfId="335" priority="16" operator="greaterThan">
      <formula>$J$71</formula>
    </cfRule>
  </conditionalFormatting>
  <conditionalFormatting sqref="J79">
    <cfRule type="cellIs" dxfId="334" priority="15" operator="greaterThan">
      <formula>$J$72</formula>
    </cfRule>
  </conditionalFormatting>
  <conditionalFormatting sqref="J80">
    <cfRule type="cellIs" dxfId="333" priority="14" operator="greaterThan">
      <formula>$J$73</formula>
    </cfRule>
  </conditionalFormatting>
  <conditionalFormatting sqref="J81">
    <cfRule type="cellIs" dxfId="332" priority="13" operator="greaterThan">
      <formula>$J$74</formula>
    </cfRule>
  </conditionalFormatting>
  <conditionalFormatting sqref="K76">
    <cfRule type="cellIs" dxfId="331" priority="12" operator="greaterThan">
      <formula>$K$69</formula>
    </cfRule>
  </conditionalFormatting>
  <conditionalFormatting sqref="K77">
    <cfRule type="cellIs" dxfId="330" priority="11" operator="greaterThan">
      <formula>$K$70</formula>
    </cfRule>
  </conditionalFormatting>
  <conditionalFormatting sqref="K78">
    <cfRule type="cellIs" dxfId="329" priority="10" operator="greaterThan">
      <formula>$K$71</formula>
    </cfRule>
  </conditionalFormatting>
  <conditionalFormatting sqref="K79">
    <cfRule type="cellIs" dxfId="328" priority="9" operator="greaterThan">
      <formula>$K$72</formula>
    </cfRule>
  </conditionalFormatting>
  <conditionalFormatting sqref="K80">
    <cfRule type="cellIs" dxfId="327" priority="8" operator="greaterThan">
      <formula>$K$73</formula>
    </cfRule>
  </conditionalFormatting>
  <conditionalFormatting sqref="K81">
    <cfRule type="cellIs" dxfId="326" priority="7" operator="greaterThan">
      <formula>$K$74</formula>
    </cfRule>
  </conditionalFormatting>
  <conditionalFormatting sqref="L76">
    <cfRule type="cellIs" dxfId="325" priority="6" operator="greaterThan">
      <formula>$L$69</formula>
    </cfRule>
  </conditionalFormatting>
  <conditionalFormatting sqref="L77">
    <cfRule type="cellIs" dxfId="324" priority="5" operator="greaterThan">
      <formula>$L$70</formula>
    </cfRule>
  </conditionalFormatting>
  <conditionalFormatting sqref="L78">
    <cfRule type="cellIs" dxfId="323" priority="4" operator="greaterThan">
      <formula>$L$71</formula>
    </cfRule>
  </conditionalFormatting>
  <conditionalFormatting sqref="L79">
    <cfRule type="cellIs" dxfId="322" priority="3" operator="greaterThan">
      <formula>$L$72</formula>
    </cfRule>
  </conditionalFormatting>
  <conditionalFormatting sqref="L80">
    <cfRule type="cellIs" dxfId="321" priority="2" operator="greaterThan">
      <formula>$L$73</formula>
    </cfRule>
  </conditionalFormatting>
  <conditionalFormatting sqref="L81">
    <cfRule type="cellIs" dxfId="320" priority="1" operator="greaterThan">
      <formula>$L$74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29" zoomScale="150" zoomScaleNormal="150" workbookViewId="0">
      <selection activeCell="C77" sqref="C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189</v>
      </c>
      <c r="D6" s="91"/>
      <c r="E6" s="91"/>
      <c r="F6" s="91"/>
      <c r="G6" s="91"/>
    </row>
    <row r="7" spans="1:11" x14ac:dyDescent="0.35">
      <c r="A7" s="66" t="s">
        <v>41</v>
      </c>
      <c r="B7" s="66" t="s">
        <v>184</v>
      </c>
      <c r="C7" s="91" t="s">
        <v>190</v>
      </c>
      <c r="D7" s="91"/>
      <c r="E7" s="91"/>
      <c r="F7" s="91"/>
      <c r="G7" s="91"/>
    </row>
    <row r="8" spans="1:11" x14ac:dyDescent="0.35">
      <c r="A8" s="66" t="s">
        <v>42</v>
      </c>
      <c r="B8" s="66" t="s">
        <v>184</v>
      </c>
      <c r="C8" s="91" t="s">
        <v>181</v>
      </c>
      <c r="D8" s="91"/>
      <c r="E8" s="91"/>
      <c r="F8" s="91"/>
      <c r="G8" s="91"/>
    </row>
    <row r="9" spans="1:11" x14ac:dyDescent="0.35">
      <c r="A9" s="66" t="s">
        <v>165</v>
      </c>
      <c r="B9" s="66" t="s">
        <v>184</v>
      </c>
      <c r="C9" s="91" t="s">
        <v>182</v>
      </c>
      <c r="D9" s="91"/>
      <c r="E9" s="91"/>
      <c r="F9" s="91"/>
      <c r="G9" s="91"/>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9" priority="65" operator="greaterThan">
      <formula>$C$70</formula>
    </cfRule>
  </conditionalFormatting>
  <conditionalFormatting sqref="C78">
    <cfRule type="cellIs" dxfId="318" priority="64" operator="greaterThan">
      <formula>$C$71</formula>
    </cfRule>
  </conditionalFormatting>
  <conditionalFormatting sqref="C79">
    <cfRule type="cellIs" dxfId="317" priority="63" operator="greaterThan">
      <formula>$C$72</formula>
    </cfRule>
  </conditionalFormatting>
  <conditionalFormatting sqref="C80">
    <cfRule type="cellIs" dxfId="316" priority="62" operator="greaterThan">
      <formula>$C$73</formula>
    </cfRule>
  </conditionalFormatting>
  <conditionalFormatting sqref="C81">
    <cfRule type="cellIs" dxfId="315" priority="61" operator="greaterThan">
      <formula>$C$74</formula>
    </cfRule>
  </conditionalFormatting>
  <conditionalFormatting sqref="D77">
    <cfRule type="cellIs" dxfId="314" priority="59" operator="greaterThan">
      <formula>$D$70</formula>
    </cfRule>
  </conditionalFormatting>
  <conditionalFormatting sqref="D78">
    <cfRule type="cellIs" dxfId="313" priority="58" operator="greaterThan">
      <formula>$D$71</formula>
    </cfRule>
  </conditionalFormatting>
  <conditionalFormatting sqref="D79">
    <cfRule type="cellIs" dxfId="312" priority="57" operator="greaterThan">
      <formula>$D$72</formula>
    </cfRule>
  </conditionalFormatting>
  <conditionalFormatting sqref="D80">
    <cfRule type="cellIs" dxfId="311" priority="56" operator="greaterThan">
      <formula>$D$73</formula>
    </cfRule>
  </conditionalFormatting>
  <conditionalFormatting sqref="D81">
    <cfRule type="cellIs" dxfId="310" priority="55" operator="greaterThan">
      <formula>$D$74</formula>
    </cfRule>
  </conditionalFormatting>
  <conditionalFormatting sqref="E77">
    <cfRule type="cellIs" dxfId="309" priority="53" operator="greaterThan">
      <formula>$E$70</formula>
    </cfRule>
  </conditionalFormatting>
  <conditionalFormatting sqref="E78">
    <cfRule type="cellIs" dxfId="308" priority="52" operator="greaterThan">
      <formula>$E$71</formula>
    </cfRule>
  </conditionalFormatting>
  <conditionalFormatting sqref="E79">
    <cfRule type="cellIs" dxfId="307" priority="51" operator="greaterThan">
      <formula>$E$72</formula>
    </cfRule>
  </conditionalFormatting>
  <conditionalFormatting sqref="E80">
    <cfRule type="cellIs" dxfId="306" priority="50" operator="greaterThan">
      <formula>$E$73</formula>
    </cfRule>
  </conditionalFormatting>
  <conditionalFormatting sqref="E81">
    <cfRule type="cellIs" dxfId="305" priority="49" operator="greaterThan">
      <formula>$E$74</formula>
    </cfRule>
  </conditionalFormatting>
  <conditionalFormatting sqref="F77">
    <cfRule type="cellIs" dxfId="304" priority="47" operator="greaterThan">
      <formula>$F$70</formula>
    </cfRule>
  </conditionalFormatting>
  <conditionalFormatting sqref="F78">
    <cfRule type="cellIs" dxfId="303" priority="46" operator="greaterThan">
      <formula>$F$71</formula>
    </cfRule>
  </conditionalFormatting>
  <conditionalFormatting sqref="F79">
    <cfRule type="cellIs" dxfId="302" priority="45" operator="greaterThan">
      <formula>$F$72</formula>
    </cfRule>
  </conditionalFormatting>
  <conditionalFormatting sqref="F80">
    <cfRule type="cellIs" dxfId="301" priority="44" operator="greaterThan">
      <formula>$F$73</formula>
    </cfRule>
  </conditionalFormatting>
  <conditionalFormatting sqref="F81">
    <cfRule type="cellIs" dxfId="300" priority="43" operator="greaterThan">
      <formula>$F$74</formula>
    </cfRule>
  </conditionalFormatting>
  <conditionalFormatting sqref="G77">
    <cfRule type="cellIs" dxfId="299" priority="41" operator="greaterThan">
      <formula>$G$70</formula>
    </cfRule>
  </conditionalFormatting>
  <conditionalFormatting sqref="G78">
    <cfRule type="cellIs" dxfId="298" priority="40" operator="greaterThan">
      <formula>$G$71</formula>
    </cfRule>
  </conditionalFormatting>
  <conditionalFormatting sqref="G79">
    <cfRule type="cellIs" dxfId="297" priority="39" operator="greaterThan">
      <formula>$G$72</formula>
    </cfRule>
  </conditionalFormatting>
  <conditionalFormatting sqref="G80">
    <cfRule type="cellIs" dxfId="296" priority="38" operator="greaterThan">
      <formula>$G$73</formula>
    </cfRule>
  </conditionalFormatting>
  <conditionalFormatting sqref="G81">
    <cfRule type="cellIs" dxfId="295" priority="37" operator="greaterThan">
      <formula>$G$74</formula>
    </cfRule>
  </conditionalFormatting>
  <conditionalFormatting sqref="H76">
    <cfRule type="cellIs" dxfId="294" priority="36" operator="greaterThan">
      <formula>$H$69</formula>
    </cfRule>
  </conditionalFormatting>
  <conditionalFormatting sqref="H77">
    <cfRule type="cellIs" dxfId="293" priority="35" operator="greaterThan">
      <formula>$H$70</formula>
    </cfRule>
  </conditionalFormatting>
  <conditionalFormatting sqref="H78">
    <cfRule type="cellIs" dxfId="292" priority="34" operator="greaterThan">
      <formula>$H$71</formula>
    </cfRule>
  </conditionalFormatting>
  <conditionalFormatting sqref="H79">
    <cfRule type="cellIs" dxfId="291" priority="33" operator="greaterThan">
      <formula>$H$72</formula>
    </cfRule>
  </conditionalFormatting>
  <conditionalFormatting sqref="H80">
    <cfRule type="cellIs" dxfId="290" priority="32" operator="greaterThan">
      <formula>$H$73</formula>
    </cfRule>
  </conditionalFormatting>
  <conditionalFormatting sqref="H81">
    <cfRule type="cellIs" dxfId="289" priority="31" operator="greaterThan">
      <formula>$H$74</formula>
    </cfRule>
  </conditionalFormatting>
  <conditionalFormatting sqref="I76">
    <cfRule type="cellIs" dxfId="288" priority="30" operator="greaterThan">
      <formula>$I$69</formula>
    </cfRule>
  </conditionalFormatting>
  <conditionalFormatting sqref="I77">
    <cfRule type="cellIs" dxfId="287" priority="29" operator="greaterThan">
      <formula>$I$70</formula>
    </cfRule>
  </conditionalFormatting>
  <conditionalFormatting sqref="I78">
    <cfRule type="cellIs" dxfId="286" priority="28" operator="greaterThan">
      <formula>$I$71</formula>
    </cfRule>
  </conditionalFormatting>
  <conditionalFormatting sqref="I79">
    <cfRule type="cellIs" dxfId="285" priority="27" operator="greaterThan">
      <formula>$I$72</formula>
    </cfRule>
  </conditionalFormatting>
  <conditionalFormatting sqref="I80">
    <cfRule type="cellIs" dxfId="284" priority="26" operator="greaterThan">
      <formula>$I$73</formula>
    </cfRule>
  </conditionalFormatting>
  <conditionalFormatting sqref="I81">
    <cfRule type="cellIs" dxfId="283" priority="25" operator="greaterThan">
      <formula>$I$74</formula>
    </cfRule>
  </conditionalFormatting>
  <conditionalFormatting sqref="J76">
    <cfRule type="cellIs" dxfId="282" priority="24" operator="greaterThan">
      <formula>$J$69</formula>
    </cfRule>
  </conditionalFormatting>
  <conditionalFormatting sqref="J77">
    <cfRule type="cellIs" dxfId="281" priority="23" operator="greaterThan">
      <formula>$J$70</formula>
    </cfRule>
  </conditionalFormatting>
  <conditionalFormatting sqref="J78">
    <cfRule type="cellIs" dxfId="280" priority="22" operator="greaterThan">
      <formula>$J$71</formula>
    </cfRule>
  </conditionalFormatting>
  <conditionalFormatting sqref="J79">
    <cfRule type="cellIs" dxfId="279" priority="21" operator="greaterThan">
      <formula>$J$72</formula>
    </cfRule>
  </conditionalFormatting>
  <conditionalFormatting sqref="J80">
    <cfRule type="cellIs" dxfId="278" priority="20" operator="greaterThan">
      <formula>$J$73</formula>
    </cfRule>
  </conditionalFormatting>
  <conditionalFormatting sqref="J81">
    <cfRule type="cellIs" dxfId="277" priority="19" operator="greaterThan">
      <formula>$J$74</formula>
    </cfRule>
  </conditionalFormatting>
  <conditionalFormatting sqref="K76">
    <cfRule type="cellIs" dxfId="276" priority="18" operator="greaterThan">
      <formula>$K$69</formula>
    </cfRule>
  </conditionalFormatting>
  <conditionalFormatting sqref="K77">
    <cfRule type="cellIs" dxfId="275" priority="17" operator="greaterThan">
      <formula>$K$70</formula>
    </cfRule>
  </conditionalFormatting>
  <conditionalFormatting sqref="K78">
    <cfRule type="cellIs" dxfId="274" priority="16" operator="greaterThan">
      <formula>$K$71</formula>
    </cfRule>
  </conditionalFormatting>
  <conditionalFormatting sqref="K79">
    <cfRule type="cellIs" dxfId="273" priority="15" operator="greaterThan">
      <formula>$K$72</formula>
    </cfRule>
  </conditionalFormatting>
  <conditionalFormatting sqref="K80">
    <cfRule type="cellIs" dxfId="272" priority="14" operator="greaterThan">
      <formula>$K$73</formula>
    </cfRule>
  </conditionalFormatting>
  <conditionalFormatting sqref="K81">
    <cfRule type="cellIs" dxfId="271" priority="13" operator="greaterThan">
      <formula>$K$74</formula>
    </cfRule>
  </conditionalFormatting>
  <conditionalFormatting sqref="L76">
    <cfRule type="cellIs" dxfId="270" priority="12" operator="greaterThan">
      <formula>$L$69</formula>
    </cfRule>
  </conditionalFormatting>
  <conditionalFormatting sqref="L77">
    <cfRule type="cellIs" dxfId="269" priority="11" operator="greaterThan">
      <formula>$L$70</formula>
    </cfRule>
  </conditionalFormatting>
  <conditionalFormatting sqref="L78">
    <cfRule type="cellIs" dxfId="268" priority="10" operator="greaterThan">
      <formula>$L$71</formula>
    </cfRule>
  </conditionalFormatting>
  <conditionalFormatting sqref="L79">
    <cfRule type="cellIs" dxfId="267" priority="9" operator="greaterThan">
      <formula>$L$72</formula>
    </cfRule>
  </conditionalFormatting>
  <conditionalFormatting sqref="L80">
    <cfRule type="cellIs" dxfId="266" priority="8" operator="greaterThan">
      <formula>$L$73</formula>
    </cfRule>
  </conditionalFormatting>
  <conditionalFormatting sqref="L81">
    <cfRule type="cellIs" dxfId="265" priority="7" operator="greaterThan">
      <formula>$L$74</formula>
    </cfRule>
  </conditionalFormatting>
  <conditionalFormatting sqref="D76:F76">
    <cfRule type="cellIs" dxfId="264" priority="3" operator="greaterThan">
      <formula>$D$69</formula>
    </cfRule>
  </conditionalFormatting>
  <conditionalFormatting sqref="G76">
    <cfRule type="cellIs" dxfId="263" priority="1" operator="greaterThan">
      <formula>$G$69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8" zoomScale="150" zoomScaleNormal="150" workbookViewId="0">
      <selection activeCell="G76" sqref="G7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2" priority="60" operator="greaterThan">
      <formula>$C$69</formula>
    </cfRule>
  </conditionalFormatting>
  <conditionalFormatting sqref="C77">
    <cfRule type="cellIs" dxfId="261" priority="59" operator="greaterThan">
      <formula>$C$70</formula>
    </cfRule>
  </conditionalFormatting>
  <conditionalFormatting sqref="C78">
    <cfRule type="cellIs" dxfId="260" priority="58" operator="greaterThan">
      <formula>$C$71</formula>
    </cfRule>
  </conditionalFormatting>
  <conditionalFormatting sqref="C79">
    <cfRule type="cellIs" dxfId="259" priority="57" operator="greaterThan">
      <formula>$C$72</formula>
    </cfRule>
  </conditionalFormatting>
  <conditionalFormatting sqref="C80">
    <cfRule type="cellIs" dxfId="258" priority="56" operator="greaterThan">
      <formula>$C$73</formula>
    </cfRule>
  </conditionalFormatting>
  <conditionalFormatting sqref="C81">
    <cfRule type="cellIs" dxfId="257" priority="55" operator="greaterThan">
      <formula>$C$74</formula>
    </cfRule>
  </conditionalFormatting>
  <conditionalFormatting sqref="D76">
    <cfRule type="cellIs" dxfId="256" priority="54" operator="greaterThan">
      <formula>$D$69</formula>
    </cfRule>
  </conditionalFormatting>
  <conditionalFormatting sqref="D77">
    <cfRule type="cellIs" dxfId="255" priority="53" operator="greaterThan">
      <formula>$D$70</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1" workbookViewId="0">
      <selection activeCell="P1" sqref="P1"/>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46" zoomScale="150" zoomScaleNormal="150" workbookViewId="0">
      <selection activeCell="J60" sqref="J60:L6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72"/>
      <c r="I3" s="72"/>
      <c r="J3" s="72"/>
      <c r="K3" s="72"/>
    </row>
    <row r="4" spans="1:11" x14ac:dyDescent="0.35">
      <c r="A4" s="64" t="s">
        <v>39</v>
      </c>
      <c r="B4" s="64" t="s">
        <v>43</v>
      </c>
      <c r="C4" s="87" t="s">
        <v>44</v>
      </c>
      <c r="D4" s="88"/>
      <c r="E4" s="88"/>
      <c r="F4" s="88"/>
      <c r="G4" s="89"/>
    </row>
    <row r="5" spans="1:11" x14ac:dyDescent="0.35">
      <c r="A5" s="73" t="s">
        <v>52</v>
      </c>
      <c r="B5" s="73"/>
      <c r="C5" s="90"/>
      <c r="D5" s="90"/>
      <c r="E5" s="90"/>
      <c r="F5" s="90"/>
      <c r="G5" s="90"/>
    </row>
    <row r="6" spans="1:11" x14ac:dyDescent="0.35">
      <c r="A6" s="71" t="s">
        <v>40</v>
      </c>
      <c r="B6" s="71" t="s">
        <v>184</v>
      </c>
      <c r="C6" s="91" t="s">
        <v>183</v>
      </c>
      <c r="D6" s="91"/>
      <c r="E6" s="91"/>
      <c r="F6" s="91"/>
      <c r="G6" s="91"/>
    </row>
    <row r="7" spans="1:11" x14ac:dyDescent="0.35">
      <c r="A7" s="71" t="s">
        <v>41</v>
      </c>
      <c r="B7" s="71" t="s">
        <v>184</v>
      </c>
      <c r="C7" s="85" t="s">
        <v>181</v>
      </c>
      <c r="D7" s="85"/>
      <c r="E7" s="85"/>
      <c r="F7" s="85"/>
      <c r="G7" s="85"/>
    </row>
    <row r="8" spans="1:11" x14ac:dyDescent="0.35">
      <c r="A8" s="71" t="s">
        <v>42</v>
      </c>
      <c r="B8" s="71" t="s">
        <v>184</v>
      </c>
      <c r="C8" s="91" t="s">
        <v>183</v>
      </c>
      <c r="D8" s="91"/>
      <c r="E8" s="91"/>
      <c r="F8" s="91"/>
      <c r="G8" s="91"/>
    </row>
    <row r="9" spans="1:11" x14ac:dyDescent="0.35">
      <c r="A9" s="71" t="s">
        <v>165</v>
      </c>
      <c r="B9" s="71" t="s">
        <v>184</v>
      </c>
      <c r="C9" s="85" t="s">
        <v>182</v>
      </c>
      <c r="D9" s="85"/>
      <c r="E9" s="85"/>
      <c r="F9" s="85"/>
      <c r="G9" s="85"/>
    </row>
    <row r="10" spans="1:11" x14ac:dyDescent="0.35">
      <c r="A10" s="71"/>
      <c r="B10" s="71"/>
      <c r="C10" s="85"/>
      <c r="D10" s="85"/>
      <c r="E10" s="85"/>
      <c r="F10" s="85"/>
      <c r="G10" s="85"/>
    </row>
    <row r="11" spans="1:11" x14ac:dyDescent="0.35">
      <c r="A11" s="71"/>
      <c r="B11" s="71"/>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3" t="s">
        <v>41</v>
      </c>
      <c r="Q1" s="93"/>
      <c r="R1" s="93"/>
      <c r="S1" s="93"/>
      <c r="T1" s="93"/>
      <c r="U1" s="93"/>
      <c r="V1" s="93"/>
      <c r="W1" s="93"/>
      <c r="X1" s="93"/>
      <c r="Y1" s="93"/>
    </row>
  </sheetData>
  <mergeCells count="1">
    <mergeCell ref="P1:Y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7" zoomScale="150" zoomScaleNormal="150" workbookViewId="0">
      <selection activeCell="D12" sqref="D1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t="s">
        <v>166</v>
      </c>
      <c r="B10" s="66" t="s">
        <v>184</v>
      </c>
      <c r="C10" s="85" t="s">
        <v>180</v>
      </c>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61">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2"/>
      <c r="D5" s="92"/>
      <c r="E5" s="92"/>
      <c r="F5" s="92"/>
      <c r="G5" s="92"/>
      <c r="H5" s="92"/>
    </row>
    <row r="6" spans="1:11" x14ac:dyDescent="0.35">
      <c r="A6" s="16" t="s">
        <v>40</v>
      </c>
      <c r="B6" s="47"/>
      <c r="C6" s="92"/>
      <c r="D6" s="92"/>
      <c r="E6" s="92"/>
      <c r="F6" s="92"/>
      <c r="G6" s="92"/>
      <c r="H6" s="92"/>
    </row>
    <row r="7" spans="1:11" x14ac:dyDescent="0.35">
      <c r="A7" s="16" t="s">
        <v>41</v>
      </c>
      <c r="B7" s="47"/>
      <c r="C7" s="92"/>
      <c r="D7" s="92"/>
      <c r="E7" s="92"/>
      <c r="F7" s="92"/>
      <c r="G7" s="92"/>
      <c r="H7" s="92"/>
    </row>
    <row r="8" spans="1:11" x14ac:dyDescent="0.35">
      <c r="A8" s="16" t="s">
        <v>42</v>
      </c>
      <c r="B8" s="47"/>
      <c r="C8" s="92"/>
      <c r="D8" s="92"/>
      <c r="E8" s="92"/>
      <c r="F8" s="92"/>
      <c r="G8" s="92"/>
      <c r="H8" s="92"/>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ReadMe-Directions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2021-06-08T20:02:36Z</dcterms:modified>
</cp:coreProperties>
</file>