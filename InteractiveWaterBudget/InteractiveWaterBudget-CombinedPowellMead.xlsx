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C3C669B4-70CA-484B-84F8-6D7A3059CD55}"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24" r:id="rId2"/>
    <sheet name="11.0-Trade" sheetId="27" r:id="rId3"/>
    <sheet name="11.0-TradeReserve" sheetId="30" r:id="rId4"/>
    <sheet name="11.0-LawOfRiver" sheetId="26" r:id="rId5"/>
    <sheet name="11.0-Plots" sheetId="19" r:id="rId6"/>
    <sheet name="MillenniumRecover-Trade" sheetId="29" r:id="rId7"/>
    <sheet name="MillenniumRecover-LawOfRiver" sheetId="25" r:id="rId8"/>
    <sheet name="Millennium-Plots" sheetId="28" r:id="rId9"/>
    <sheet name="MillenniumRecover-Delta" sheetId="21" r:id="rId10"/>
    <sheet name="HydrologicScenarios" sheetId="7" r:id="rId11"/>
    <sheet name="Powell-Elevation-Area" sheetId="2" r:id="rId12"/>
    <sheet name="Mead-Elevation-Area" sheetId="10" r:id="rId13"/>
    <sheet name="11.0-LawOfRiverShort" sheetId="1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7" i="26" l="1"/>
  <c r="G77" i="30"/>
  <c r="C46" i="30"/>
  <c r="C47" i="30"/>
  <c r="C48" i="30"/>
  <c r="C50" i="30"/>
  <c r="B47" i="30"/>
  <c r="B48" i="30"/>
  <c r="L93" i="30"/>
  <c r="K93" i="30"/>
  <c r="J93" i="30"/>
  <c r="I93" i="30"/>
  <c r="H93" i="30"/>
  <c r="L92" i="30"/>
  <c r="K92" i="30"/>
  <c r="J92" i="30"/>
  <c r="I92" i="30"/>
  <c r="H92" i="30"/>
  <c r="C92" i="30"/>
  <c r="L90" i="30"/>
  <c r="K90" i="30"/>
  <c r="J90" i="30"/>
  <c r="I90" i="30"/>
  <c r="H90" i="30"/>
  <c r="L89" i="30"/>
  <c r="K89" i="30"/>
  <c r="J89" i="30"/>
  <c r="I89" i="30"/>
  <c r="H89" i="30"/>
  <c r="L88" i="30"/>
  <c r="H88" i="30"/>
  <c r="A88" i="30"/>
  <c r="K88" i="30" s="1"/>
  <c r="K87" i="30"/>
  <c r="H87" i="30"/>
  <c r="A87" i="30"/>
  <c r="L87" i="30" s="1"/>
  <c r="K86" i="30"/>
  <c r="A86" i="30"/>
  <c r="J86" i="30" s="1"/>
  <c r="S85" i="30"/>
  <c r="P85" i="30" s="1"/>
  <c r="K85" i="30"/>
  <c r="H85" i="30"/>
  <c r="A85" i="30"/>
  <c r="L85" i="30" s="1"/>
  <c r="S84" i="30"/>
  <c r="P84" i="30"/>
  <c r="L84" i="30"/>
  <c r="H84" i="30"/>
  <c r="A84" i="30"/>
  <c r="K84" i="30" s="1"/>
  <c r="S83" i="30"/>
  <c r="P83" i="30"/>
  <c r="A83" i="30"/>
  <c r="I83" i="30" s="1"/>
  <c r="S82" i="30"/>
  <c r="P82" i="30" s="1"/>
  <c r="S81" i="30"/>
  <c r="P81" i="30" s="1"/>
  <c r="A81" i="30"/>
  <c r="S80" i="30"/>
  <c r="P80" i="30" s="1"/>
  <c r="A80" i="30"/>
  <c r="S79" i="30"/>
  <c r="P79" i="30"/>
  <c r="A79" i="30"/>
  <c r="S78" i="30"/>
  <c r="P78" i="30"/>
  <c r="A78" i="30"/>
  <c r="A77" i="30"/>
  <c r="A76" i="30"/>
  <c r="A74" i="30"/>
  <c r="I74" i="30" s="1"/>
  <c r="A73" i="30"/>
  <c r="K73" i="30" s="1"/>
  <c r="K80" i="30" s="1"/>
  <c r="K72" i="30"/>
  <c r="H72" i="30"/>
  <c r="A72" i="30"/>
  <c r="L72" i="30" s="1"/>
  <c r="K71" i="30"/>
  <c r="A71" i="30"/>
  <c r="J71" i="30" s="1"/>
  <c r="L70" i="30"/>
  <c r="K70" i="30"/>
  <c r="I70" i="30"/>
  <c r="H70" i="30"/>
  <c r="A70" i="30"/>
  <c r="J70" i="30" s="1"/>
  <c r="L69" i="30"/>
  <c r="K69" i="30"/>
  <c r="I69" i="30"/>
  <c r="H69" i="30"/>
  <c r="A69" i="30"/>
  <c r="J69" i="30" s="1"/>
  <c r="L66" i="30"/>
  <c r="K66" i="30"/>
  <c r="J66" i="30"/>
  <c r="I66" i="30"/>
  <c r="H66" i="30"/>
  <c r="M65" i="30"/>
  <c r="A65" i="30"/>
  <c r="M64" i="30"/>
  <c r="A64" i="30"/>
  <c r="M63" i="30"/>
  <c r="A63" i="30"/>
  <c r="M62" i="30"/>
  <c r="A62" i="30"/>
  <c r="E61" i="30"/>
  <c r="D61" i="30"/>
  <c r="M61" i="30" s="1"/>
  <c r="C61" i="30"/>
  <c r="C66" i="30" s="1"/>
  <c r="A61" i="30"/>
  <c r="M60" i="30"/>
  <c r="A60" i="30"/>
  <c r="L58" i="30"/>
  <c r="K58" i="30"/>
  <c r="I58" i="30"/>
  <c r="H58" i="30"/>
  <c r="C58" i="30"/>
  <c r="A58" i="30"/>
  <c r="J58" i="30" s="1"/>
  <c r="A57" i="30"/>
  <c r="L57" i="30" s="1"/>
  <c r="L56" i="30"/>
  <c r="K56" i="30"/>
  <c r="I56" i="30"/>
  <c r="C56" i="30"/>
  <c r="A56" i="30"/>
  <c r="J56" i="30" s="1"/>
  <c r="L55" i="30"/>
  <c r="J55" i="30"/>
  <c r="H55" i="30"/>
  <c r="A55" i="30"/>
  <c r="K55" i="30" s="1"/>
  <c r="A54" i="30"/>
  <c r="L53" i="30"/>
  <c r="K53" i="30"/>
  <c r="I53" i="30"/>
  <c r="H53" i="30"/>
  <c r="C53" i="30"/>
  <c r="A53" i="30"/>
  <c r="J53" i="30" s="1"/>
  <c r="L51" i="30"/>
  <c r="I51" i="30"/>
  <c r="H51" i="30"/>
  <c r="A51" i="30"/>
  <c r="K51" i="30" s="1"/>
  <c r="K50" i="30"/>
  <c r="I50" i="30"/>
  <c r="A50" i="30"/>
  <c r="J50" i="30" s="1"/>
  <c r="A49" i="30"/>
  <c r="L49" i="30" s="1"/>
  <c r="A48" i="30"/>
  <c r="A47" i="30"/>
  <c r="K47" i="30" s="1"/>
  <c r="L46" i="30"/>
  <c r="K46" i="30"/>
  <c r="J46" i="30"/>
  <c r="I46" i="30"/>
  <c r="H46" i="30"/>
  <c r="A46" i="30"/>
  <c r="L44" i="30"/>
  <c r="K44" i="30"/>
  <c r="J44" i="30"/>
  <c r="I44" i="30"/>
  <c r="H44" i="30"/>
  <c r="L43" i="30"/>
  <c r="J43" i="30"/>
  <c r="C43" i="30"/>
  <c r="A43" i="30"/>
  <c r="A42" i="30"/>
  <c r="J42" i="30" s="1"/>
  <c r="L41" i="30"/>
  <c r="H41" i="30"/>
  <c r="A41" i="30"/>
  <c r="L40" i="30"/>
  <c r="K40" i="30"/>
  <c r="I40" i="30"/>
  <c r="H40" i="30"/>
  <c r="A40" i="30"/>
  <c r="J40" i="30" s="1"/>
  <c r="K39" i="30"/>
  <c r="A39" i="30"/>
  <c r="K38" i="30"/>
  <c r="J38" i="30"/>
  <c r="A38" i="30"/>
  <c r="L37" i="30"/>
  <c r="K37" i="30"/>
  <c r="J37" i="30"/>
  <c r="I37" i="30"/>
  <c r="H37" i="30"/>
  <c r="H36" i="30"/>
  <c r="C36" i="30"/>
  <c r="B36" i="30"/>
  <c r="L35" i="30"/>
  <c r="K35" i="30"/>
  <c r="J35" i="30"/>
  <c r="I35" i="30"/>
  <c r="H35" i="30"/>
  <c r="C35" i="30"/>
  <c r="L33" i="30"/>
  <c r="K33" i="30"/>
  <c r="I33" i="30"/>
  <c r="H33" i="30"/>
  <c r="C33" i="30"/>
  <c r="A33" i="30"/>
  <c r="J33" i="30" s="1"/>
  <c r="A32" i="30"/>
  <c r="K32" i="30" s="1"/>
  <c r="I31" i="30"/>
  <c r="A31" i="30"/>
  <c r="K31" i="30" s="1"/>
  <c r="L30" i="30"/>
  <c r="I30" i="30"/>
  <c r="H30" i="30"/>
  <c r="A30" i="30"/>
  <c r="K30" i="30" s="1"/>
  <c r="K29" i="30"/>
  <c r="A29" i="30"/>
  <c r="J29" i="30" s="1"/>
  <c r="L28" i="30"/>
  <c r="K28" i="30"/>
  <c r="H28" i="30"/>
  <c r="C28" i="30"/>
  <c r="B27" i="30"/>
  <c r="A28" i="30"/>
  <c r="J28" i="30" s="1"/>
  <c r="L27" i="30"/>
  <c r="K27" i="30"/>
  <c r="J27" i="30"/>
  <c r="I27" i="30"/>
  <c r="H27" i="30"/>
  <c r="C27" i="30"/>
  <c r="L26" i="30"/>
  <c r="L36" i="30" s="1"/>
  <c r="K26" i="30"/>
  <c r="K36" i="30" s="1"/>
  <c r="J26" i="30"/>
  <c r="J36" i="30" s="1"/>
  <c r="I26" i="30"/>
  <c r="I36" i="30" s="1"/>
  <c r="H26" i="30"/>
  <c r="D26" i="30"/>
  <c r="C26" i="30"/>
  <c r="D25" i="30"/>
  <c r="L73" i="30" l="1"/>
  <c r="H32" i="30"/>
  <c r="H57" i="30"/>
  <c r="I57" i="30"/>
  <c r="L50" i="30"/>
  <c r="H73" i="30"/>
  <c r="H80" i="30" s="1"/>
  <c r="I54" i="30"/>
  <c r="L54" i="30"/>
  <c r="K54" i="30"/>
  <c r="D88" i="30"/>
  <c r="D58" i="30"/>
  <c r="D53" i="30"/>
  <c r="D92" i="30"/>
  <c r="E25" i="30"/>
  <c r="D56" i="30"/>
  <c r="D74" i="30"/>
  <c r="D66" i="30"/>
  <c r="J32" i="30"/>
  <c r="D43" i="30"/>
  <c r="D49" i="30"/>
  <c r="H29" i="30"/>
  <c r="J31" i="30"/>
  <c r="I39" i="30"/>
  <c r="L39" i="30"/>
  <c r="K41" i="30"/>
  <c r="I47" i="30"/>
  <c r="D57" i="30"/>
  <c r="I29" i="30"/>
  <c r="L38" i="30"/>
  <c r="H38" i="30"/>
  <c r="J49" i="30"/>
  <c r="J54" i="30"/>
  <c r="C37" i="30"/>
  <c r="L29" i="30"/>
  <c r="I32" i="30"/>
  <c r="L32" i="30"/>
  <c r="H48" i="30"/>
  <c r="L48" i="30"/>
  <c r="K48" i="30"/>
  <c r="J48" i="30"/>
  <c r="D51" i="30"/>
  <c r="L31" i="30"/>
  <c r="H31" i="30"/>
  <c r="C32" i="30"/>
  <c r="D33" i="30"/>
  <c r="I42" i="30"/>
  <c r="L47" i="30"/>
  <c r="J47" i="30"/>
  <c r="H47" i="30"/>
  <c r="C31" i="30"/>
  <c r="H39" i="30"/>
  <c r="I41" i="30"/>
  <c r="C29" i="30"/>
  <c r="I38" i="30"/>
  <c r="J39" i="30"/>
  <c r="J41" i="30"/>
  <c r="K43" i="30"/>
  <c r="I43" i="30"/>
  <c r="H43" i="30"/>
  <c r="I48" i="30"/>
  <c r="K49" i="30"/>
  <c r="C49" i="30"/>
  <c r="I49" i="30"/>
  <c r="H49" i="30"/>
  <c r="H42" i="30"/>
  <c r="L42" i="30"/>
  <c r="K42" i="30"/>
  <c r="C42" i="30"/>
  <c r="H54" i="30"/>
  <c r="J74" i="30"/>
  <c r="J83" i="30"/>
  <c r="L71" i="30"/>
  <c r="I72" i="30"/>
  <c r="C74" i="30"/>
  <c r="K74" i="30"/>
  <c r="K83" i="30"/>
  <c r="I85" i="30"/>
  <c r="L86" i="30"/>
  <c r="I87" i="30"/>
  <c r="J72" i="30"/>
  <c r="L74" i="30"/>
  <c r="L83" i="30"/>
  <c r="J85" i="30"/>
  <c r="J87" i="30"/>
  <c r="I28" i="30"/>
  <c r="J30" i="30"/>
  <c r="J51" i="30"/>
  <c r="J57" i="30"/>
  <c r="C30" i="30"/>
  <c r="C51" i="30"/>
  <c r="I55" i="30"/>
  <c r="C57" i="30"/>
  <c r="K57" i="30"/>
  <c r="I73" i="30"/>
  <c r="I84" i="30"/>
  <c r="I88" i="30"/>
  <c r="H50" i="30"/>
  <c r="H56" i="30"/>
  <c r="E57" i="30"/>
  <c r="H71" i="30"/>
  <c r="J73" i="30"/>
  <c r="J84" i="30"/>
  <c r="H86" i="30"/>
  <c r="J88" i="30"/>
  <c r="I71" i="30"/>
  <c r="H74" i="30"/>
  <c r="H83" i="30"/>
  <c r="I86" i="30"/>
  <c r="C88" i="30"/>
  <c r="P78" i="24"/>
  <c r="C73" i="30" l="1"/>
  <c r="C87" i="30" s="1"/>
  <c r="D32" i="30" s="1"/>
  <c r="C38" i="30"/>
  <c r="C40" i="30"/>
  <c r="C72" i="30"/>
  <c r="C86" i="30" s="1"/>
  <c r="D31" i="30" s="1"/>
  <c r="C44" i="30"/>
  <c r="C93" i="30"/>
  <c r="C41" i="30"/>
  <c r="C39" i="30"/>
  <c r="E49" i="30"/>
  <c r="E43" i="30"/>
  <c r="E26" i="30"/>
  <c r="E92" i="30"/>
  <c r="E51" i="30"/>
  <c r="E74" i="30"/>
  <c r="F25" i="30"/>
  <c r="E66" i="30"/>
  <c r="E88" i="30"/>
  <c r="E58" i="30"/>
  <c r="E33" i="30"/>
  <c r="B55" i="24"/>
  <c r="B48" i="24"/>
  <c r="B55" i="30" l="1"/>
  <c r="C55" i="30"/>
  <c r="C54" i="30" s="1"/>
  <c r="E56" i="30"/>
  <c r="E53" i="30"/>
  <c r="F92" i="30"/>
  <c r="F33" i="30"/>
  <c r="F74" i="30"/>
  <c r="F58" i="30"/>
  <c r="F66" i="30"/>
  <c r="F88" i="30"/>
  <c r="F26" i="30"/>
  <c r="F53" i="30" s="1"/>
  <c r="F51" i="30"/>
  <c r="F57" i="30"/>
  <c r="F49" i="30"/>
  <c r="F43" i="30"/>
  <c r="G25"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F56" i="30" l="1"/>
  <c r="G51" i="30"/>
  <c r="G74" i="30"/>
  <c r="G66" i="30"/>
  <c r="G58" i="30"/>
  <c r="G53" i="30"/>
  <c r="G49" i="30"/>
  <c r="G88" i="30"/>
  <c r="G92" i="30"/>
  <c r="G33" i="30"/>
  <c r="G26" i="30"/>
  <c r="G56" i="30"/>
  <c r="G43" i="30"/>
  <c r="G57" i="30"/>
  <c r="C71"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C85" i="30" l="1"/>
  <c r="D30" i="30" s="1"/>
  <c r="C78" i="30"/>
  <c r="C69" i="30"/>
  <c r="C83" i="30" s="1"/>
  <c r="C70" i="30"/>
  <c r="C84" i="30" s="1"/>
  <c r="D29"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D93" i="30" l="1"/>
  <c r="D44" i="30"/>
  <c r="D55" i="30" s="1"/>
  <c r="D54" i="30" s="1"/>
  <c r="C89" i="30"/>
  <c r="D28"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D27" i="30" l="1"/>
  <c r="C90" i="30"/>
  <c r="C78" i="29"/>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36" i="30" l="1"/>
  <c r="D35"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D37" i="30" l="1"/>
  <c r="D42"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50" i="30" l="1"/>
  <c r="D39" i="30"/>
  <c r="D38" i="30"/>
  <c r="D40" i="30"/>
  <c r="D41" i="30"/>
  <c r="D72" i="30" s="1"/>
  <c r="D86" i="30" s="1"/>
  <c r="E31" i="30" s="1"/>
  <c r="D35" i="29"/>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73" i="30" l="1"/>
  <c r="D87" i="30" s="1"/>
  <c r="E32" i="30" s="1"/>
  <c r="D48" i="30"/>
  <c r="D47" i="30" s="1"/>
  <c r="D46" i="30" s="1"/>
  <c r="D69" i="30" s="1"/>
  <c r="D83" i="30" s="1"/>
  <c r="D37" i="29"/>
  <c r="D35" i="27"/>
  <c r="D36" i="27"/>
  <c r="D36" i="26"/>
  <c r="D35" i="26"/>
  <c r="C89" i="25"/>
  <c r="D27" i="25" s="1"/>
  <c r="D28" i="25"/>
  <c r="D35" i="24"/>
  <c r="D36" i="24"/>
  <c r="C90" i="24"/>
  <c r="L46" i="21"/>
  <c r="L53" i="21"/>
  <c r="D55" i="21"/>
  <c r="C83" i="21"/>
  <c r="D70" i="30" l="1"/>
  <c r="D84" i="30" s="1"/>
  <c r="E29" i="30" s="1"/>
  <c r="D71" i="30"/>
  <c r="D78" i="30" s="1"/>
  <c r="D85" i="30" s="1"/>
  <c r="E30" i="30" s="1"/>
  <c r="E28" i="30"/>
  <c r="D39" i="29"/>
  <c r="D70" i="29" s="1"/>
  <c r="D84" i="29" s="1"/>
  <c r="E29" i="29" s="1"/>
  <c r="D40" i="29"/>
  <c r="D71" i="29" s="1"/>
  <c r="D38" i="29"/>
  <c r="D41" i="29"/>
  <c r="D72" i="29" s="1"/>
  <c r="D86" i="29" s="1"/>
  <c r="E31" i="29" s="1"/>
  <c r="D37" i="27"/>
  <c r="D37" i="26"/>
  <c r="C90" i="25"/>
  <c r="D35" i="25"/>
  <c r="D36" i="25"/>
  <c r="D37" i="24"/>
  <c r="D54" i="21"/>
  <c r="C89" i="21"/>
  <c r="D28" i="21"/>
  <c r="D89" i="30" l="1"/>
  <c r="E27" i="30" s="1"/>
  <c r="E93" i="30"/>
  <c r="E44" i="30"/>
  <c r="E55" i="30" s="1"/>
  <c r="E54"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0" i="30" l="1"/>
  <c r="E35" i="30"/>
  <c r="E36"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7" i="30" l="1"/>
  <c r="E42"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0" i="30" l="1"/>
  <c r="E48" i="30" s="1"/>
  <c r="E39" i="30"/>
  <c r="E41" i="30"/>
  <c r="E72" i="30" s="1"/>
  <c r="E86" i="30" s="1"/>
  <c r="F31" i="30" s="1"/>
  <c r="E38" i="30"/>
  <c r="E40"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1" i="30" l="1"/>
  <c r="E78" i="30" s="1"/>
  <c r="E85" i="30" s="1"/>
  <c r="F30" i="30" s="1"/>
  <c r="E73" i="30"/>
  <c r="E87" i="30" s="1"/>
  <c r="F32" i="30" s="1"/>
  <c r="E47" i="30"/>
  <c r="E46" i="30" s="1"/>
  <c r="E69" i="30" s="1"/>
  <c r="E83" i="30" s="1"/>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0" i="30" l="1"/>
  <c r="E84" i="30" s="1"/>
  <c r="F29" i="30" s="1"/>
  <c r="F28" i="30"/>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89" i="30" l="1"/>
  <c r="E90" i="30" s="1"/>
  <c r="F44" i="30"/>
  <c r="F55" i="30" s="1"/>
  <c r="F54" i="30" s="1"/>
  <c r="F93"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7" i="30" l="1"/>
  <c r="F36"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5" i="30" l="1"/>
  <c r="F37" i="30" s="1"/>
  <c r="F42"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0" i="30" l="1"/>
  <c r="F48" i="30" s="1"/>
  <c r="F40" i="30"/>
  <c r="F41" i="30"/>
  <c r="F72" i="30" s="1"/>
  <c r="F86" i="30" s="1"/>
  <c r="G31" i="30" s="1"/>
  <c r="F39" i="30"/>
  <c r="F38" i="30"/>
  <c r="E89" i="29"/>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71" i="30" l="1"/>
  <c r="F78" i="30" s="1"/>
  <c r="F85" i="30" s="1"/>
  <c r="G30" i="30" s="1"/>
  <c r="F73" i="30"/>
  <c r="F87" i="30" s="1"/>
  <c r="G32" i="30" s="1"/>
  <c r="F47" i="30"/>
  <c r="F46" i="30" s="1"/>
  <c r="F69" i="30" s="1"/>
  <c r="F83" i="30" s="1"/>
  <c r="F27" i="29"/>
  <c r="E90" i="29"/>
  <c r="F35" i="27"/>
  <c r="F36" i="27"/>
  <c r="E90" i="26"/>
  <c r="F35" i="26"/>
  <c r="F36" i="26"/>
  <c r="E89" i="25"/>
  <c r="F27" i="25" s="1"/>
  <c r="F28" i="25"/>
  <c r="E90" i="24"/>
  <c r="F35" i="24"/>
  <c r="F36" i="24"/>
  <c r="E37" i="21"/>
  <c r="E49" i="16"/>
  <c r="E54" i="16" s="1"/>
  <c r="F50" i="16"/>
  <c r="F60" i="16" s="1"/>
  <c r="F70" i="30" l="1"/>
  <c r="F84" i="30" s="1"/>
  <c r="G29" i="30" s="1"/>
  <c r="G93" i="30" s="1"/>
  <c r="G28" i="30"/>
  <c r="F35" i="29"/>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89" i="30" l="1"/>
  <c r="G27" i="30" s="1"/>
  <c r="G44" i="30"/>
  <c r="G55" i="30" s="1"/>
  <c r="G54"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0" i="30" l="1"/>
  <c r="G35" i="30"/>
  <c r="G36" i="30"/>
  <c r="F40" i="29"/>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7" i="30" l="1"/>
  <c r="G42"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0" i="30" l="1"/>
  <c r="G48" i="30" s="1"/>
  <c r="G41" i="30"/>
  <c r="G72" i="30" s="1"/>
  <c r="G86" i="30" s="1"/>
  <c r="G40" i="30"/>
  <c r="G39" i="30"/>
  <c r="G38" i="30"/>
  <c r="F76" i="29"/>
  <c r="F83" i="29"/>
  <c r="F89" i="27"/>
  <c r="G27" i="27" s="1"/>
  <c r="G28" i="27"/>
  <c r="F89" i="26"/>
  <c r="G27" i="26" s="1"/>
  <c r="G28" i="26"/>
  <c r="F90" i="26"/>
  <c r="F76" i="25"/>
  <c r="F83" i="25" s="1"/>
  <c r="F83" i="24"/>
  <c r="E90" i="21"/>
  <c r="F35" i="21"/>
  <c r="F36" i="21"/>
  <c r="F57" i="16"/>
  <c r="G24" i="16" s="1"/>
  <c r="G25" i="16"/>
  <c r="H50" i="16"/>
  <c r="G60" i="16"/>
  <c r="G71" i="30" l="1"/>
  <c r="G78" i="30" s="1"/>
  <c r="G85" i="30" s="1"/>
  <c r="G73" i="30"/>
  <c r="G87" i="30" s="1"/>
  <c r="G47" i="30"/>
  <c r="G46" i="30" s="1"/>
  <c r="G69" i="30" s="1"/>
  <c r="G83" i="30" s="1"/>
  <c r="F89" i="29"/>
  <c r="G27" i="29" s="1"/>
  <c r="G28" i="29"/>
  <c r="F90" i="29"/>
  <c r="G35" i="27"/>
  <c r="G36" i="27"/>
  <c r="F90" i="27"/>
  <c r="G35" i="26"/>
  <c r="G36" i="26"/>
  <c r="F89" i="25"/>
  <c r="G27" i="25" s="1"/>
  <c r="G28" i="25"/>
  <c r="F89" i="24"/>
  <c r="G28" i="24"/>
  <c r="F37" i="21"/>
  <c r="I50" i="16"/>
  <c r="H60" i="16"/>
  <c r="G27" i="16"/>
  <c r="G29" i="16"/>
  <c r="G31" i="16" s="1"/>
  <c r="G30" i="16"/>
  <c r="G70" i="30" l="1"/>
  <c r="G84" i="30" s="1"/>
  <c r="G89" i="30" s="1"/>
  <c r="G90"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<sst xmlns="http://schemas.openxmlformats.org/spreadsheetml/2006/main" count="746" uniqueCount="204">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</sst>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xf numFmtId="2" fontId="0" fillId="0" borderId="0" xfId="0" applyNumberFormat="1"/>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'11.0-TradeReserve'!$C$83:$G$83</c:f>
              <c:numCache>
                <c:formatCode>0.0</c:formatCode>
                <c:ptCount val="5"/>
                <c:pt idx="0">
                  <c:v>3.1841016642426663</c:v>
                </c:pt>
                <c:pt idx="1">
                  <c:v>2.5432464755189956</c:v>
                </c:pt>
                <c:pt idx="2">
                  <c:v>2.2370907183780364</c:v>
                </c:pt>
                <c:pt idx="3">
                  <c:v>2.5475834362304477</c:v>
                </c:pt>
                <c:pt idx="4">
                  <c:v>2.8428493582043544</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'11.0-TradeReserve'!$C$77:$G$77</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'11.0-TradeReserve'!$C$84:$G$84</c:f>
              <c:numCache>
                <c:formatCode>0.0</c:formatCode>
                <c:ptCount val="5"/>
                <c:pt idx="0">
                  <c:v>4.2776897169440868</c:v>
                </c:pt>
                <c:pt idx="1">
                  <c:v>4.3316217802306003</c:v>
                </c:pt>
                <c:pt idx="2">
                  <c:v>4.3770909510752372</c:v>
                </c:pt>
                <c:pt idx="3">
                  <c:v>4.0179095014530901</c:v>
                </c:pt>
                <c:pt idx="4">
                  <c:v>3.6757872285642037</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6"/>
  <sheetViews>
    <sheetView tabSelected="1" zoomScale="150" zoomScaleNormal="150" workbookViewId="0">
      <selection activeCell="C25" sqref="C25"/>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78" t="s">
        <v>171</v>
      </c>
      <c r="B4" s="78"/>
      <c r="C4" s="78"/>
      <c r="D4" s="78"/>
      <c r="E4" s="78"/>
      <c r="F4" s="78"/>
      <c r="G4" s="78"/>
      <c r="H4" s="78"/>
      <c r="I4" s="78"/>
      <c r="J4" s="78"/>
      <c r="K4" s="78"/>
      <c r="L4" s="78"/>
    </row>
    <row r="5" spans="1:12" ht="13.5" customHeight="1" x14ac:dyDescent="0.35">
      <c r="B5" s="15"/>
      <c r="C5" s="15"/>
      <c r="D5" s="15"/>
      <c r="E5" s="15"/>
      <c r="F5" s="15"/>
      <c r="G5" s="15"/>
      <c r="H5" s="15"/>
      <c r="I5" s="15"/>
      <c r="J5" s="15"/>
      <c r="K5" s="15"/>
      <c r="L5" s="15"/>
    </row>
    <row r="6" spans="1:12" ht="16.5" customHeight="1" x14ac:dyDescent="0.35">
      <c r="A6" s="82" t="s">
        <v>109</v>
      </c>
      <c r="B6" s="83"/>
      <c r="C6" s="83"/>
      <c r="D6" s="83"/>
      <c r="E6" s="83"/>
      <c r="F6" s="83"/>
      <c r="G6" s="83"/>
      <c r="H6" s="83"/>
      <c r="I6" s="83"/>
      <c r="J6" s="83"/>
      <c r="K6" s="83"/>
      <c r="L6" s="84"/>
    </row>
    <row r="7" spans="1:12" ht="16.5" customHeight="1" x14ac:dyDescent="0.35">
      <c r="A7" s="28">
        <v>1</v>
      </c>
      <c r="B7" s="79" t="s">
        <v>148</v>
      </c>
      <c r="C7" s="79"/>
      <c r="D7" s="79"/>
      <c r="E7" s="79"/>
      <c r="F7" s="79"/>
      <c r="G7" s="79"/>
      <c r="H7" s="79"/>
      <c r="I7" s="79"/>
      <c r="J7" s="79"/>
      <c r="K7" s="79"/>
      <c r="L7" s="80"/>
    </row>
    <row r="8" spans="1:12" ht="16.5" customHeight="1" x14ac:dyDescent="0.35">
      <c r="A8" s="28">
        <v>2</v>
      </c>
      <c r="B8" s="79" t="s">
        <v>93</v>
      </c>
      <c r="C8" s="79"/>
      <c r="D8" s="79"/>
      <c r="E8" s="79"/>
      <c r="F8" s="79"/>
      <c r="G8" s="79"/>
      <c r="H8" s="79"/>
      <c r="I8" s="79"/>
      <c r="J8" s="79"/>
      <c r="K8" s="79"/>
      <c r="L8" s="80"/>
    </row>
    <row r="9" spans="1:12" ht="31" customHeight="1" x14ac:dyDescent="0.35">
      <c r="A9" s="28">
        <v>3</v>
      </c>
      <c r="B9" s="79" t="s">
        <v>170</v>
      </c>
      <c r="C9" s="79"/>
      <c r="D9" s="79"/>
      <c r="E9" s="79"/>
      <c r="F9" s="79"/>
      <c r="G9" s="79"/>
      <c r="H9" s="79"/>
      <c r="I9" s="79"/>
      <c r="J9" s="79"/>
      <c r="K9" s="79"/>
      <c r="L9" s="80"/>
    </row>
    <row r="10" spans="1:12" ht="32.5" customHeight="1" x14ac:dyDescent="0.35">
      <c r="A10" s="28">
        <v>4</v>
      </c>
      <c r="B10" s="79" t="s">
        <v>172</v>
      </c>
      <c r="C10" s="79"/>
      <c r="D10" s="79"/>
      <c r="E10" s="79"/>
      <c r="F10" s="79"/>
      <c r="G10" s="79"/>
      <c r="H10" s="79"/>
      <c r="I10" s="79"/>
      <c r="J10" s="79"/>
      <c r="K10" s="79"/>
      <c r="L10" s="80"/>
    </row>
    <row r="11" spans="1:12" ht="16.5" customHeight="1" x14ac:dyDescent="0.35">
      <c r="A11" s="28">
        <v>5</v>
      </c>
      <c r="B11" s="79" t="s">
        <v>173</v>
      </c>
      <c r="C11" s="79"/>
      <c r="D11" s="79"/>
      <c r="E11" s="79"/>
      <c r="F11" s="79"/>
      <c r="G11" s="79"/>
      <c r="H11" s="79"/>
      <c r="I11" s="79"/>
      <c r="J11" s="79"/>
      <c r="K11" s="79"/>
      <c r="L11" s="80"/>
    </row>
    <row r="12" spans="1:12" ht="16.5" customHeight="1" x14ac:dyDescent="0.35">
      <c r="A12" s="28">
        <v>6</v>
      </c>
      <c r="B12" s="79" t="s">
        <v>174</v>
      </c>
      <c r="C12" s="79"/>
      <c r="D12" s="79"/>
      <c r="E12" s="79"/>
      <c r="F12" s="79"/>
      <c r="G12" s="79"/>
      <c r="H12" s="79"/>
      <c r="I12" s="79"/>
      <c r="J12" s="79"/>
      <c r="K12" s="79"/>
      <c r="L12" s="80"/>
    </row>
    <row r="13" spans="1:12" ht="47" customHeight="1" x14ac:dyDescent="0.35">
      <c r="A13" s="28">
        <v>7</v>
      </c>
      <c r="B13" s="79" t="s">
        <v>175</v>
      </c>
      <c r="C13" s="79"/>
      <c r="D13" s="79"/>
      <c r="E13" s="79"/>
      <c r="F13" s="79"/>
      <c r="G13" s="79"/>
      <c r="H13" s="79"/>
      <c r="I13" s="79"/>
      <c r="J13" s="79"/>
      <c r="K13" s="79"/>
      <c r="L13" s="80"/>
    </row>
    <row r="14" spans="1:12" ht="32.5" customHeight="1" x14ac:dyDescent="0.35">
      <c r="A14" s="28">
        <v>8</v>
      </c>
      <c r="B14" s="79" t="s">
        <v>177</v>
      </c>
      <c r="C14" s="79"/>
      <c r="D14" s="79"/>
      <c r="E14" s="79"/>
      <c r="F14" s="79"/>
      <c r="G14" s="79"/>
      <c r="H14" s="79"/>
      <c r="I14" s="79"/>
      <c r="J14" s="79"/>
      <c r="K14" s="79"/>
      <c r="L14" s="80"/>
    </row>
    <row r="15" spans="1:12" ht="16.5" customHeight="1" x14ac:dyDescent="0.35">
      <c r="A15" s="28">
        <v>9</v>
      </c>
      <c r="B15" s="79" t="s">
        <v>176</v>
      </c>
      <c r="C15" s="79"/>
      <c r="D15" s="79"/>
      <c r="E15" s="79"/>
      <c r="F15" s="79"/>
      <c r="G15" s="79"/>
      <c r="H15" s="79"/>
      <c r="I15" s="79"/>
      <c r="J15" s="79"/>
      <c r="K15" s="79"/>
      <c r="L15" s="80"/>
    </row>
    <row r="16" spans="1:12" ht="16.5" customHeight="1" x14ac:dyDescent="0.35">
      <c r="A16" s="28">
        <v>10</v>
      </c>
      <c r="B16" s="79" t="s">
        <v>178</v>
      </c>
      <c r="C16" s="79"/>
      <c r="D16" s="79"/>
      <c r="E16" s="79"/>
      <c r="F16" s="79"/>
      <c r="G16" s="79"/>
      <c r="H16" s="79"/>
      <c r="I16" s="79"/>
      <c r="J16" s="79"/>
      <c r="K16" s="79"/>
      <c r="L16" s="80"/>
    </row>
    <row r="17" spans="1:12" ht="32" customHeight="1" x14ac:dyDescent="0.35">
      <c r="A17" s="28">
        <v>11</v>
      </c>
      <c r="B17" s="79" t="s">
        <v>179</v>
      </c>
      <c r="C17" s="79"/>
      <c r="D17" s="79"/>
      <c r="E17" s="79"/>
      <c r="F17" s="79"/>
      <c r="G17" s="79"/>
      <c r="H17" s="79"/>
      <c r="I17" s="79"/>
      <c r="J17" s="79"/>
      <c r="K17" s="79"/>
      <c r="L17" s="80"/>
    </row>
    <row r="18" spans="1:12" ht="16.5" customHeight="1" x14ac:dyDescent="0.35">
      <c r="A18" s="28">
        <v>12</v>
      </c>
      <c r="B18" s="85" t="s">
        <v>149</v>
      </c>
      <c r="C18" s="85"/>
      <c r="D18" s="85"/>
      <c r="E18" s="85"/>
      <c r="F18" s="85"/>
      <c r="G18" s="85"/>
      <c r="H18" s="85"/>
      <c r="I18" s="85"/>
      <c r="J18" s="85"/>
      <c r="K18" s="85"/>
      <c r="L18" s="86"/>
    </row>
    <row r="19" spans="1:12" ht="32" customHeight="1" x14ac:dyDescent="0.35">
      <c r="A19" s="28">
        <v>13</v>
      </c>
      <c r="B19" s="87" t="s">
        <v>150</v>
      </c>
      <c r="C19" s="87"/>
      <c r="D19" s="87"/>
      <c r="E19" s="87"/>
      <c r="F19" s="87"/>
      <c r="G19" s="87"/>
      <c r="H19" s="87"/>
      <c r="I19" s="87"/>
      <c r="J19" s="87"/>
      <c r="K19" s="87"/>
      <c r="L19" s="88"/>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143</v>
      </c>
      <c r="C23" t="s">
        <v>195</v>
      </c>
    </row>
    <row r="24" spans="1:12" x14ac:dyDescent="0.35">
      <c r="B24" s="2" t="s">
        <v>202</v>
      </c>
      <c r="C24" t="s">
        <v>203</v>
      </c>
    </row>
    <row r="25" spans="1:12" x14ac:dyDescent="0.35">
      <c r="B25" s="2" t="s">
        <v>144</v>
      </c>
      <c r="C25" t="s">
        <v>152</v>
      </c>
    </row>
    <row r="26" spans="1:12" x14ac:dyDescent="0.35">
      <c r="B26" s="2" t="s">
        <v>146</v>
      </c>
      <c r="C26" t="s">
        <v>153</v>
      </c>
    </row>
    <row r="27" spans="1:12" x14ac:dyDescent="0.35">
      <c r="B27" s="2" t="s">
        <v>196</v>
      </c>
      <c r="C27" t="s">
        <v>197</v>
      </c>
    </row>
    <row r="28" spans="1:12" x14ac:dyDescent="0.35">
      <c r="B28" s="2" t="s">
        <v>191</v>
      </c>
      <c r="C28" t="s">
        <v>154</v>
      </c>
    </row>
    <row r="29" spans="1:12" x14ac:dyDescent="0.35">
      <c r="B29" s="2" t="s">
        <v>198</v>
      </c>
      <c r="C29" t="s">
        <v>199</v>
      </c>
    </row>
    <row r="30" spans="1:12" x14ac:dyDescent="0.35">
      <c r="B30" s="2" t="s">
        <v>192</v>
      </c>
      <c r="C30" t="s">
        <v>193</v>
      </c>
    </row>
    <row r="31" spans="1:12" x14ac:dyDescent="0.35">
      <c r="B31" s="2" t="s">
        <v>96</v>
      </c>
      <c r="C31" t="s">
        <v>97</v>
      </c>
    </row>
    <row r="32" spans="1:12" x14ac:dyDescent="0.35">
      <c r="B32" s="2" t="s">
        <v>98</v>
      </c>
      <c r="C32" t="s">
        <v>99</v>
      </c>
    </row>
    <row r="33" spans="1:12" x14ac:dyDescent="0.35">
      <c r="B33" s="2" t="s">
        <v>155</v>
      </c>
      <c r="C33" t="s">
        <v>156</v>
      </c>
    </row>
    <row r="35" spans="1:12" x14ac:dyDescent="0.35">
      <c r="A35" s="1" t="s">
        <v>50</v>
      </c>
    </row>
    <row r="36" spans="1:12" ht="30.5" customHeight="1" x14ac:dyDescent="0.35">
      <c r="A36" s="81" t="s">
        <v>151</v>
      </c>
      <c r="B36" s="81"/>
      <c r="C36" s="81"/>
      <c r="D36" s="81"/>
      <c r="E36" s="81"/>
      <c r="F36" s="81"/>
      <c r="G36" s="81"/>
      <c r="H36" s="81"/>
      <c r="I36" s="81"/>
      <c r="J36" s="81"/>
      <c r="K36" s="81"/>
      <c r="L36" s="81"/>
    </row>
  </sheetData>
  <mergeCells count="16">
    <mergeCell ref="A36:L36"/>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M75" zoomScale="150" zoomScaleNormal="150" workbookViewId="0">
      <selection activeCell="P78" sqref="P7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63"/>
      <c r="I3" s="63"/>
      <c r="J3" s="63"/>
      <c r="K3" s="63"/>
    </row>
    <row r="4" spans="1:11" x14ac:dyDescent="0.35">
      <c r="A4" s="64" t="s">
        <v>39</v>
      </c>
      <c r="B4" s="64" t="s">
        <v>43</v>
      </c>
      <c r="C4" s="91" t="s">
        <v>44</v>
      </c>
      <c r="D4" s="92"/>
      <c r="E4" s="92"/>
      <c r="F4" s="92"/>
      <c r="G4" s="93"/>
    </row>
    <row r="5" spans="1:11" x14ac:dyDescent="0.35">
      <c r="A5" s="65" t="s">
        <v>52</v>
      </c>
      <c r="B5" s="65"/>
      <c r="C5" s="94"/>
      <c r="D5" s="94"/>
      <c r="E5" s="94"/>
      <c r="F5" s="94"/>
      <c r="G5" s="94"/>
    </row>
    <row r="6" spans="1:11" x14ac:dyDescent="0.35">
      <c r="A6" s="66" t="s">
        <v>40</v>
      </c>
      <c r="B6" s="66"/>
      <c r="C6" s="95"/>
      <c r="D6" s="95"/>
      <c r="E6" s="95"/>
      <c r="F6" s="95"/>
      <c r="G6" s="95"/>
    </row>
    <row r="7" spans="1:11" x14ac:dyDescent="0.35">
      <c r="A7" s="66" t="s">
        <v>41</v>
      </c>
      <c r="B7" s="66"/>
      <c r="C7" s="89"/>
      <c r="D7" s="89"/>
      <c r="E7" s="89"/>
      <c r="F7" s="89"/>
      <c r="G7" s="89"/>
    </row>
    <row r="8" spans="1:11" x14ac:dyDescent="0.35">
      <c r="A8" s="66" t="s">
        <v>42</v>
      </c>
      <c r="B8" s="66"/>
      <c r="C8" s="95"/>
      <c r="D8" s="95"/>
      <c r="E8" s="95"/>
      <c r="F8" s="95"/>
      <c r="G8" s="95"/>
    </row>
    <row r="9" spans="1:11" x14ac:dyDescent="0.35">
      <c r="A9" s="66" t="s">
        <v>165</v>
      </c>
      <c r="B9" s="66"/>
      <c r="C9" s="89" t="s">
        <v>187</v>
      </c>
      <c r="D9" s="89"/>
      <c r="E9" s="89"/>
      <c r="F9" s="89"/>
      <c r="G9" s="89"/>
    </row>
    <row r="10" spans="1:11" x14ac:dyDescent="0.35">
      <c r="A10" s="66"/>
      <c r="B10" s="66"/>
      <c r="C10" s="89"/>
      <c r="D10" s="89"/>
      <c r="E10" s="89"/>
      <c r="F10" s="89"/>
      <c r="G10" s="89"/>
    </row>
    <row r="11" spans="1:11" x14ac:dyDescent="0.35">
      <c r="A11" s="66"/>
      <c r="B11" s="66"/>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6" priority="60" operator="greaterThan">
      <formula>$C$69</formula>
    </cfRule>
  </conditionalFormatting>
  <conditionalFormatting sqref="C77">
    <cfRule type="cellIs" dxfId="435" priority="59" operator="greaterThan">
      <formula>$C$70</formula>
    </cfRule>
  </conditionalFormatting>
  <conditionalFormatting sqref="C78">
    <cfRule type="cellIs" dxfId="434" priority="58" operator="greaterThan">
      <formula>$C$71</formula>
    </cfRule>
  </conditionalFormatting>
  <conditionalFormatting sqref="C79">
    <cfRule type="cellIs" dxfId="433" priority="57" operator="greaterThan">
      <formula>$C$72</formula>
    </cfRule>
  </conditionalFormatting>
  <conditionalFormatting sqref="C80">
    <cfRule type="cellIs" dxfId="432" priority="56" operator="greaterThan">
      <formula>$C$73</formula>
    </cfRule>
  </conditionalFormatting>
  <conditionalFormatting sqref="C81">
    <cfRule type="cellIs" dxfId="431" priority="55" operator="greaterThan">
      <formula>$C$74</formula>
    </cfRule>
  </conditionalFormatting>
  <conditionalFormatting sqref="D76">
    <cfRule type="cellIs" dxfId="430" priority="54" operator="greaterThan">
      <formula>$D$69</formula>
    </cfRule>
  </conditionalFormatting>
  <conditionalFormatting sqref="D77">
    <cfRule type="cellIs" dxfId="429" priority="53" operator="greaterThan">
      <formula>$D$70</formula>
    </cfRule>
  </conditionalFormatting>
  <conditionalFormatting sqref="D78">
    <cfRule type="cellIs" dxfId="428" priority="52" operator="greaterThan">
      <formula>$D$71</formula>
    </cfRule>
  </conditionalFormatting>
  <conditionalFormatting sqref="D79">
    <cfRule type="cellIs" dxfId="427" priority="51" operator="greaterThan">
      <formula>$D$72</formula>
    </cfRule>
  </conditionalFormatting>
  <conditionalFormatting sqref="D80">
    <cfRule type="cellIs" dxfId="426" priority="50" operator="greaterThan">
      <formula>$D$73</formula>
    </cfRule>
  </conditionalFormatting>
  <conditionalFormatting sqref="D81">
    <cfRule type="cellIs" dxfId="425" priority="49" operator="greaterThan">
      <formula>$D$74</formula>
    </cfRule>
  </conditionalFormatting>
  <conditionalFormatting sqref="E76">
    <cfRule type="cellIs" dxfId="424" priority="48" operator="greaterThan">
      <formula>$E$69</formula>
    </cfRule>
  </conditionalFormatting>
  <conditionalFormatting sqref="E77">
    <cfRule type="cellIs" dxfId="423" priority="47" operator="greaterThan">
      <formula>$E$70</formula>
    </cfRule>
  </conditionalFormatting>
  <conditionalFormatting sqref="E78">
    <cfRule type="cellIs" dxfId="422" priority="46" operator="greaterThan">
      <formula>$E$71</formula>
    </cfRule>
  </conditionalFormatting>
  <conditionalFormatting sqref="E79">
    <cfRule type="cellIs" dxfId="421" priority="45" operator="greaterThan">
      <formula>$E$72</formula>
    </cfRule>
  </conditionalFormatting>
  <conditionalFormatting sqref="E80">
    <cfRule type="cellIs" dxfId="420" priority="44" operator="greaterThan">
      <formula>$E$73</formula>
    </cfRule>
  </conditionalFormatting>
  <conditionalFormatting sqref="E81">
    <cfRule type="cellIs" dxfId="419" priority="43" operator="greaterThan">
      <formula>$E$74</formula>
    </cfRule>
  </conditionalFormatting>
  <conditionalFormatting sqref="F76">
    <cfRule type="cellIs" dxfId="418" priority="42" operator="greaterThan">
      <formula>$F$69</formula>
    </cfRule>
  </conditionalFormatting>
  <conditionalFormatting sqref="F77">
    <cfRule type="cellIs" dxfId="417" priority="41" operator="greaterThan">
      <formula>$F$70</formula>
    </cfRule>
  </conditionalFormatting>
  <conditionalFormatting sqref="F78">
    <cfRule type="cellIs" dxfId="416" priority="40" operator="greaterThan">
      <formula>$F$71</formula>
    </cfRule>
  </conditionalFormatting>
  <conditionalFormatting sqref="F79">
    <cfRule type="cellIs" dxfId="415" priority="39" operator="greaterThan">
      <formula>$F$72</formula>
    </cfRule>
  </conditionalFormatting>
  <conditionalFormatting sqref="F80">
    <cfRule type="cellIs" dxfId="414" priority="38" operator="greaterThan">
      <formula>$F$73</formula>
    </cfRule>
  </conditionalFormatting>
  <conditionalFormatting sqref="F81">
    <cfRule type="cellIs" dxfId="413" priority="37" operator="greaterThan">
      <formula>$F$74</formula>
    </cfRule>
  </conditionalFormatting>
  <conditionalFormatting sqref="G76">
    <cfRule type="cellIs" dxfId="412" priority="36" operator="greaterThan">
      <formula>$G$69</formula>
    </cfRule>
  </conditionalFormatting>
  <conditionalFormatting sqref="G77">
    <cfRule type="cellIs" dxfId="411" priority="35" operator="greaterThan">
      <formula>$G$70</formula>
    </cfRule>
  </conditionalFormatting>
  <conditionalFormatting sqref="G78">
    <cfRule type="cellIs" dxfId="410" priority="34" operator="greaterThan">
      <formula>$G$71</formula>
    </cfRule>
  </conditionalFormatting>
  <conditionalFormatting sqref="G79">
    <cfRule type="cellIs" dxfId="409" priority="33" operator="greaterThan">
      <formula>$G$72</formula>
    </cfRule>
  </conditionalFormatting>
  <conditionalFormatting sqref="G80">
    <cfRule type="cellIs" dxfId="408" priority="32" operator="greaterThan">
      <formula>$G$73</formula>
    </cfRule>
  </conditionalFormatting>
  <conditionalFormatting sqref="G81">
    <cfRule type="cellIs" dxfId="407" priority="31" operator="greaterThan">
      <formula>$G$74</formula>
    </cfRule>
  </conditionalFormatting>
  <conditionalFormatting sqref="H76">
    <cfRule type="cellIs" dxfId="406" priority="30" operator="greaterThan">
      <formula>$H$69</formula>
    </cfRule>
  </conditionalFormatting>
  <conditionalFormatting sqref="H77">
    <cfRule type="cellIs" dxfId="405" priority="29" operator="greaterThan">
      <formula>$H$70</formula>
    </cfRule>
  </conditionalFormatting>
  <conditionalFormatting sqref="H78">
    <cfRule type="cellIs" dxfId="404" priority="28" operator="greaterThan">
      <formula>$H$71</formula>
    </cfRule>
  </conditionalFormatting>
  <conditionalFormatting sqref="H79">
    <cfRule type="cellIs" dxfId="403" priority="27" operator="greaterThan">
      <formula>$H$72</formula>
    </cfRule>
  </conditionalFormatting>
  <conditionalFormatting sqref="H80">
    <cfRule type="cellIs" dxfId="402" priority="26" operator="greaterThan">
      <formula>$H$73</formula>
    </cfRule>
  </conditionalFormatting>
  <conditionalFormatting sqref="H81">
    <cfRule type="cellIs" dxfId="401" priority="25" operator="greaterThan">
      <formula>$H$74</formula>
    </cfRule>
  </conditionalFormatting>
  <conditionalFormatting sqref="I76">
    <cfRule type="cellIs" dxfId="400" priority="24" operator="greaterThan">
      <formula>$I$69</formula>
    </cfRule>
  </conditionalFormatting>
  <conditionalFormatting sqref="I77">
    <cfRule type="cellIs" dxfId="399" priority="23" operator="greaterThan">
      <formula>$I$70</formula>
    </cfRule>
  </conditionalFormatting>
  <conditionalFormatting sqref="I78">
    <cfRule type="cellIs" dxfId="398" priority="22" operator="greaterThan">
      <formula>$I$71</formula>
    </cfRule>
  </conditionalFormatting>
  <conditionalFormatting sqref="I79">
    <cfRule type="cellIs" dxfId="397" priority="21" operator="greaterThan">
      <formula>$I$72</formula>
    </cfRule>
  </conditionalFormatting>
  <conditionalFormatting sqref="I80">
    <cfRule type="cellIs" dxfId="396" priority="20" operator="greaterThan">
      <formula>$I$73</formula>
    </cfRule>
  </conditionalFormatting>
  <conditionalFormatting sqref="I81">
    <cfRule type="cellIs" dxfId="395" priority="19" operator="greaterThan">
      <formula>$I$74</formula>
    </cfRule>
  </conditionalFormatting>
  <conditionalFormatting sqref="J76">
    <cfRule type="cellIs" dxfId="394" priority="18" operator="greaterThan">
      <formula>$J$69</formula>
    </cfRule>
  </conditionalFormatting>
  <conditionalFormatting sqref="J77">
    <cfRule type="cellIs" dxfId="393" priority="17" operator="greaterThan">
      <formula>$J$70</formula>
    </cfRule>
  </conditionalFormatting>
  <conditionalFormatting sqref="J78">
    <cfRule type="cellIs" dxfId="392" priority="16" operator="greaterThan">
      <formula>$J$71</formula>
    </cfRule>
  </conditionalFormatting>
  <conditionalFormatting sqref="J79">
    <cfRule type="cellIs" dxfId="391" priority="15" operator="greaterThan">
      <formula>$J$72</formula>
    </cfRule>
  </conditionalFormatting>
  <conditionalFormatting sqref="J80">
    <cfRule type="cellIs" dxfId="390" priority="14" operator="greaterThan">
      <formula>$J$73</formula>
    </cfRule>
  </conditionalFormatting>
  <conditionalFormatting sqref="J81">
    <cfRule type="cellIs" dxfId="389" priority="13" operator="greaterThan">
      <formula>$J$74</formula>
    </cfRule>
  </conditionalFormatting>
  <conditionalFormatting sqref="K76">
    <cfRule type="cellIs" dxfId="388" priority="12" operator="greaterThan">
      <formula>$K$69</formula>
    </cfRule>
  </conditionalFormatting>
  <conditionalFormatting sqref="K77">
    <cfRule type="cellIs" dxfId="387" priority="11" operator="greaterThan">
      <formula>$K$70</formula>
    </cfRule>
  </conditionalFormatting>
  <conditionalFormatting sqref="K78">
    <cfRule type="cellIs" dxfId="386" priority="10" operator="greaterThan">
      <formula>$K$71</formula>
    </cfRule>
  </conditionalFormatting>
  <conditionalFormatting sqref="K79">
    <cfRule type="cellIs" dxfId="385" priority="9" operator="greaterThan">
      <formula>$K$72</formula>
    </cfRule>
  </conditionalFormatting>
  <conditionalFormatting sqref="K80">
    <cfRule type="cellIs" dxfId="384" priority="8" operator="greaterThan">
      <formula>$K$73</formula>
    </cfRule>
  </conditionalFormatting>
  <conditionalFormatting sqref="K81">
    <cfRule type="cellIs" dxfId="383" priority="7" operator="greaterThan">
      <formula>$K$74</formula>
    </cfRule>
  </conditionalFormatting>
  <conditionalFormatting sqref="L76">
    <cfRule type="cellIs" dxfId="382" priority="6" operator="greaterThan">
      <formula>$L$69</formula>
    </cfRule>
  </conditionalFormatting>
  <conditionalFormatting sqref="L77">
    <cfRule type="cellIs" dxfId="381" priority="5" operator="greaterThan">
      <formula>$L$70</formula>
    </cfRule>
  </conditionalFormatting>
  <conditionalFormatting sqref="L78">
    <cfRule type="cellIs" dxfId="380" priority="4" operator="greaterThan">
      <formula>$L$71</formula>
    </cfRule>
  </conditionalFormatting>
  <conditionalFormatting sqref="L79">
    <cfRule type="cellIs" dxfId="379" priority="3" operator="greaterThan">
      <formula>$L$72</formula>
    </cfRule>
  </conditionalFormatting>
  <conditionalFormatting sqref="L80">
    <cfRule type="cellIs" dxfId="378" priority="2" operator="greaterThan">
      <formula>$L$73</formula>
    </cfRule>
  </conditionalFormatting>
  <conditionalFormatting sqref="L81">
    <cfRule type="cellIs" dxfId="377" priority="1" operator="greaterThan">
      <formula>$L$74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57" zoomScale="150" zoomScaleNormal="150" workbookViewId="0">
      <selection activeCell="C45" sqref="C45"/>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63"/>
      <c r="I3" s="63"/>
      <c r="J3" s="63"/>
      <c r="K3" s="63"/>
    </row>
    <row r="4" spans="1:11" x14ac:dyDescent="0.35">
      <c r="A4" s="64" t="s">
        <v>39</v>
      </c>
      <c r="B4" s="64" t="s">
        <v>43</v>
      </c>
      <c r="C4" s="91" t="s">
        <v>44</v>
      </c>
      <c r="D4" s="92"/>
      <c r="E4" s="92"/>
      <c r="F4" s="92"/>
      <c r="G4" s="93"/>
    </row>
    <row r="5" spans="1:11" x14ac:dyDescent="0.35">
      <c r="A5" s="65" t="s">
        <v>52</v>
      </c>
      <c r="B5" s="65"/>
      <c r="C5" s="94"/>
      <c r="D5" s="94"/>
      <c r="E5" s="94"/>
      <c r="F5" s="94"/>
      <c r="G5" s="94"/>
    </row>
    <row r="6" spans="1:11" x14ac:dyDescent="0.35">
      <c r="A6" s="66" t="s">
        <v>40</v>
      </c>
      <c r="B6" s="66" t="s">
        <v>184</v>
      </c>
      <c r="C6" s="95" t="s">
        <v>189</v>
      </c>
      <c r="D6" s="95"/>
      <c r="E6" s="95"/>
      <c r="F6" s="95"/>
      <c r="G6" s="95"/>
    </row>
    <row r="7" spans="1:11" x14ac:dyDescent="0.35">
      <c r="A7" s="66" t="s">
        <v>41</v>
      </c>
      <c r="B7" s="66" t="s">
        <v>184</v>
      </c>
      <c r="C7" s="95" t="s">
        <v>190</v>
      </c>
      <c r="D7" s="95"/>
      <c r="E7" s="95"/>
      <c r="F7" s="95"/>
      <c r="G7" s="95"/>
    </row>
    <row r="8" spans="1:11" x14ac:dyDescent="0.35">
      <c r="A8" s="66" t="s">
        <v>42</v>
      </c>
      <c r="B8" s="66" t="s">
        <v>184</v>
      </c>
      <c r="C8" s="95" t="s">
        <v>181</v>
      </c>
      <c r="D8" s="95"/>
      <c r="E8" s="95"/>
      <c r="F8" s="95"/>
      <c r="G8" s="95"/>
    </row>
    <row r="9" spans="1:11" x14ac:dyDescent="0.35">
      <c r="A9" s="66" t="s">
        <v>165</v>
      </c>
      <c r="B9" s="66" t="s">
        <v>184</v>
      </c>
      <c r="C9" s="95" t="s">
        <v>182</v>
      </c>
      <c r="D9" s="95"/>
      <c r="E9" s="95"/>
      <c r="F9" s="95"/>
      <c r="G9" s="95"/>
    </row>
    <row r="10" spans="1:11" x14ac:dyDescent="0.35">
      <c r="A10" s="66"/>
      <c r="B10" s="66"/>
      <c r="C10" s="89"/>
      <c r="D10" s="89"/>
      <c r="E10" s="89"/>
      <c r="F10" s="89"/>
      <c r="G10" s="89"/>
    </row>
    <row r="11" spans="1:11" x14ac:dyDescent="0.35">
      <c r="A11" s="66"/>
      <c r="B11" s="66"/>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6" priority="65" operator="greaterThan">
      <formula>$C$70</formula>
    </cfRule>
  </conditionalFormatting>
  <conditionalFormatting sqref="C78">
    <cfRule type="cellIs" dxfId="375" priority="64" operator="greaterThan">
      <formula>$C$71</formula>
    </cfRule>
  </conditionalFormatting>
  <conditionalFormatting sqref="C79">
    <cfRule type="cellIs" dxfId="374" priority="63" operator="greaterThan">
      <formula>$C$72</formula>
    </cfRule>
  </conditionalFormatting>
  <conditionalFormatting sqref="C80">
    <cfRule type="cellIs" dxfId="373" priority="62" operator="greaterThan">
      <formula>$C$73</formula>
    </cfRule>
  </conditionalFormatting>
  <conditionalFormatting sqref="C81">
    <cfRule type="cellIs" dxfId="372" priority="61" operator="greaterThan">
      <formula>$C$74</formula>
    </cfRule>
  </conditionalFormatting>
  <conditionalFormatting sqref="D77">
    <cfRule type="cellIs" dxfId="371" priority="59" operator="greaterThan">
      <formula>$D$70</formula>
    </cfRule>
  </conditionalFormatting>
  <conditionalFormatting sqref="D78">
    <cfRule type="cellIs" dxfId="370" priority="58" operator="greaterThan">
      <formula>$D$71</formula>
    </cfRule>
  </conditionalFormatting>
  <conditionalFormatting sqref="D79">
    <cfRule type="cellIs" dxfId="369" priority="57" operator="greaterThan">
      <formula>$D$72</formula>
    </cfRule>
  </conditionalFormatting>
  <conditionalFormatting sqref="D80">
    <cfRule type="cellIs" dxfId="368" priority="56" operator="greaterThan">
      <formula>$D$73</formula>
    </cfRule>
  </conditionalFormatting>
  <conditionalFormatting sqref="D81">
    <cfRule type="cellIs" dxfId="367" priority="55" operator="greaterThan">
      <formula>$D$74</formula>
    </cfRule>
  </conditionalFormatting>
  <conditionalFormatting sqref="E77">
    <cfRule type="cellIs" dxfId="366" priority="53" operator="greaterThan">
      <formula>$E$70</formula>
    </cfRule>
  </conditionalFormatting>
  <conditionalFormatting sqref="E78">
    <cfRule type="cellIs" dxfId="365" priority="52" operator="greaterThan">
      <formula>$E$71</formula>
    </cfRule>
  </conditionalFormatting>
  <conditionalFormatting sqref="E79">
    <cfRule type="cellIs" dxfId="364" priority="51" operator="greaterThan">
      <formula>$E$72</formula>
    </cfRule>
  </conditionalFormatting>
  <conditionalFormatting sqref="E80">
    <cfRule type="cellIs" dxfId="363" priority="50" operator="greaterThan">
      <formula>$E$73</formula>
    </cfRule>
  </conditionalFormatting>
  <conditionalFormatting sqref="E81">
    <cfRule type="cellIs" dxfId="362" priority="49" operator="greaterThan">
      <formula>$E$74</formula>
    </cfRule>
  </conditionalFormatting>
  <conditionalFormatting sqref="F77">
    <cfRule type="cellIs" dxfId="361" priority="47" operator="greaterThan">
      <formula>$F$70</formula>
    </cfRule>
  </conditionalFormatting>
  <conditionalFormatting sqref="F78">
    <cfRule type="cellIs" dxfId="360" priority="46" operator="greaterThan">
      <formula>$F$71</formula>
    </cfRule>
  </conditionalFormatting>
  <conditionalFormatting sqref="F79">
    <cfRule type="cellIs" dxfId="359" priority="45" operator="greaterThan">
      <formula>$F$72</formula>
    </cfRule>
  </conditionalFormatting>
  <conditionalFormatting sqref="F80">
    <cfRule type="cellIs" dxfId="358" priority="44" operator="greaterThan">
      <formula>$F$73</formula>
    </cfRule>
  </conditionalFormatting>
  <conditionalFormatting sqref="F81">
    <cfRule type="cellIs" dxfId="357" priority="43" operator="greaterThan">
      <formula>$F$74</formula>
    </cfRule>
  </conditionalFormatting>
  <conditionalFormatting sqref="G77">
    <cfRule type="cellIs" dxfId="356" priority="41" operator="greaterThan">
      <formula>$G$70</formula>
    </cfRule>
  </conditionalFormatting>
  <conditionalFormatting sqref="G78">
    <cfRule type="cellIs" dxfId="355" priority="40" operator="greaterThan">
      <formula>$G$71</formula>
    </cfRule>
  </conditionalFormatting>
  <conditionalFormatting sqref="G79">
    <cfRule type="cellIs" dxfId="354" priority="39" operator="greaterThan">
      <formula>$G$72</formula>
    </cfRule>
  </conditionalFormatting>
  <conditionalFormatting sqref="G80">
    <cfRule type="cellIs" dxfId="353" priority="38" operator="greaterThan">
      <formula>$G$73</formula>
    </cfRule>
  </conditionalFormatting>
  <conditionalFormatting sqref="G81">
    <cfRule type="cellIs" dxfId="352" priority="37" operator="greaterThan">
      <formula>$G$74</formula>
    </cfRule>
  </conditionalFormatting>
  <conditionalFormatting sqref="H76">
    <cfRule type="cellIs" dxfId="351" priority="36" operator="greaterThan">
      <formula>$H$69</formula>
    </cfRule>
  </conditionalFormatting>
  <conditionalFormatting sqref="H77">
    <cfRule type="cellIs" dxfId="350" priority="35" operator="greaterThan">
      <formula>$H$70</formula>
    </cfRule>
  </conditionalFormatting>
  <conditionalFormatting sqref="H78">
    <cfRule type="cellIs" dxfId="349" priority="34" operator="greaterThan">
      <formula>$H$71</formula>
    </cfRule>
  </conditionalFormatting>
  <conditionalFormatting sqref="H79">
    <cfRule type="cellIs" dxfId="348" priority="33" operator="greaterThan">
      <formula>$H$72</formula>
    </cfRule>
  </conditionalFormatting>
  <conditionalFormatting sqref="H80">
    <cfRule type="cellIs" dxfId="347" priority="32" operator="greaterThan">
      <formula>$H$73</formula>
    </cfRule>
  </conditionalFormatting>
  <conditionalFormatting sqref="H81">
    <cfRule type="cellIs" dxfId="346" priority="31" operator="greaterThan">
      <formula>$H$74</formula>
    </cfRule>
  </conditionalFormatting>
  <conditionalFormatting sqref="I76">
    <cfRule type="cellIs" dxfId="345" priority="30" operator="greaterThan">
      <formula>$I$69</formula>
    </cfRule>
  </conditionalFormatting>
  <conditionalFormatting sqref="I77">
    <cfRule type="cellIs" dxfId="344" priority="29" operator="greaterThan">
      <formula>$I$70</formula>
    </cfRule>
  </conditionalFormatting>
  <conditionalFormatting sqref="I78">
    <cfRule type="cellIs" dxfId="343" priority="28" operator="greaterThan">
      <formula>$I$71</formula>
    </cfRule>
  </conditionalFormatting>
  <conditionalFormatting sqref="I79">
    <cfRule type="cellIs" dxfId="342" priority="27" operator="greaterThan">
      <formula>$I$72</formula>
    </cfRule>
  </conditionalFormatting>
  <conditionalFormatting sqref="I80">
    <cfRule type="cellIs" dxfId="341" priority="26" operator="greaterThan">
      <formula>$I$73</formula>
    </cfRule>
  </conditionalFormatting>
  <conditionalFormatting sqref="I81">
    <cfRule type="cellIs" dxfId="340" priority="25" operator="greaterThan">
      <formula>$I$74</formula>
    </cfRule>
  </conditionalFormatting>
  <conditionalFormatting sqref="J76">
    <cfRule type="cellIs" dxfId="339" priority="24" operator="greaterThan">
      <formula>$J$69</formula>
    </cfRule>
  </conditionalFormatting>
  <conditionalFormatting sqref="J77">
    <cfRule type="cellIs" dxfId="338" priority="23" operator="greaterThan">
      <formula>$J$70</formula>
    </cfRule>
  </conditionalFormatting>
  <conditionalFormatting sqref="J78">
    <cfRule type="cellIs" dxfId="337" priority="22" operator="greaterThan">
      <formula>$J$71</formula>
    </cfRule>
  </conditionalFormatting>
  <conditionalFormatting sqref="J79">
    <cfRule type="cellIs" dxfId="336" priority="21" operator="greaterThan">
      <formula>$J$72</formula>
    </cfRule>
  </conditionalFormatting>
  <conditionalFormatting sqref="J80">
    <cfRule type="cellIs" dxfId="335" priority="20" operator="greaterThan">
      <formula>$J$73</formula>
    </cfRule>
  </conditionalFormatting>
  <conditionalFormatting sqref="J81">
    <cfRule type="cellIs" dxfId="334" priority="19" operator="greaterThan">
      <formula>$J$74</formula>
    </cfRule>
  </conditionalFormatting>
  <conditionalFormatting sqref="K76">
    <cfRule type="cellIs" dxfId="333" priority="18" operator="greaterThan">
      <formula>$K$69</formula>
    </cfRule>
  </conditionalFormatting>
  <conditionalFormatting sqref="K77">
    <cfRule type="cellIs" dxfId="332" priority="17" operator="greaterThan">
      <formula>$K$70</formula>
    </cfRule>
  </conditionalFormatting>
  <conditionalFormatting sqref="K78">
    <cfRule type="cellIs" dxfId="331" priority="16" operator="greaterThan">
      <formula>$K$71</formula>
    </cfRule>
  </conditionalFormatting>
  <conditionalFormatting sqref="K79">
    <cfRule type="cellIs" dxfId="330" priority="15" operator="greaterThan">
      <formula>$K$72</formula>
    </cfRule>
  </conditionalFormatting>
  <conditionalFormatting sqref="K80">
    <cfRule type="cellIs" dxfId="329" priority="14" operator="greaterThan">
      <formula>$K$73</formula>
    </cfRule>
  </conditionalFormatting>
  <conditionalFormatting sqref="K81">
    <cfRule type="cellIs" dxfId="328" priority="13" operator="greaterThan">
      <formula>$K$74</formula>
    </cfRule>
  </conditionalFormatting>
  <conditionalFormatting sqref="L76">
    <cfRule type="cellIs" dxfId="327" priority="12" operator="greaterThan">
      <formula>$L$69</formula>
    </cfRule>
  </conditionalFormatting>
  <conditionalFormatting sqref="L77">
    <cfRule type="cellIs" dxfId="326" priority="11" operator="greaterThan">
      <formula>$L$70</formula>
    </cfRule>
  </conditionalFormatting>
  <conditionalFormatting sqref="L78">
    <cfRule type="cellIs" dxfId="325" priority="10" operator="greaterThan">
      <formula>$L$71</formula>
    </cfRule>
  </conditionalFormatting>
  <conditionalFormatting sqref="L79">
    <cfRule type="cellIs" dxfId="324" priority="9" operator="greaterThan">
      <formula>$L$72</formula>
    </cfRule>
  </conditionalFormatting>
  <conditionalFormatting sqref="L80">
    <cfRule type="cellIs" dxfId="323" priority="8" operator="greaterThan">
      <formula>$L$73</formula>
    </cfRule>
  </conditionalFormatting>
  <conditionalFormatting sqref="L81">
    <cfRule type="cellIs" dxfId="322" priority="7" operator="greaterThan">
      <formula>$L$74</formula>
    </cfRule>
  </conditionalFormatting>
  <conditionalFormatting sqref="D76:F76">
    <cfRule type="cellIs" dxfId="321" priority="3" operator="greaterThan">
      <formula>$D$69</formula>
    </cfRule>
  </conditionalFormatting>
  <conditionalFormatting sqref="G76">
    <cfRule type="cellIs" dxfId="320" priority="1" operator="greaterThan">
      <formula>$G$69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5"/>
  <sheetViews>
    <sheetView zoomScale="150" zoomScaleNormal="150" workbookViewId="0">
      <selection activeCell="G77" sqref="G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75"/>
      <c r="I3" s="75"/>
      <c r="J3" s="75"/>
      <c r="K3" s="75"/>
    </row>
    <row r="4" spans="1:11" x14ac:dyDescent="0.35">
      <c r="A4" s="64" t="s">
        <v>39</v>
      </c>
      <c r="B4" s="64" t="s">
        <v>43</v>
      </c>
      <c r="C4" s="91" t="s">
        <v>44</v>
      </c>
      <c r="D4" s="92"/>
      <c r="E4" s="92"/>
      <c r="F4" s="92"/>
      <c r="G4" s="93"/>
    </row>
    <row r="5" spans="1:11" x14ac:dyDescent="0.35">
      <c r="A5" s="76" t="s">
        <v>52</v>
      </c>
      <c r="B5" s="76"/>
      <c r="C5" s="94"/>
      <c r="D5" s="94"/>
      <c r="E5" s="94"/>
      <c r="F5" s="94"/>
      <c r="G5" s="94"/>
    </row>
    <row r="6" spans="1:11" x14ac:dyDescent="0.35">
      <c r="A6" s="74" t="s">
        <v>40</v>
      </c>
      <c r="B6" s="74" t="s">
        <v>184</v>
      </c>
      <c r="C6" s="95" t="s">
        <v>189</v>
      </c>
      <c r="D6" s="95"/>
      <c r="E6" s="95"/>
      <c r="F6" s="95"/>
      <c r="G6" s="95"/>
    </row>
    <row r="7" spans="1:11" x14ac:dyDescent="0.35">
      <c r="A7" s="74" t="s">
        <v>41</v>
      </c>
      <c r="B7" s="74" t="s">
        <v>184</v>
      </c>
      <c r="C7" s="95" t="s">
        <v>190</v>
      </c>
      <c r="D7" s="95"/>
      <c r="E7" s="95"/>
      <c r="F7" s="95"/>
      <c r="G7" s="95"/>
    </row>
    <row r="8" spans="1:11" x14ac:dyDescent="0.35">
      <c r="A8" s="74" t="s">
        <v>42</v>
      </c>
      <c r="B8" s="74" t="s">
        <v>184</v>
      </c>
      <c r="C8" s="95" t="s">
        <v>181</v>
      </c>
      <c r="D8" s="95"/>
      <c r="E8" s="95"/>
      <c r="F8" s="95"/>
      <c r="G8" s="95"/>
    </row>
    <row r="9" spans="1:11" x14ac:dyDescent="0.35">
      <c r="A9" s="74" t="s">
        <v>165</v>
      </c>
      <c r="B9" s="74" t="s">
        <v>184</v>
      </c>
      <c r="C9" s="95" t="s">
        <v>182</v>
      </c>
      <c r="D9" s="95"/>
      <c r="E9" s="95"/>
      <c r="F9" s="95"/>
      <c r="G9" s="95"/>
    </row>
    <row r="10" spans="1:11" x14ac:dyDescent="0.35">
      <c r="A10" s="74" t="s">
        <v>200</v>
      </c>
      <c r="B10" s="74" t="s">
        <v>184</v>
      </c>
      <c r="C10" s="89" t="s">
        <v>201</v>
      </c>
      <c r="D10" s="89"/>
      <c r="E10" s="89"/>
      <c r="F10" s="89"/>
      <c r="G10" s="89"/>
    </row>
    <row r="11" spans="1:11" x14ac:dyDescent="0.35">
      <c r="A11" s="74"/>
      <c r="B11" s="74"/>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19.461791381186753</v>
      </c>
      <c r="E27" s="14">
        <f t="shared" ref="E27:L27" si="2">IF(E$25&lt;&gt;"",D89,"")</f>
        <v>18.874868255749597</v>
      </c>
      <c r="F27" s="14">
        <f t="shared" si="2"/>
        <v>18.614181669453274</v>
      </c>
      <c r="G27" s="14">
        <f t="shared" si="2"/>
        <v>18.565492937683537</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v>5</v>
      </c>
      <c r="C28" s="14">
        <f>IF(OR(C$25="",$A28=""),"",B28)</f>
        <v>5</v>
      </c>
      <c r="D28" s="14">
        <f>IF(OR(D$25="",$A28=""),"",C83)</f>
        <v>3.1841016642426663</v>
      </c>
      <c r="E28" s="14">
        <f t="shared" ref="E28:L28" si="3">IF(OR(E$25="",$A28=""),"",D83)</f>
        <v>2.5432464755189956</v>
      </c>
      <c r="F28" s="14">
        <f t="shared" si="3"/>
        <v>2.2370907183780364</v>
      </c>
      <c r="G28" s="14">
        <f t="shared" si="3"/>
        <v>2.5475834362304477</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v>4.0999999999999996</v>
      </c>
      <c r="C29" s="14">
        <f t="shared" ref="C29:C33" si="5">IF(OR(C$25="",$A29=""),"",B29)</f>
        <v>4.0999999999999996</v>
      </c>
      <c r="D29" s="14">
        <f t="shared" ref="D29:L33" si="6">IF(OR(D$25="",$A29=""),"",C84)</f>
        <v>4.2776897169440868</v>
      </c>
      <c r="E29" s="14">
        <f t="shared" si="6"/>
        <v>4.3316217802306003</v>
      </c>
      <c r="F29" s="14">
        <f t="shared" si="6"/>
        <v>4.3770909510752372</v>
      </c>
      <c r="G29" s="14">
        <f t="shared" si="6"/>
        <v>4.0179095014530901</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xml:space="preserve">    Shared, Reserve Balance</v>
      </c>
      <c r="B32" s="56">
        <v>12</v>
      </c>
      <c r="C32" s="14">
        <f t="shared" si="5"/>
        <v>12</v>
      </c>
      <c r="D32" s="14">
        <f t="shared" si="6"/>
        <v>12</v>
      </c>
      <c r="E32" s="14">
        <f t="shared" si="6"/>
        <v>12</v>
      </c>
      <c r="F32" s="14">
        <f t="shared" si="6"/>
        <v>12</v>
      </c>
      <c r="G32" s="14">
        <f t="shared" si="6"/>
        <v>12</v>
      </c>
      <c r="H32" s="14" t="str">
        <f t="shared" si="6"/>
        <v/>
      </c>
      <c r="I32" s="14" t="str">
        <f t="shared" si="6"/>
        <v/>
      </c>
      <c r="J32" s="14" t="str">
        <f t="shared" si="6"/>
        <v/>
      </c>
      <c r="K32" s="14" t="str">
        <f t="shared" si="6"/>
        <v/>
      </c>
      <c r="L32" s="14" t="str">
        <f t="shared" si="6"/>
        <v/>
      </c>
    </row>
    <row r="33" spans="1:15"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5" x14ac:dyDescent="0.35">
      <c r="A34" s="1" t="s">
        <v>117</v>
      </c>
      <c r="C34"/>
    </row>
    <row r="35" spans="1:15" x14ac:dyDescent="0.35">
      <c r="A35" t="s">
        <v>115</v>
      </c>
      <c r="B35" s="35">
        <v>0.5</v>
      </c>
      <c r="C35" s="14">
        <f>IF(C$25&lt;&gt;"",B22,"")</f>
        <v>11</v>
      </c>
      <c r="D35" s="14">
        <f t="shared" ref="D35:L36" si="7">IF(D25&lt;&gt;"",$B35*D$27,"")</f>
        <v>9.7308956905933766</v>
      </c>
      <c r="E35" s="14">
        <f t="shared" si="7"/>
        <v>9.4374341278747984</v>
      </c>
      <c r="F35" s="14">
        <f t="shared" si="7"/>
        <v>9.3070908347266368</v>
      </c>
      <c r="G35" s="14">
        <f t="shared" si="7"/>
        <v>9.2827464688417685</v>
      </c>
      <c r="H35" s="14" t="str">
        <f t="shared" si="7"/>
        <v/>
      </c>
      <c r="I35" s="14" t="str">
        <f t="shared" si="7"/>
        <v/>
      </c>
      <c r="J35" s="14" t="str">
        <f t="shared" si="7"/>
        <v/>
      </c>
      <c r="K35" s="14" t="str">
        <f t="shared" si="7"/>
        <v/>
      </c>
      <c r="L35" s="14" t="str">
        <f t="shared" si="7"/>
        <v/>
      </c>
    </row>
    <row r="36" spans="1:15" x14ac:dyDescent="0.35">
      <c r="A36" t="s">
        <v>116</v>
      </c>
      <c r="B36" s="35">
        <f>1-B35</f>
        <v>0.5</v>
      </c>
      <c r="C36" s="14">
        <f>IF(C$25&lt;&gt;"",C22,"")</f>
        <v>10.1</v>
      </c>
      <c r="D36" s="14">
        <f t="shared" si="7"/>
        <v>9.7308956905933766</v>
      </c>
      <c r="E36" s="14">
        <f t="shared" si="7"/>
        <v>9.4374341278747984</v>
      </c>
      <c r="F36" s="14">
        <f t="shared" si="7"/>
        <v>9.3070908347266368</v>
      </c>
      <c r="G36" s="14">
        <f t="shared" si="7"/>
        <v>9.2827464688417685</v>
      </c>
      <c r="H36" s="14" t="str">
        <f t="shared" si="7"/>
        <v/>
      </c>
      <c r="I36" s="14" t="str">
        <f t="shared" si="7"/>
        <v/>
      </c>
      <c r="J36" s="14" t="str">
        <f t="shared" si="7"/>
        <v/>
      </c>
      <c r="K36" s="14" t="str">
        <f t="shared" si="7"/>
        <v/>
      </c>
      <c r="L36" s="14" t="str">
        <f t="shared" si="7"/>
        <v/>
      </c>
    </row>
    <row r="37" spans="1:15"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0.97388231249882695</v>
      </c>
      <c r="E37" s="14">
        <f>IF(E$25&lt;&gt;"",VLOOKUP(E35*1000000,'Powell-Elevation-Area'!$B$5:$D$689,3)*$B$21/1000000 + VLOOKUP(E36*1000000,'Mead-Elevation-Area'!$B$5:$D$676,3)*$C$21/1000000,"")</f>
        <v>0.95600367599997305</v>
      </c>
      <c r="F37" s="14">
        <f>IF(F$25&lt;&gt;"",VLOOKUP(F35*1000000,'Powell-Elevation-Area'!$B$5:$D$689,3)*$B$21/1000000 + VLOOKUP(F36*1000000,'Mead-Elevation-Area'!$B$5:$D$676,3)*$C$21/1000000,"")</f>
        <v>0.94739359800057299</v>
      </c>
      <c r="G37" s="14">
        <f>IF(G$25&lt;&gt;"",VLOOKUP(G35*1000000,'Powell-Elevation-Area'!$B$5:$D$689,3)*$B$21/1000000 + VLOOKUP(G36*1000000,'Mead-Elevation-Area'!$B$5:$D$676,3)*$C$21/1000000,"")</f>
        <v>0.94739359800057299</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5" x14ac:dyDescent="0.35">
      <c r="A38" t="str">
        <f>IF(A6="","","    "&amp;A6&amp;" Share")</f>
        <v xml:space="preserve">    Upper Basin Share</v>
      </c>
      <c r="B38" s="1"/>
      <c r="C38" s="14">
        <f>IF(OR(C$25="",$A38=""),"",C$37*C28/C$27)</f>
        <v>0.24215584834122589</v>
      </c>
      <c r="D38" s="14">
        <f t="shared" ref="D38:L38" si="8">IF(OR(D$25="",$A38=""),"",D$37*D28/D$27)</f>
        <v>0.15933478225450592</v>
      </c>
      <c r="E38" s="14">
        <f t="shared" si="8"/>
        <v>0.12881430199278371</v>
      </c>
      <c r="F38" s="14">
        <f t="shared" si="8"/>
        <v>0.11385971526300812</v>
      </c>
      <c r="G38" s="14">
        <f t="shared" si="8"/>
        <v>0.13000270156889104</v>
      </c>
      <c r="H38" s="14" t="str">
        <f t="shared" si="8"/>
        <v/>
      </c>
      <c r="I38" s="14" t="str">
        <f t="shared" si="8"/>
        <v/>
      </c>
      <c r="J38" s="14" t="str">
        <f t="shared" si="8"/>
        <v/>
      </c>
      <c r="K38" s="14" t="str">
        <f t="shared" si="8"/>
        <v/>
      </c>
      <c r="L38" s="14" t="str">
        <f t="shared" si="8"/>
        <v/>
      </c>
    </row>
    <row r="39" spans="1:15" x14ac:dyDescent="0.35">
      <c r="A39" t="str">
        <f t="shared" ref="A39:A43" si="9">IF(A7="","","    "&amp;A7&amp;" Share")</f>
        <v xml:space="preserve">    Lower Basin Share</v>
      </c>
      <c r="B39" s="1"/>
      <c r="C39" s="14">
        <f t="shared" ref="C39:L43" si="10">IF(OR(C$25="",$A39=""),"",C$37*C29/C$27)</f>
        <v>0.1985677956398052</v>
      </c>
      <c r="D39" s="14">
        <f t="shared" si="10"/>
        <v>0.21405873036523759</v>
      </c>
      <c r="E39" s="14">
        <f t="shared" si="10"/>
        <v>0.21939471517532685</v>
      </c>
      <c r="F39" s="14">
        <f t="shared" si="10"/>
        <v>0.22277788078753169</v>
      </c>
      <c r="G39" s="14">
        <f t="shared" si="10"/>
        <v>0.20503316296525351</v>
      </c>
      <c r="H39" s="14" t="str">
        <f t="shared" si="10"/>
        <v/>
      </c>
      <c r="I39" s="14" t="str">
        <f t="shared" si="10"/>
        <v/>
      </c>
      <c r="J39" s="14" t="str">
        <f t="shared" si="10"/>
        <v/>
      </c>
      <c r="K39" s="14" t="str">
        <f t="shared" si="10"/>
        <v/>
      </c>
      <c r="L39" s="14" t="str">
        <f t="shared" si="10"/>
        <v/>
      </c>
    </row>
    <row r="40" spans="1:15"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5"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5" x14ac:dyDescent="0.35">
      <c r="A42" t="str">
        <f t="shared" si="9"/>
        <v xml:space="preserve">    Shared, Reserve Share</v>
      </c>
      <c r="B42" s="1"/>
      <c r="C42" s="14">
        <f t="shared" si="10"/>
        <v>0.58117403601894213</v>
      </c>
      <c r="D42" s="14">
        <f t="shared" si="10"/>
        <v>0.60048879987908343</v>
      </c>
      <c r="E42" s="14">
        <f t="shared" si="10"/>
        <v>0.60779465883186234</v>
      </c>
      <c r="F42" s="14">
        <f t="shared" si="10"/>
        <v>0.61075600195003321</v>
      </c>
      <c r="G42" s="14">
        <f t="shared" si="10"/>
        <v>0.61235773346642852</v>
      </c>
      <c r="H42" s="14" t="str">
        <f t="shared" si="10"/>
        <v/>
      </c>
      <c r="I42" s="14" t="str">
        <f t="shared" si="10"/>
        <v/>
      </c>
      <c r="J42" s="14" t="str">
        <f t="shared" si="10"/>
        <v/>
      </c>
      <c r="K42" s="14" t="str">
        <f t="shared" si="10"/>
        <v/>
      </c>
      <c r="L42" s="14" t="str">
        <f t="shared" si="10"/>
        <v/>
      </c>
    </row>
    <row r="43" spans="1:15"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5" x14ac:dyDescent="0.35">
      <c r="A44" s="1" t="s">
        <v>161</v>
      </c>
      <c r="B44" s="1"/>
      <c r="C44" s="50">
        <f>IF(C$25&lt;&gt;"",1.5-$B$50/9/2-IF(C$29&lt;$O$78,$Q$78,IF(C$29&lt;=$O$85,VLOOKUP(C$29,$O$78:$Q$85,3),0)),"")</f>
        <v>1.35</v>
      </c>
      <c r="D44" s="50">
        <f t="shared" ref="D44:L44" si="11">IF(D$25&lt;&gt;"",1.5-$B$50/9-IF(D$29&lt;$O$78,$Q$78,IF(D$29&lt;=$O$85,VLOOKUP(D$29,$O$78:$Q$85,3),0)),"")</f>
        <v>1.35</v>
      </c>
      <c r="E44" s="50">
        <f t="shared" si="11"/>
        <v>1.35</v>
      </c>
      <c r="F44" s="50">
        <f t="shared" si="11"/>
        <v>1.35</v>
      </c>
      <c r="G44" s="50">
        <f t="shared" si="11"/>
        <v>1.35</v>
      </c>
      <c r="H44" s="50" t="str">
        <f t="shared" si="11"/>
        <v/>
      </c>
      <c r="I44" s="50" t="str">
        <f t="shared" si="11"/>
        <v/>
      </c>
      <c r="J44" s="50" t="str">
        <f t="shared" si="11"/>
        <v/>
      </c>
      <c r="K44" s="50" t="str">
        <f t="shared" si="11"/>
        <v/>
      </c>
      <c r="L44" s="50" t="str">
        <f t="shared" si="11"/>
        <v/>
      </c>
    </row>
    <row r="45" spans="1:15" x14ac:dyDescent="0.35">
      <c r="A45" s="1" t="s">
        <v>162</v>
      </c>
      <c r="B45" s="1"/>
      <c r="C45" s="46"/>
    </row>
    <row r="46" spans="1:15" x14ac:dyDescent="0.35">
      <c r="A46" t="str">
        <f>IF(A6="","","    To "&amp;A6)</f>
        <v xml:space="preserve">    To Upper Basin</v>
      </c>
      <c r="B46" s="24" t="s">
        <v>164</v>
      </c>
      <c r="C46" s="14">
        <f>IF(OR(C$25="",$A4=""),"",MAX(0,C$25-SUM(C47:C50)))</f>
        <v>2.6262575125838925</v>
      </c>
      <c r="D46" s="14">
        <f t="shared" ref="D46:L46" si="12">IF(OR(D$25="",$A4=""),"",MAX(0,D$25-SUM(D47:D48)))</f>
        <v>3.2184795935308355</v>
      </c>
      <c r="E46" s="14">
        <f t="shared" si="12"/>
        <v>3.222658544851825</v>
      </c>
      <c r="F46" s="14">
        <f t="shared" si="12"/>
        <v>3.2243524331154196</v>
      </c>
      <c r="G46" s="14">
        <f t="shared" si="12"/>
        <v>3.2252686235427976</v>
      </c>
      <c r="H46" s="14" t="str">
        <f t="shared" si="12"/>
        <v/>
      </c>
      <c r="I46" s="14" t="str">
        <f t="shared" si="12"/>
        <v/>
      </c>
      <c r="J46" s="14" t="str">
        <f t="shared" si="12"/>
        <v/>
      </c>
      <c r="K46" s="14" t="str">
        <f t="shared" si="12"/>
        <v/>
      </c>
      <c r="L46" s="14" t="str">
        <f t="shared" si="12"/>
        <v/>
      </c>
      <c r="N46" s="98"/>
      <c r="O46" s="98"/>
    </row>
    <row r="47" spans="1:15" x14ac:dyDescent="0.35">
      <c r="A47" t="str">
        <f t="shared" ref="A47:A51" si="13">IF(A7="","","    To "&amp;A7)</f>
        <v xml:space="preserve">    To Lower Basin</v>
      </c>
      <c r="B47" s="44">
        <f>7.5-$B$50</f>
        <v>7.5</v>
      </c>
      <c r="C47" s="14">
        <f>IF(OR(C$25="",$A47=""),"",IF(C$25&lt;SUM(C48:C50),0,IF(C$25&lt;SUM(C48:C50)+$B47-C50*(1-0.144)/2,C$25-SUM(C48:C50),$B47-C50*(1-0.144)/2)))</f>
        <v>7.2512575125838925</v>
      </c>
      <c r="D47" s="14">
        <f t="shared" ref="D47:G47" si="14">IF(OR(D$25="",$A47=""),"",IF(D$25&lt;SUM(D48:D50),0,IF(D$25&lt;SUM(D48:D50)+$B47-D50*(1-0.144)/2,D$25-SUM(D48:D50),$B47-D50*(1-0.144)/2)))</f>
        <v>7.2429907936517521</v>
      </c>
      <c r="E47" s="14">
        <f t="shared" si="14"/>
        <v>7.2398638860199629</v>
      </c>
      <c r="F47" s="14">
        <f t="shared" si="14"/>
        <v>7.2385964311653854</v>
      </c>
      <c r="G47" s="14">
        <f t="shared" si="14"/>
        <v>7.2379108900763685</v>
      </c>
      <c r="H47" s="14" t="str">
        <f t="shared" ref="D47:L47" si="15">IF(OR(H$25="",$A47=""),"",IF(H$25&lt;$B48,0,IF(H$25&gt;$B47,$B47,H$25)))</f>
        <v/>
      </c>
      <c r="I47" s="14" t="str">
        <f t="shared" si="15"/>
        <v/>
      </c>
      <c r="J47" s="14" t="str">
        <f t="shared" si="15"/>
        <v/>
      </c>
      <c r="K47" s="14" t="str">
        <f t="shared" si="15"/>
        <v/>
      </c>
      <c r="L47" s="14" t="str">
        <f t="shared" si="15"/>
        <v/>
      </c>
      <c r="N47" s="98"/>
      <c r="O47" s="98"/>
    </row>
    <row r="48" spans="1:15" x14ac:dyDescent="0.35">
      <c r="A48" t="str">
        <f t="shared" si="13"/>
        <v xml:space="preserve">    To Mexico</v>
      </c>
      <c r="B48" s="44">
        <f>C44/2-0.05</f>
        <v>0.625</v>
      </c>
      <c r="C48" s="14">
        <f>IF(OR(C$25="",$A48=""),"",IF(C$25&gt;C50,$B48-C$42*0.144,C$25-C50))</f>
        <v>0.5413109388132723</v>
      </c>
      <c r="D48" s="14">
        <f t="shared" ref="D48:G48" si="16">IF(OR(D$25="",$A48=""),"",IF(D$25&gt;D50,$B48-D$42*0.144,D$25-D50))</f>
        <v>0.53852961281741196</v>
      </c>
      <c r="E48" s="14">
        <f t="shared" si="16"/>
        <v>0.53747756912821187</v>
      </c>
      <c r="F48" s="14">
        <f t="shared" si="16"/>
        <v>0.53705113571919527</v>
      </c>
      <c r="G48" s="14">
        <f t="shared" si="16"/>
        <v>0.53682048638083435</v>
      </c>
      <c r="H48" s="14" t="str">
        <f t="shared" ref="D48:L48" si="17">IF(OR(H$25="",$A48=""),"",IF(H$25&gt;$B48,$B48,H$25))</f>
        <v/>
      </c>
      <c r="I48" s="14" t="str">
        <f t="shared" si="17"/>
        <v/>
      </c>
      <c r="J48" s="14" t="str">
        <f t="shared" si="17"/>
        <v/>
      </c>
      <c r="K48" s="14" t="str">
        <f t="shared" si="17"/>
        <v/>
      </c>
      <c r="L48" s="14" t="str">
        <f t="shared" si="17"/>
        <v/>
      </c>
      <c r="N48" s="98"/>
      <c r="O48" s="98"/>
    </row>
    <row r="49" spans="1:13" x14ac:dyDescent="0.35">
      <c r="A49" t="str">
        <f t="shared" si="13"/>
        <v xml:space="preserve">    To Mohave &amp; Havasu Evap &amp; ET</v>
      </c>
      <c r="B49" s="44">
        <v>0</v>
      </c>
      <c r="C49" s="14">
        <f t="shared" ref="C49:L51" si="18">IF(OR(C$25="",$A49=""),"",IF(C$25&gt;$B49,$B49,C$25))</f>
        <v>0</v>
      </c>
      <c r="D49" s="14">
        <f t="shared" si="18"/>
        <v>0</v>
      </c>
      <c r="E49" s="14">
        <f t="shared" si="18"/>
        <v>0</v>
      </c>
      <c r="F49" s="14">
        <f t="shared" si="18"/>
        <v>0</v>
      </c>
      <c r="G49" s="14">
        <f t="shared" si="18"/>
        <v>0</v>
      </c>
      <c r="H49" s="14" t="str">
        <f t="shared" si="18"/>
        <v/>
      </c>
      <c r="I49" s="14" t="str">
        <f t="shared" si="18"/>
        <v/>
      </c>
      <c r="J49" s="14" t="str">
        <f t="shared" si="18"/>
        <v/>
      </c>
      <c r="K49" s="14" t="str">
        <f t="shared" si="18"/>
        <v/>
      </c>
      <c r="L49" s="14" t="str">
        <f t="shared" si="18"/>
        <v/>
      </c>
    </row>
    <row r="50" spans="1:13" x14ac:dyDescent="0.35">
      <c r="A50" t="str">
        <f t="shared" si="13"/>
        <v xml:space="preserve">    To Shared, Reserve</v>
      </c>
      <c r="B50" s="44"/>
      <c r="C50" s="14">
        <f>IF(OR(C$25="",$A50=""),"",IF(C$25&gt;C42,C42,C$25))</f>
        <v>0.58117403601894213</v>
      </c>
      <c r="D50" s="14">
        <f t="shared" ref="D50:G50" si="19">IF(OR(D$25="",$A50=""),"",IF(D$25&gt;D42,D42,D$25))</f>
        <v>0.60048879987908343</v>
      </c>
      <c r="E50" s="14">
        <f t="shared" si="19"/>
        <v>0.60779465883186234</v>
      </c>
      <c r="F50" s="14">
        <f t="shared" si="19"/>
        <v>0.61075600195003321</v>
      </c>
      <c r="G50" s="14">
        <f t="shared" si="19"/>
        <v>0.61235773346642852</v>
      </c>
      <c r="H50" s="59" t="str">
        <f t="shared" si="18"/>
        <v/>
      </c>
      <c r="I50" s="59" t="str">
        <f t="shared" si="18"/>
        <v/>
      </c>
      <c r="J50" s="59" t="str">
        <f t="shared" si="18"/>
        <v/>
      </c>
      <c r="K50" s="59" t="str">
        <f t="shared" si="18"/>
        <v/>
      </c>
      <c r="L50" s="59" t="str">
        <f t="shared" si="18"/>
        <v/>
      </c>
    </row>
    <row r="51" spans="1:13" x14ac:dyDescent="0.35">
      <c r="A51" t="str">
        <f t="shared" si="13"/>
        <v/>
      </c>
      <c r="B51" s="44"/>
      <c r="C51" s="14" t="str">
        <f t="shared" si="18"/>
        <v/>
      </c>
      <c r="D51" s="14" t="str">
        <f t="shared" si="18"/>
        <v/>
      </c>
      <c r="E51" s="14" t="str">
        <f t="shared" si="18"/>
        <v/>
      </c>
      <c r="F51" s="14" t="str">
        <f t="shared" si="18"/>
        <v/>
      </c>
      <c r="G51" s="14" t="str">
        <f t="shared" si="18"/>
        <v/>
      </c>
      <c r="H51" s="14" t="str">
        <f t="shared" si="18"/>
        <v/>
      </c>
      <c r="I51" s="14" t="str">
        <f t="shared" si="18"/>
        <v/>
      </c>
      <c r="J51" s="14" t="str">
        <f t="shared" si="18"/>
        <v/>
      </c>
      <c r="K51" s="14" t="str">
        <f t="shared" si="18"/>
        <v/>
      </c>
      <c r="L51" s="14" t="str">
        <f t="shared" si="18"/>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20">IF(OR($A53="",D$25=""),"",IF(D$26&gt;$B53,$B53,D$26))</f>
        <v>0</v>
      </c>
      <c r="E53" s="14">
        <f t="shared" si="20"/>
        <v>0</v>
      </c>
      <c r="F53" s="14">
        <f t="shared" si="20"/>
        <v>0</v>
      </c>
      <c r="G53" s="14">
        <f t="shared" si="20"/>
        <v>0</v>
      </c>
      <c r="H53" s="14" t="str">
        <f t="shared" si="20"/>
        <v/>
      </c>
      <c r="I53" s="14" t="str">
        <f t="shared" si="20"/>
        <v/>
      </c>
      <c r="J53" s="14" t="str">
        <f t="shared" si="20"/>
        <v/>
      </c>
      <c r="K53" s="14" t="str">
        <f t="shared" si="20"/>
        <v/>
      </c>
      <c r="L53" s="14" t="str">
        <f t="shared" si="20"/>
        <v/>
      </c>
    </row>
    <row r="54" spans="1:13" x14ac:dyDescent="0.35">
      <c r="A54" t="str">
        <f t="shared" ref="A54:A58" si="21">IF(A7="","","    To "&amp;A7)</f>
        <v xml:space="preserve">    To Lower Basin</v>
      </c>
      <c r="B54" s="44" t="s">
        <v>164</v>
      </c>
      <c r="C54" s="14">
        <f>IF(OR(C$25="",$A54=""),"",C$26-SUM(C55:C56))</f>
        <v>-0.47499999999999987</v>
      </c>
      <c r="D54" s="14">
        <f t="shared" ref="D54:L54" si="22">IF(OR(D$25="",$A54=""),"",D$26-SUM(D55:D56))</f>
        <v>-0.47499999999999987</v>
      </c>
      <c r="E54" s="14">
        <f t="shared" si="22"/>
        <v>-0.47499999999999987</v>
      </c>
      <c r="F54" s="14">
        <f t="shared" si="22"/>
        <v>-0.47499999999999987</v>
      </c>
      <c r="G54" s="14">
        <f t="shared" si="22"/>
        <v>-0.47499999999999987</v>
      </c>
      <c r="H54" s="14" t="str">
        <f t="shared" si="22"/>
        <v/>
      </c>
      <c r="I54" s="14" t="str">
        <f t="shared" si="22"/>
        <v/>
      </c>
      <c r="J54" s="14" t="str">
        <f t="shared" si="22"/>
        <v/>
      </c>
      <c r="K54" s="14" t="str">
        <f t="shared" si="22"/>
        <v/>
      </c>
      <c r="L54" s="14" t="str">
        <f t="shared" si="22"/>
        <v/>
      </c>
    </row>
    <row r="55" spans="1:13" x14ac:dyDescent="0.35">
      <c r="A55" t="str">
        <f t="shared" si="21"/>
        <v xml:space="preserve">    To Mexico</v>
      </c>
      <c r="B55" s="44">
        <f>C44/2</f>
        <v>0.67500000000000004</v>
      </c>
      <c r="C55" s="14">
        <f>IF(OR(C$25="",$A55=""),"",C44/2)</f>
        <v>0.67500000000000004</v>
      </c>
      <c r="D55" s="14">
        <f t="shared" ref="D55:L55" si="23">IF(OR(D$25="",$A55=""),"",D44/2)</f>
        <v>0.67500000000000004</v>
      </c>
      <c r="E55" s="14">
        <f t="shared" si="23"/>
        <v>0.67500000000000004</v>
      </c>
      <c r="F55" s="14">
        <f t="shared" si="23"/>
        <v>0.67500000000000004</v>
      </c>
      <c r="G55" s="14">
        <f t="shared" si="23"/>
        <v>0.67500000000000004</v>
      </c>
      <c r="H55" s="14" t="str">
        <f t="shared" si="23"/>
        <v/>
      </c>
      <c r="I55" s="14" t="str">
        <f t="shared" si="23"/>
        <v/>
      </c>
      <c r="J55" s="14" t="str">
        <f t="shared" si="23"/>
        <v/>
      </c>
      <c r="K55" s="14" t="str">
        <f t="shared" si="23"/>
        <v/>
      </c>
      <c r="L55" s="14" t="str">
        <f t="shared" si="23"/>
        <v/>
      </c>
    </row>
    <row r="56" spans="1:13" x14ac:dyDescent="0.35">
      <c r="A56" t="str">
        <f t="shared" si="21"/>
        <v xml:space="preserve">    To Mohave &amp; Havasu Evap &amp; ET</v>
      </c>
      <c r="B56" s="44">
        <v>0.6</v>
      </c>
      <c r="C56" s="14">
        <f>IF(OR($A56="",C$25=""),"",IF(C$26&gt;$B56,$B56,C$26))</f>
        <v>0.6</v>
      </c>
      <c r="D56" s="14">
        <f t="shared" ref="D56:L56" si="24">IF(OR($A56="",D$25=""),"",IF(D$26&gt;$B56,$B56,D$26))</f>
        <v>0.6</v>
      </c>
      <c r="E56" s="14">
        <f t="shared" si="24"/>
        <v>0.6</v>
      </c>
      <c r="F56" s="14">
        <f t="shared" si="24"/>
        <v>0.6</v>
      </c>
      <c r="G56" s="14">
        <f t="shared" si="24"/>
        <v>0.6</v>
      </c>
      <c r="H56" s="14" t="str">
        <f t="shared" si="24"/>
        <v/>
      </c>
      <c r="I56" s="14" t="str">
        <f t="shared" si="24"/>
        <v/>
      </c>
      <c r="J56" s="14" t="str">
        <f t="shared" si="24"/>
        <v/>
      </c>
      <c r="K56" s="14" t="str">
        <f t="shared" si="24"/>
        <v/>
      </c>
      <c r="L56" s="14" t="str">
        <f t="shared" si="24"/>
        <v/>
      </c>
    </row>
    <row r="57" spans="1:13" x14ac:dyDescent="0.35">
      <c r="A57" t="str">
        <f t="shared" si="21"/>
        <v xml:space="preserve">    To Shared, Reserve</v>
      </c>
      <c r="B57" s="61"/>
      <c r="C57" s="14">
        <f t="shared" ref="C57:L58" si="25">IF(OR($A57="",C$25=""),"",IF(C$26&gt;$B57,$B57,C$26))</f>
        <v>0</v>
      </c>
      <c r="D57" s="14">
        <f t="shared" si="25"/>
        <v>0</v>
      </c>
      <c r="E57" s="14">
        <f t="shared" si="25"/>
        <v>0</v>
      </c>
      <c r="F57" s="14">
        <f t="shared" si="25"/>
        <v>0</v>
      </c>
      <c r="G57" s="14">
        <f t="shared" si="25"/>
        <v>0</v>
      </c>
      <c r="H57" s="14" t="str">
        <f t="shared" si="25"/>
        <v/>
      </c>
      <c r="I57" s="14" t="str">
        <f t="shared" si="25"/>
        <v/>
      </c>
      <c r="J57" s="14" t="str">
        <f t="shared" si="25"/>
        <v/>
      </c>
      <c r="K57" s="14" t="str">
        <f t="shared" si="25"/>
        <v/>
      </c>
      <c r="L57" s="14" t="str">
        <f t="shared" si="25"/>
        <v/>
      </c>
    </row>
    <row r="58" spans="1:13" x14ac:dyDescent="0.35">
      <c r="A58" t="str">
        <f t="shared" si="21"/>
        <v/>
      </c>
      <c r="B58" s="44"/>
      <c r="C58" s="14" t="str">
        <f t="shared" si="25"/>
        <v/>
      </c>
      <c r="D58" s="14" t="str">
        <f t="shared" si="25"/>
        <v/>
      </c>
      <c r="E58" s="14" t="str">
        <f t="shared" si="25"/>
        <v/>
      </c>
      <c r="F58" s="14" t="str">
        <f t="shared" si="25"/>
        <v/>
      </c>
      <c r="G58" s="14" t="str">
        <f t="shared" si="25"/>
        <v/>
      </c>
      <c r="H58" s="14" t="str">
        <f t="shared" si="25"/>
        <v/>
      </c>
      <c r="I58" s="14" t="str">
        <f t="shared" si="25"/>
        <v/>
      </c>
      <c r="J58" s="14" t="str">
        <f t="shared" si="25"/>
        <v/>
      </c>
      <c r="K58" s="14" t="str">
        <f t="shared" si="25"/>
        <v/>
      </c>
      <c r="L58" s="14" t="str">
        <f t="shared" si="25"/>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6">IF(A7="","","    "&amp;A7)</f>
        <v xml:space="preserve">    Lower Basin</v>
      </c>
      <c r="B61" s="1"/>
      <c r="C61" s="70">
        <f>-C60</f>
        <v>-0.5</v>
      </c>
      <c r="D61" s="70">
        <f t="shared" ref="D61:E61" si="27">-D60</f>
        <v>-0.4</v>
      </c>
      <c r="E61" s="70">
        <f t="shared" si="27"/>
        <v>-0.4</v>
      </c>
      <c r="F61" s="62"/>
      <c r="G61" s="62"/>
      <c r="H61" s="62"/>
      <c r="I61" s="62"/>
      <c r="J61" s="62"/>
      <c r="K61" s="67"/>
      <c r="L61" s="62"/>
      <c r="M61" s="54">
        <f t="shared" ref="M61:M65" si="28">SUMPRODUCT(C61:L61,C$67:L$67)</f>
        <v>-455</v>
      </c>
    </row>
    <row r="62" spans="1:13" x14ac:dyDescent="0.35">
      <c r="A62" t="str">
        <f t="shared" si="26"/>
        <v xml:space="preserve">    Mexico</v>
      </c>
      <c r="B62" s="1"/>
      <c r="C62" s="50"/>
      <c r="D62" s="50"/>
      <c r="E62" s="68"/>
      <c r="F62" s="50"/>
      <c r="G62" s="50"/>
      <c r="H62" s="68"/>
      <c r="I62" s="50"/>
      <c r="J62" s="50"/>
      <c r="K62" s="68"/>
      <c r="L62" s="50"/>
      <c r="M62" s="54">
        <f t="shared" si="28"/>
        <v>0</v>
      </c>
    </row>
    <row r="63" spans="1:13" x14ac:dyDescent="0.35">
      <c r="A63" t="str">
        <f t="shared" si="26"/>
        <v xml:space="preserve">    Mohave &amp; Havasu Evap &amp; ET</v>
      </c>
      <c r="B63" s="1"/>
      <c r="C63" s="50"/>
      <c r="D63" s="50"/>
      <c r="E63" s="68"/>
      <c r="F63" s="50"/>
      <c r="G63" s="50"/>
      <c r="H63" s="68"/>
      <c r="I63" s="50"/>
      <c r="J63" s="50"/>
      <c r="K63" s="68"/>
      <c r="L63" s="50"/>
      <c r="M63" s="54">
        <f t="shared" si="28"/>
        <v>0</v>
      </c>
    </row>
    <row r="64" spans="1:13" x14ac:dyDescent="0.35">
      <c r="A64" t="str">
        <f t="shared" si="26"/>
        <v xml:space="preserve">    Shared, Reserve</v>
      </c>
      <c r="B64" s="1"/>
      <c r="C64" s="50"/>
      <c r="D64" s="50"/>
      <c r="E64" s="68"/>
      <c r="F64" s="50"/>
      <c r="G64" s="50"/>
      <c r="H64" s="68"/>
      <c r="I64" s="50"/>
      <c r="J64" s="50"/>
      <c r="K64" s="68"/>
      <c r="L64" s="50"/>
      <c r="M64" s="54">
        <f t="shared" si="28"/>
        <v>0</v>
      </c>
    </row>
    <row r="65" spans="1:21" x14ac:dyDescent="0.35">
      <c r="A65" t="str">
        <f t="shared" si="26"/>
        <v/>
      </c>
      <c r="B65" s="1"/>
      <c r="C65" s="50"/>
      <c r="D65" s="50"/>
      <c r="E65" s="50"/>
      <c r="F65" s="50"/>
      <c r="G65" s="50"/>
      <c r="H65" s="50"/>
      <c r="I65" s="50"/>
      <c r="J65" s="50"/>
      <c r="K65" s="50"/>
      <c r="L65" s="50"/>
      <c r="M65" s="54">
        <f t="shared" si="28"/>
        <v>0</v>
      </c>
    </row>
    <row r="66" spans="1:21" x14ac:dyDescent="0.35">
      <c r="A66" t="s">
        <v>159</v>
      </c>
      <c r="B66" s="1"/>
      <c r="C66" s="53">
        <f>IF(C$25&lt;&gt;"",SUM(C60:C65),"")</f>
        <v>0</v>
      </c>
      <c r="D66" s="53">
        <f t="shared" ref="D66:L66" si="29">IF(D$25&lt;&gt;"",SUM(D60:D65),"")</f>
        <v>0</v>
      </c>
      <c r="E66" s="53">
        <f t="shared" si="29"/>
        <v>0</v>
      </c>
      <c r="F66" s="53">
        <f t="shared" si="29"/>
        <v>0</v>
      </c>
      <c r="G66" s="53">
        <f t="shared" si="29"/>
        <v>0</v>
      </c>
      <c r="H66" s="53" t="str">
        <f t="shared" si="29"/>
        <v/>
      </c>
      <c r="I66" s="53" t="str">
        <f t="shared" si="29"/>
        <v/>
      </c>
      <c r="J66" s="53" t="str">
        <f t="shared" si="29"/>
        <v/>
      </c>
      <c r="K66" s="53" t="str">
        <f t="shared" si="29"/>
        <v/>
      </c>
      <c r="L66" s="53" t="str">
        <f t="shared" si="29"/>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6.8841016642426665</v>
      </c>
      <c r="D69" s="14">
        <f t="shared" ref="D69:L69" si="30">IF(OR(D$25="",$A69=""),"",D28+D46+D53-D38-D60)</f>
        <v>5.8432464755189955</v>
      </c>
      <c r="E69" s="14">
        <f t="shared" si="30"/>
        <v>5.2370907183780364</v>
      </c>
      <c r="F69" s="14">
        <f t="shared" si="30"/>
        <v>5.3475834362304475</v>
      </c>
      <c r="G69" s="14">
        <f t="shared" si="30"/>
        <v>5.6428493582043542</v>
      </c>
      <c r="H69" s="14" t="str">
        <f t="shared" si="30"/>
        <v/>
      </c>
      <c r="I69" s="14" t="str">
        <f t="shared" si="30"/>
        <v/>
      </c>
      <c r="J69" s="14" t="str">
        <f t="shared" si="30"/>
        <v/>
      </c>
      <c r="K69" s="14" t="str">
        <f t="shared" si="30"/>
        <v/>
      </c>
      <c r="L69" s="14" t="str">
        <f t="shared" si="30"/>
        <v/>
      </c>
    </row>
    <row r="70" spans="1:21" x14ac:dyDescent="0.35">
      <c r="A70" t="str">
        <f t="shared" ref="A70:A74" si="31">IF(A7="","","    "&amp;A7)</f>
        <v xml:space="preserve">    Lower Basin</v>
      </c>
      <c r="C70" s="14">
        <f t="shared" ref="C70:L74" si="32">IF(OR(C$25="",$A70=""),"",C29+C47+C54-C39-C61)</f>
        <v>11.177689716944087</v>
      </c>
      <c r="D70" s="14">
        <f t="shared" si="32"/>
        <v>11.231621780230601</v>
      </c>
      <c r="E70" s="14">
        <f t="shared" si="32"/>
        <v>11.277090951075238</v>
      </c>
      <c r="F70" s="14">
        <f t="shared" si="32"/>
        <v>10.91790950145309</v>
      </c>
      <c r="G70" s="14">
        <f t="shared" si="32"/>
        <v>10.575787228564204</v>
      </c>
      <c r="H70" s="14" t="str">
        <f t="shared" si="32"/>
        <v/>
      </c>
      <c r="I70" s="14" t="str">
        <f t="shared" si="32"/>
        <v/>
      </c>
      <c r="J70" s="14" t="str">
        <f t="shared" si="32"/>
        <v/>
      </c>
      <c r="K70" s="14" t="str">
        <f t="shared" si="32"/>
        <v/>
      </c>
      <c r="L70" s="14" t="str">
        <f t="shared" si="32"/>
        <v/>
      </c>
    </row>
    <row r="71" spans="1:21" x14ac:dyDescent="0.35">
      <c r="A71" t="str">
        <f t="shared" si="31"/>
        <v xml:space="preserve">    Mexico</v>
      </c>
      <c r="C71" s="60">
        <f t="shared" si="32"/>
        <v>1.2163109388132725</v>
      </c>
      <c r="D71" s="14">
        <f t="shared" si="32"/>
        <v>1.213529612817412</v>
      </c>
      <c r="E71" s="14">
        <f t="shared" si="32"/>
        <v>1.2124775691282119</v>
      </c>
      <c r="F71" s="14">
        <f t="shared" si="32"/>
        <v>1.2120511357191952</v>
      </c>
      <c r="G71" s="14">
        <f t="shared" si="32"/>
        <v>1.2118204863808344</v>
      </c>
      <c r="H71" s="14" t="str">
        <f t="shared" si="32"/>
        <v/>
      </c>
      <c r="I71" s="14" t="str">
        <f t="shared" si="32"/>
        <v/>
      </c>
      <c r="J71" s="14" t="str">
        <f t="shared" si="32"/>
        <v/>
      </c>
      <c r="K71" s="14" t="str">
        <f t="shared" si="32"/>
        <v/>
      </c>
      <c r="L71" s="14" t="str">
        <f t="shared" si="32"/>
        <v/>
      </c>
    </row>
    <row r="72" spans="1:21" x14ac:dyDescent="0.35">
      <c r="A72" t="str">
        <f t="shared" si="31"/>
        <v xml:space="preserve">    Mohave &amp; Havasu Evap &amp; ET</v>
      </c>
      <c r="C72" s="14">
        <f t="shared" si="32"/>
        <v>0.6</v>
      </c>
      <c r="D72" s="14">
        <f t="shared" si="32"/>
        <v>0.6</v>
      </c>
      <c r="E72" s="14">
        <f t="shared" si="32"/>
        <v>0.6</v>
      </c>
      <c r="F72" s="14">
        <f t="shared" si="32"/>
        <v>0.6</v>
      </c>
      <c r="G72" s="14">
        <f t="shared" si="32"/>
        <v>0.6</v>
      </c>
      <c r="H72" s="14" t="str">
        <f t="shared" si="32"/>
        <v/>
      </c>
      <c r="I72" s="14" t="str">
        <f t="shared" si="32"/>
        <v/>
      </c>
      <c r="J72" s="14" t="str">
        <f t="shared" si="32"/>
        <v/>
      </c>
      <c r="K72" s="14" t="str">
        <f t="shared" si="32"/>
        <v/>
      </c>
      <c r="L72" s="14" t="str">
        <f t="shared" si="32"/>
        <v/>
      </c>
    </row>
    <row r="73" spans="1:21" x14ac:dyDescent="0.35">
      <c r="A73" t="str">
        <f t="shared" si="31"/>
        <v xml:space="preserve">    Shared, Reserve</v>
      </c>
      <c r="C73" s="14">
        <f t="shared" si="32"/>
        <v>12</v>
      </c>
      <c r="D73" s="14">
        <f t="shared" si="32"/>
        <v>12</v>
      </c>
      <c r="E73" s="14">
        <f t="shared" si="32"/>
        <v>12</v>
      </c>
      <c r="F73" s="14">
        <f t="shared" si="32"/>
        <v>12</v>
      </c>
      <c r="G73" s="14">
        <f t="shared" si="32"/>
        <v>12</v>
      </c>
      <c r="H73" s="60" t="str">
        <f t="shared" si="32"/>
        <v/>
      </c>
      <c r="I73" s="60" t="str">
        <f t="shared" si="32"/>
        <v/>
      </c>
      <c r="J73" s="60" t="str">
        <f t="shared" si="32"/>
        <v/>
      </c>
      <c r="K73" s="60" t="str">
        <f t="shared" si="32"/>
        <v/>
      </c>
      <c r="L73" s="60" t="str">
        <f t="shared" si="32"/>
        <v/>
      </c>
    </row>
    <row r="74" spans="1:21" x14ac:dyDescent="0.35">
      <c r="A74" t="str">
        <f t="shared" si="31"/>
        <v/>
      </c>
      <c r="C74" s="14" t="str">
        <f t="shared" si="32"/>
        <v/>
      </c>
      <c r="D74" s="14" t="str">
        <f t="shared" si="32"/>
        <v/>
      </c>
      <c r="E74" s="14" t="str">
        <f t="shared" si="32"/>
        <v/>
      </c>
      <c r="F74" s="14" t="str">
        <f t="shared" si="32"/>
        <v/>
      </c>
      <c r="G74" s="14" t="str">
        <f t="shared" si="32"/>
        <v/>
      </c>
      <c r="H74" s="14" t="str">
        <f t="shared" si="32"/>
        <v/>
      </c>
      <c r="I74" s="14" t="str">
        <f t="shared" si="32"/>
        <v/>
      </c>
      <c r="J74" s="14" t="str">
        <f t="shared" si="32"/>
        <v/>
      </c>
      <c r="K74" s="14" t="str">
        <f t="shared" si="32"/>
        <v/>
      </c>
      <c r="L74" s="14" t="str">
        <f t="shared" si="32"/>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v>6.9</v>
      </c>
      <c r="D77" s="43">
        <v>6.9</v>
      </c>
      <c r="E77" s="43">
        <v>6.9</v>
      </c>
      <c r="F77" s="43">
        <v>6.9</v>
      </c>
      <c r="G77" s="43">
        <f t="shared" ref="E77:G77" si="33">F77</f>
        <v>6.9</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4">IF(A8="","","    "&amp;A8&amp;" - Release from Mead")</f>
        <v xml:space="preserve">    Mexico - Release from Mead</v>
      </c>
      <c r="C78" s="50">
        <f>C71</f>
        <v>1.2163109388132725</v>
      </c>
      <c r="D78" s="50">
        <f>D71</f>
        <v>1.213529612817412</v>
      </c>
      <c r="E78" s="50">
        <f>E71</f>
        <v>1.2124775691282119</v>
      </c>
      <c r="F78" s="50">
        <f>F71</f>
        <v>1.2120511357191952</v>
      </c>
      <c r="G78" s="50">
        <f>G71</f>
        <v>1.2118204863808344</v>
      </c>
      <c r="H78" s="50"/>
      <c r="I78" s="50"/>
      <c r="J78" s="50"/>
      <c r="K78" s="50"/>
      <c r="L78" s="50"/>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4"/>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4"/>
        <v xml:space="preserve">    Shared, Reserve - Release from Mead</v>
      </c>
      <c r="C80" s="68"/>
      <c r="D80" s="68"/>
      <c r="E80" s="50"/>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4"/>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3.1841016642426663</v>
      </c>
      <c r="D83" s="14">
        <f t="shared" ref="D83:L83" si="37">IF(OR(D$25="",$A83=""),"",D69-D76)</f>
        <v>2.5432464755189956</v>
      </c>
      <c r="E83" s="14">
        <f t="shared" si="37"/>
        <v>2.2370907183780364</v>
      </c>
      <c r="F83" s="14">
        <f t="shared" si="37"/>
        <v>2.5475834362304477</v>
      </c>
      <c r="G83" s="14">
        <f t="shared" si="37"/>
        <v>2.8428493582043544</v>
      </c>
      <c r="H83" s="14" t="str">
        <f t="shared" si="37"/>
        <v/>
      </c>
      <c r="I83" s="14" t="str">
        <f t="shared" si="37"/>
        <v/>
      </c>
      <c r="J83" s="14" t="str">
        <f t="shared" si="37"/>
        <v/>
      </c>
      <c r="K83" s="14" t="str">
        <f t="shared" si="37"/>
        <v/>
      </c>
      <c r="L83" s="14" t="str">
        <f t="shared" si="37"/>
        <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4.2776897169440868</v>
      </c>
      <c r="D84" s="14">
        <f t="shared" si="39"/>
        <v>4.3316217802306003</v>
      </c>
      <c r="E84" s="14">
        <f t="shared" si="39"/>
        <v>4.3770909510752372</v>
      </c>
      <c r="F84" s="14">
        <f t="shared" si="39"/>
        <v>4.0179095014530901</v>
      </c>
      <c r="G84" s="14">
        <f t="shared" si="39"/>
        <v>3.6757872285642037</v>
      </c>
      <c r="H84" s="14" t="str">
        <f t="shared" si="39"/>
        <v/>
      </c>
      <c r="I84" s="14" t="str">
        <f t="shared" si="39"/>
        <v/>
      </c>
      <c r="J84" s="14" t="str">
        <f t="shared" si="39"/>
        <v/>
      </c>
      <c r="K84" s="14" t="str">
        <f t="shared" si="39"/>
        <v/>
      </c>
      <c r="L84" s="14" t="str">
        <f t="shared" si="39"/>
        <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t="str">
        <f t="shared" si="39"/>
        <v/>
      </c>
      <c r="I85" s="14" t="str">
        <f t="shared" si="39"/>
        <v/>
      </c>
      <c r="J85" s="14" t="str">
        <f t="shared" si="39"/>
        <v/>
      </c>
      <c r="K85" s="14" t="str">
        <f t="shared" si="39"/>
        <v/>
      </c>
      <c r="L85" s="14" t="str">
        <f t="shared" si="39"/>
        <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t="str">
        <f t="shared" si="39"/>
        <v/>
      </c>
      <c r="I86" s="14" t="str">
        <f t="shared" si="39"/>
        <v/>
      </c>
      <c r="J86" s="14" t="str">
        <f t="shared" si="39"/>
        <v/>
      </c>
      <c r="K86" s="14" t="str">
        <f t="shared" si="39"/>
        <v/>
      </c>
      <c r="L86" s="14" t="str">
        <f t="shared" si="39"/>
        <v/>
      </c>
    </row>
    <row r="87" spans="1:21" x14ac:dyDescent="0.35">
      <c r="A87" t="str">
        <f t="shared" si="38"/>
        <v xml:space="preserve">    Shared, Reserve</v>
      </c>
      <c r="C87" s="14">
        <f>IF(OR(C$25="",$A87=""),"",C73-C80)</f>
        <v>12</v>
      </c>
      <c r="D87" s="14">
        <f t="shared" si="39"/>
        <v>12</v>
      </c>
      <c r="E87" s="14">
        <f t="shared" si="39"/>
        <v>12</v>
      </c>
      <c r="F87" s="14">
        <f t="shared" si="39"/>
        <v>12</v>
      </c>
      <c r="G87" s="14">
        <f t="shared" si="39"/>
        <v>12</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19.461791381186753</v>
      </c>
      <c r="D89" s="14">
        <f t="shared" ref="D89:L89" si="40">IF(D$25&lt;&gt;"",SUM(D83:D88),"")</f>
        <v>18.874868255749597</v>
      </c>
      <c r="E89" s="14">
        <f t="shared" si="40"/>
        <v>18.614181669453274</v>
      </c>
      <c r="F89" s="14">
        <f t="shared" si="40"/>
        <v>18.565492937683537</v>
      </c>
      <c r="G89" s="14">
        <f t="shared" si="40"/>
        <v>18.518636586768558</v>
      </c>
      <c r="H89" s="14" t="str">
        <f t="shared" si="40"/>
        <v/>
      </c>
      <c r="I89" s="14" t="str">
        <f t="shared" si="40"/>
        <v/>
      </c>
      <c r="J89" s="14" t="str">
        <f t="shared" si="40"/>
        <v/>
      </c>
      <c r="K89" s="14" t="str">
        <f t="shared" si="40"/>
        <v/>
      </c>
      <c r="L89" s="14" t="str">
        <f t="shared" si="40"/>
        <v/>
      </c>
    </row>
    <row r="90" spans="1:21" x14ac:dyDescent="0.35">
      <c r="A90" s="1" t="s">
        <v>147</v>
      </c>
      <c r="B90" s="1"/>
      <c r="C90" s="14">
        <f>IF(C25&lt;&gt;"",C35+C25-C38-C76-C89*$B$35,"")</f>
        <v>8.3269484610653972</v>
      </c>
      <c r="D90" s="14">
        <f t="shared" ref="D90:L90" si="41">IF(D25&lt;&gt;"",D35+D25-D38-D76-D89*$B$35,"")</f>
        <v>7.8341267804640751</v>
      </c>
      <c r="E90" s="14">
        <f t="shared" si="41"/>
        <v>8.0015289911553786</v>
      </c>
      <c r="F90" s="14">
        <f t="shared" si="41"/>
        <v>8.11048465062186</v>
      </c>
      <c r="G90" s="14">
        <f t="shared" si="41"/>
        <v>8.0934254738885976</v>
      </c>
      <c r="H90" s="14" t="str">
        <f t="shared" si="41"/>
        <v/>
      </c>
      <c r="I90" s="14" t="str">
        <f t="shared" si="41"/>
        <v/>
      </c>
      <c r="J90" s="14" t="str">
        <f t="shared" si="41"/>
        <v/>
      </c>
      <c r="K90" s="14" t="str">
        <f t="shared" si="41"/>
        <v/>
      </c>
      <c r="L90" s="14" t="str">
        <f t="shared" si="41"/>
        <v/>
      </c>
    </row>
    <row r="92" spans="1:21" x14ac:dyDescent="0.35">
      <c r="A92" s="1" t="s">
        <v>127</v>
      </c>
      <c r="C92" s="12">
        <f>IF(C$25&lt;&gt;"",0.2,"")</f>
        <v>0.2</v>
      </c>
      <c r="D92" s="12">
        <f t="shared" ref="D92:L92" si="42">IF(D$25&lt;&gt;"",0.2,"")</f>
        <v>0.2</v>
      </c>
      <c r="E92" s="12">
        <f t="shared" si="42"/>
        <v>0.2</v>
      </c>
      <c r="F92" s="12">
        <f t="shared" si="42"/>
        <v>0.2</v>
      </c>
      <c r="G92" s="12">
        <f t="shared" si="42"/>
        <v>0.2</v>
      </c>
      <c r="H92" s="12" t="str">
        <f t="shared" si="42"/>
        <v/>
      </c>
      <c r="I92" s="12" t="str">
        <f t="shared" si="42"/>
        <v/>
      </c>
      <c r="J92" s="12" t="str">
        <f t="shared" si="42"/>
        <v/>
      </c>
      <c r="K92" s="12" t="str">
        <f t="shared" si="42"/>
        <v/>
      </c>
      <c r="L92" s="12" t="str">
        <f t="shared" si="42"/>
        <v/>
      </c>
    </row>
    <row r="93" spans="1:21" x14ac:dyDescent="0.35">
      <c r="A93" t="s">
        <v>128</v>
      </c>
      <c r="C93" s="14">
        <f t="shared" ref="C93:L93" si="43">IF(C$25&lt;&gt;"",C77+C92,"")</f>
        <v>7.1000000000000005</v>
      </c>
      <c r="D93" s="14">
        <f t="shared" si="43"/>
        <v>7.1000000000000005</v>
      </c>
      <c r="E93" s="14">
        <f t="shared" si="43"/>
        <v>7.1000000000000005</v>
      </c>
      <c r="F93" s="14">
        <f t="shared" si="43"/>
        <v>7.1000000000000005</v>
      </c>
      <c r="G93" s="14">
        <f t="shared" si="43"/>
        <v>7.1000000000000005</v>
      </c>
      <c r="H93" s="14" t="str">
        <f t="shared" si="43"/>
        <v/>
      </c>
      <c r="I93" s="14" t="str">
        <f t="shared" si="43"/>
        <v/>
      </c>
      <c r="J93" s="14" t="str">
        <f t="shared" si="43"/>
        <v/>
      </c>
      <c r="K93" s="14" t="str">
        <f t="shared" si="43"/>
        <v/>
      </c>
      <c r="L93" s="14" t="str">
        <f t="shared" si="43"/>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9" priority="57" operator="greaterThan">
      <formula>$C$70</formula>
    </cfRule>
  </conditionalFormatting>
  <conditionalFormatting sqref="C78">
    <cfRule type="cellIs" dxfId="318" priority="56" operator="greaterThan">
      <formula>$C$71</formula>
    </cfRule>
  </conditionalFormatting>
  <conditionalFormatting sqref="C79">
    <cfRule type="cellIs" dxfId="317" priority="55" operator="greaterThan">
      <formula>$C$72</formula>
    </cfRule>
  </conditionalFormatting>
  <conditionalFormatting sqref="C80">
    <cfRule type="cellIs" dxfId="316" priority="54" operator="greaterThan">
      <formula>$C$73</formula>
    </cfRule>
  </conditionalFormatting>
  <conditionalFormatting sqref="C81">
    <cfRule type="cellIs" dxfId="315" priority="53" operator="greaterThan">
      <formula>$C$74</formula>
    </cfRule>
  </conditionalFormatting>
  <conditionalFormatting sqref="D77:G77">
    <cfRule type="cellIs" dxfId="314" priority="52" operator="greaterThan">
      <formula>$D$70</formula>
    </cfRule>
  </conditionalFormatting>
  <conditionalFormatting sqref="D78">
    <cfRule type="cellIs" dxfId="313" priority="51" operator="greaterThan">
      <formula>$D$71</formula>
    </cfRule>
  </conditionalFormatting>
  <conditionalFormatting sqref="D79">
    <cfRule type="cellIs" dxfId="312" priority="50" operator="greaterThan">
      <formula>$D$72</formula>
    </cfRule>
  </conditionalFormatting>
  <conditionalFormatting sqref="D80">
    <cfRule type="cellIs" dxfId="311" priority="49" operator="greaterThan">
      <formula>$D$73</formula>
    </cfRule>
  </conditionalFormatting>
  <conditionalFormatting sqref="D81">
    <cfRule type="cellIs" dxfId="310" priority="48" operator="greaterThan">
      <formula>$D$74</formula>
    </cfRule>
  </conditionalFormatting>
  <conditionalFormatting sqref="E78">
    <cfRule type="cellIs" dxfId="308" priority="46" operator="greaterThan">
      <formula>$E$71</formula>
    </cfRule>
  </conditionalFormatting>
  <conditionalFormatting sqref="E79">
    <cfRule type="cellIs" dxfId="307" priority="45" operator="greaterThan">
      <formula>$E$72</formula>
    </cfRule>
  </conditionalFormatting>
  <conditionalFormatting sqref="E80">
    <cfRule type="cellIs" dxfId="306" priority="44" operator="greaterThan">
      <formula>$E$73</formula>
    </cfRule>
  </conditionalFormatting>
  <conditionalFormatting sqref="E81">
    <cfRule type="cellIs" dxfId="305" priority="43" operator="greaterThan">
      <formula>$E$74</formula>
    </cfRule>
  </conditionalFormatting>
  <conditionalFormatting sqref="F78">
    <cfRule type="cellIs" dxfId="303" priority="41" operator="greaterThan">
      <formula>$F$71</formula>
    </cfRule>
  </conditionalFormatting>
  <conditionalFormatting sqref="F79">
    <cfRule type="cellIs" dxfId="302" priority="40" operator="greaterThan">
      <formula>$F$72</formula>
    </cfRule>
  </conditionalFormatting>
  <conditionalFormatting sqref="F80">
    <cfRule type="cellIs" dxfId="301" priority="39" operator="greaterThan">
      <formula>$F$73</formula>
    </cfRule>
  </conditionalFormatting>
  <conditionalFormatting sqref="F81">
    <cfRule type="cellIs" dxfId="300" priority="38" operator="greaterThan">
      <formula>$F$74</formula>
    </cfRule>
  </conditionalFormatting>
  <conditionalFormatting sqref="G78">
    <cfRule type="cellIs" dxfId="298" priority="36" operator="greaterThan">
      <formula>$G$71</formula>
    </cfRule>
  </conditionalFormatting>
  <conditionalFormatting sqref="G79">
    <cfRule type="cellIs" dxfId="297" priority="35" operator="greaterThan">
      <formula>$G$72</formula>
    </cfRule>
  </conditionalFormatting>
  <conditionalFormatting sqref="G80">
    <cfRule type="cellIs" dxfId="296" priority="34" operator="greaterThan">
      <formula>$G$73</formula>
    </cfRule>
  </conditionalFormatting>
  <conditionalFormatting sqref="G81">
    <cfRule type="cellIs" dxfId="295" priority="33" operator="greaterThan">
      <formula>$G$74</formula>
    </cfRule>
  </conditionalFormatting>
  <conditionalFormatting sqref="H76">
    <cfRule type="cellIs" dxfId="294" priority="32" operator="greaterThan">
      <formula>$H$69</formula>
    </cfRule>
  </conditionalFormatting>
  <conditionalFormatting sqref="H77">
    <cfRule type="cellIs" dxfId="293" priority="31" operator="greaterThan">
      <formula>$H$70</formula>
    </cfRule>
  </conditionalFormatting>
  <conditionalFormatting sqref="H78">
    <cfRule type="cellIs" dxfId="292" priority="30" operator="greaterThan">
      <formula>$H$71</formula>
    </cfRule>
  </conditionalFormatting>
  <conditionalFormatting sqref="H79">
    <cfRule type="cellIs" dxfId="291" priority="29" operator="greaterThan">
      <formula>$H$72</formula>
    </cfRule>
  </conditionalFormatting>
  <conditionalFormatting sqref="H80">
    <cfRule type="cellIs" dxfId="290" priority="28" operator="greaterThan">
      <formula>$H$73</formula>
    </cfRule>
  </conditionalFormatting>
  <conditionalFormatting sqref="H81">
    <cfRule type="cellIs" dxfId="289" priority="27" operator="greaterThan">
      <formula>$H$74</formula>
    </cfRule>
  </conditionalFormatting>
  <conditionalFormatting sqref="I76">
    <cfRule type="cellIs" dxfId="288" priority="26" operator="greaterThan">
      <formula>$I$69</formula>
    </cfRule>
  </conditionalFormatting>
  <conditionalFormatting sqref="I77">
    <cfRule type="cellIs" dxfId="287" priority="25" operator="greaterThan">
      <formula>$I$70</formula>
    </cfRule>
  </conditionalFormatting>
  <conditionalFormatting sqref="I78">
    <cfRule type="cellIs" dxfId="286" priority="24" operator="greaterThan">
      <formula>$I$71</formula>
    </cfRule>
  </conditionalFormatting>
  <conditionalFormatting sqref="I79">
    <cfRule type="cellIs" dxfId="285" priority="23" operator="greaterThan">
      <formula>$I$72</formula>
    </cfRule>
  </conditionalFormatting>
  <conditionalFormatting sqref="I80">
    <cfRule type="cellIs" dxfId="284" priority="22" operator="greaterThan">
      <formula>$I$73</formula>
    </cfRule>
  </conditionalFormatting>
  <conditionalFormatting sqref="I81">
    <cfRule type="cellIs" dxfId="283" priority="21" operator="greaterThan">
      <formula>$I$74</formula>
    </cfRule>
  </conditionalFormatting>
  <conditionalFormatting sqref="J76">
    <cfRule type="cellIs" dxfId="282" priority="20" operator="greaterThan">
      <formula>$J$69</formula>
    </cfRule>
  </conditionalFormatting>
  <conditionalFormatting sqref="J77">
    <cfRule type="cellIs" dxfId="281" priority="19" operator="greaterThan">
      <formula>$J$70</formula>
    </cfRule>
  </conditionalFormatting>
  <conditionalFormatting sqref="J78">
    <cfRule type="cellIs" dxfId="280" priority="18" operator="greaterThan">
      <formula>$J$71</formula>
    </cfRule>
  </conditionalFormatting>
  <conditionalFormatting sqref="J79">
    <cfRule type="cellIs" dxfId="279" priority="17" operator="greaterThan">
      <formula>$J$72</formula>
    </cfRule>
  </conditionalFormatting>
  <conditionalFormatting sqref="J80">
    <cfRule type="cellIs" dxfId="278" priority="16" operator="greaterThan">
      <formula>$J$73</formula>
    </cfRule>
  </conditionalFormatting>
  <conditionalFormatting sqref="J81">
    <cfRule type="cellIs" dxfId="277" priority="15" operator="greaterThan">
      <formula>$J$74</formula>
    </cfRule>
  </conditionalFormatting>
  <conditionalFormatting sqref="K76">
    <cfRule type="cellIs" dxfId="276" priority="14" operator="greaterThan">
      <formula>$K$69</formula>
    </cfRule>
  </conditionalFormatting>
  <conditionalFormatting sqref="K77">
    <cfRule type="cellIs" dxfId="275" priority="13" operator="greaterThan">
      <formula>$K$70</formula>
    </cfRule>
  </conditionalFormatting>
  <conditionalFormatting sqref="K78">
    <cfRule type="cellIs" dxfId="274" priority="12" operator="greaterThan">
      <formula>$K$71</formula>
    </cfRule>
  </conditionalFormatting>
  <conditionalFormatting sqref="K79">
    <cfRule type="cellIs" dxfId="273" priority="11" operator="greaterThan">
      <formula>$K$72</formula>
    </cfRule>
  </conditionalFormatting>
  <conditionalFormatting sqref="K80">
    <cfRule type="cellIs" dxfId="272" priority="10" operator="greaterThan">
      <formula>$K$73</formula>
    </cfRule>
  </conditionalFormatting>
  <conditionalFormatting sqref="K81">
    <cfRule type="cellIs" dxfId="271" priority="9" operator="greaterThan">
      <formula>$K$74</formula>
    </cfRule>
  </conditionalFormatting>
  <conditionalFormatting sqref="L76">
    <cfRule type="cellIs" dxfId="270" priority="8" operator="greaterThan">
      <formula>$L$69</formula>
    </cfRule>
  </conditionalFormatting>
  <conditionalFormatting sqref="L77">
    <cfRule type="cellIs" dxfId="269" priority="7" operator="greaterThan">
      <formula>$L$70</formula>
    </cfRule>
  </conditionalFormatting>
  <conditionalFormatting sqref="L78">
    <cfRule type="cellIs" dxfId="268" priority="6" operator="greaterThan">
      <formula>$L$71</formula>
    </cfRule>
  </conditionalFormatting>
  <conditionalFormatting sqref="L79">
    <cfRule type="cellIs" dxfId="267" priority="5" operator="greaterThan">
      <formula>$L$72</formula>
    </cfRule>
  </conditionalFormatting>
  <conditionalFormatting sqref="L80">
    <cfRule type="cellIs" dxfId="266" priority="4" operator="greaterThan">
      <formula>$L$73</formula>
    </cfRule>
  </conditionalFormatting>
  <conditionalFormatting sqref="L81">
    <cfRule type="cellIs" dxfId="265" priority="3" operator="greaterThan">
      <formula>$L$74</formula>
    </cfRule>
  </conditionalFormatting>
  <conditionalFormatting sqref="D76:F76">
    <cfRule type="cellIs" dxfId="264" priority="2" operator="greaterThan">
      <formula>$D$69</formula>
    </cfRule>
  </conditionalFormatting>
  <conditionalFormatting sqref="G76">
    <cfRule type="cellIs" dxfId="263" priority="1" operator="greaterThan">
      <formula>$G$69</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70" zoomScale="150" zoomScaleNormal="150" workbookViewId="0">
      <selection activeCell="C77" sqref="C77:D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63"/>
      <c r="I3" s="63"/>
      <c r="J3" s="63"/>
      <c r="K3" s="63"/>
    </row>
    <row r="4" spans="1:11" x14ac:dyDescent="0.35">
      <c r="A4" s="64" t="s">
        <v>39</v>
      </c>
      <c r="B4" s="64" t="s">
        <v>43</v>
      </c>
      <c r="C4" s="91" t="s">
        <v>44</v>
      </c>
      <c r="D4" s="92"/>
      <c r="E4" s="92"/>
      <c r="F4" s="92"/>
      <c r="G4" s="93"/>
    </row>
    <row r="5" spans="1:11" x14ac:dyDescent="0.35">
      <c r="A5" s="65" t="s">
        <v>52</v>
      </c>
      <c r="B5" s="65"/>
      <c r="C5" s="94"/>
      <c r="D5" s="94"/>
      <c r="E5" s="94"/>
      <c r="F5" s="94"/>
      <c r="G5" s="94"/>
    </row>
    <row r="6" spans="1:11" x14ac:dyDescent="0.35">
      <c r="A6" s="66" t="s">
        <v>40</v>
      </c>
      <c r="B6" s="66" t="s">
        <v>184</v>
      </c>
      <c r="C6" s="95" t="s">
        <v>183</v>
      </c>
      <c r="D6" s="95"/>
      <c r="E6" s="95"/>
      <c r="F6" s="95"/>
      <c r="G6" s="95"/>
    </row>
    <row r="7" spans="1:11" x14ac:dyDescent="0.35">
      <c r="A7" s="66" t="s">
        <v>41</v>
      </c>
      <c r="B7" s="66" t="s">
        <v>184</v>
      </c>
      <c r="C7" s="89" t="s">
        <v>181</v>
      </c>
      <c r="D7" s="89"/>
      <c r="E7" s="89"/>
      <c r="F7" s="89"/>
      <c r="G7" s="89"/>
    </row>
    <row r="8" spans="1:11" x14ac:dyDescent="0.35">
      <c r="A8" s="66" t="s">
        <v>42</v>
      </c>
      <c r="B8" s="66" t="s">
        <v>184</v>
      </c>
      <c r="C8" s="95" t="s">
        <v>183</v>
      </c>
      <c r="D8" s="95"/>
      <c r="E8" s="95"/>
      <c r="F8" s="95"/>
      <c r="G8" s="95"/>
    </row>
    <row r="9" spans="1:11" x14ac:dyDescent="0.35">
      <c r="A9" s="66" t="s">
        <v>165</v>
      </c>
      <c r="B9" s="66" t="s">
        <v>184</v>
      </c>
      <c r="C9" s="89" t="s">
        <v>182</v>
      </c>
      <c r="D9" s="89"/>
      <c r="E9" s="89"/>
      <c r="F9" s="89"/>
      <c r="G9" s="89"/>
    </row>
    <row r="10" spans="1:11" x14ac:dyDescent="0.35">
      <c r="A10" s="66"/>
      <c r="B10" s="66"/>
      <c r="C10" s="89"/>
      <c r="D10" s="89"/>
      <c r="E10" s="89"/>
      <c r="F10" s="89"/>
      <c r="G10" s="89"/>
    </row>
    <row r="11" spans="1:11" x14ac:dyDescent="0.35">
      <c r="A11" s="66"/>
      <c r="B11" s="66"/>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D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2" priority="60" operator="greaterThan">
      <formula>$C$69</formula>
    </cfRule>
  </conditionalFormatting>
  <conditionalFormatting sqref="C77:D77">
    <cfRule type="cellIs" dxfId="261" priority="59" operator="greaterThan">
      <formula>$C$70</formula>
    </cfRule>
  </conditionalFormatting>
  <conditionalFormatting sqref="C78">
    <cfRule type="cellIs" dxfId="260" priority="58" operator="greaterThan">
      <formula>$C$71</formula>
    </cfRule>
  </conditionalFormatting>
  <conditionalFormatting sqref="C79">
    <cfRule type="cellIs" dxfId="259" priority="57" operator="greaterThan">
      <formula>$C$72</formula>
    </cfRule>
  </conditionalFormatting>
  <conditionalFormatting sqref="C80">
    <cfRule type="cellIs" dxfId="258" priority="56" operator="greaterThan">
      <formula>$C$73</formula>
    </cfRule>
  </conditionalFormatting>
  <conditionalFormatting sqref="C81">
    <cfRule type="cellIs" dxfId="257" priority="55" operator="greaterThan">
      <formula>$C$74</formula>
    </cfRule>
  </conditionalFormatting>
  <conditionalFormatting sqref="D76">
    <cfRule type="cellIs" dxfId="256"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21" zoomScale="150" zoomScaleNormal="150" workbookViewId="0">
      <selection activeCell="N27" sqref="N27:O2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72"/>
      <c r="I3" s="72"/>
      <c r="J3" s="72"/>
      <c r="K3" s="72"/>
    </row>
    <row r="4" spans="1:11" x14ac:dyDescent="0.35">
      <c r="A4" s="64" t="s">
        <v>39</v>
      </c>
      <c r="B4" s="64" t="s">
        <v>43</v>
      </c>
      <c r="C4" s="91" t="s">
        <v>44</v>
      </c>
      <c r="D4" s="92"/>
      <c r="E4" s="92"/>
      <c r="F4" s="92"/>
      <c r="G4" s="93"/>
    </row>
    <row r="5" spans="1:11" x14ac:dyDescent="0.35">
      <c r="A5" s="73" t="s">
        <v>52</v>
      </c>
      <c r="B5" s="73"/>
      <c r="C5" s="94"/>
      <c r="D5" s="94"/>
      <c r="E5" s="94"/>
      <c r="F5" s="94"/>
      <c r="G5" s="94"/>
    </row>
    <row r="6" spans="1:11" x14ac:dyDescent="0.35">
      <c r="A6" s="71" t="s">
        <v>40</v>
      </c>
      <c r="B6" s="71" t="s">
        <v>184</v>
      </c>
      <c r="C6" s="95" t="s">
        <v>183</v>
      </c>
      <c r="D6" s="95"/>
      <c r="E6" s="95"/>
      <c r="F6" s="95"/>
      <c r="G6" s="95"/>
    </row>
    <row r="7" spans="1:11" x14ac:dyDescent="0.35">
      <c r="A7" s="71" t="s">
        <v>41</v>
      </c>
      <c r="B7" s="71" t="s">
        <v>184</v>
      </c>
      <c r="C7" s="89" t="s">
        <v>181</v>
      </c>
      <c r="D7" s="89"/>
      <c r="E7" s="89"/>
      <c r="F7" s="89"/>
      <c r="G7" s="89"/>
    </row>
    <row r="8" spans="1:11" x14ac:dyDescent="0.35">
      <c r="A8" s="71" t="s">
        <v>42</v>
      </c>
      <c r="B8" s="71" t="s">
        <v>184</v>
      </c>
      <c r="C8" s="95" t="s">
        <v>183</v>
      </c>
      <c r="D8" s="95"/>
      <c r="E8" s="95"/>
      <c r="F8" s="95"/>
      <c r="G8" s="95"/>
    </row>
    <row r="9" spans="1:11" x14ac:dyDescent="0.35">
      <c r="A9" s="71" t="s">
        <v>165</v>
      </c>
      <c r="B9" s="71" t="s">
        <v>184</v>
      </c>
      <c r="C9" s="89" t="s">
        <v>182</v>
      </c>
      <c r="D9" s="89"/>
      <c r="E9" s="89"/>
      <c r="F9" s="89"/>
      <c r="G9" s="89"/>
    </row>
    <row r="10" spans="1:11" x14ac:dyDescent="0.35">
      <c r="A10" s="71"/>
      <c r="B10" s="71"/>
      <c r="C10" s="89"/>
      <c r="D10" s="89"/>
      <c r="E10" s="89"/>
      <c r="F10" s="89"/>
      <c r="G10" s="89"/>
    </row>
    <row r="11" spans="1:11" x14ac:dyDescent="0.35">
      <c r="A11" s="71"/>
      <c r="B11" s="71"/>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63"/>
      <c r="I3" s="63"/>
      <c r="J3" s="63"/>
      <c r="K3" s="63"/>
    </row>
    <row r="4" spans="1:11" x14ac:dyDescent="0.35">
      <c r="A4" s="64" t="s">
        <v>39</v>
      </c>
      <c r="B4" s="64" t="s">
        <v>43</v>
      </c>
      <c r="C4" s="91" t="s">
        <v>44</v>
      </c>
      <c r="D4" s="92"/>
      <c r="E4" s="92"/>
      <c r="F4" s="92"/>
      <c r="G4" s="93"/>
    </row>
    <row r="5" spans="1:11" x14ac:dyDescent="0.35">
      <c r="A5" s="65" t="s">
        <v>52</v>
      </c>
      <c r="B5" s="65"/>
      <c r="C5" s="94"/>
      <c r="D5" s="94"/>
      <c r="E5" s="94"/>
      <c r="F5" s="94"/>
      <c r="G5" s="94"/>
    </row>
    <row r="6" spans="1:11" x14ac:dyDescent="0.35">
      <c r="A6" s="66" t="s">
        <v>40</v>
      </c>
      <c r="B6" s="66" t="s">
        <v>184</v>
      </c>
      <c r="C6" s="95" t="s">
        <v>183</v>
      </c>
      <c r="D6" s="95"/>
      <c r="E6" s="95"/>
      <c r="F6" s="95"/>
      <c r="G6" s="95"/>
    </row>
    <row r="7" spans="1:11" x14ac:dyDescent="0.35">
      <c r="A7" s="66" t="s">
        <v>41</v>
      </c>
      <c r="B7" s="66" t="s">
        <v>184</v>
      </c>
      <c r="C7" s="89" t="s">
        <v>181</v>
      </c>
      <c r="D7" s="89"/>
      <c r="E7" s="89"/>
      <c r="F7" s="89"/>
      <c r="G7" s="89"/>
    </row>
    <row r="8" spans="1:11" x14ac:dyDescent="0.35">
      <c r="A8" s="66" t="s">
        <v>42</v>
      </c>
      <c r="B8" s="66" t="s">
        <v>184</v>
      </c>
      <c r="C8" s="95" t="s">
        <v>183</v>
      </c>
      <c r="D8" s="95"/>
      <c r="E8" s="95"/>
      <c r="F8" s="95"/>
      <c r="G8" s="95"/>
    </row>
    <row r="9" spans="1:11" x14ac:dyDescent="0.35">
      <c r="A9" s="66" t="s">
        <v>165</v>
      </c>
      <c r="B9" s="66" t="s">
        <v>184</v>
      </c>
      <c r="C9" s="89" t="s">
        <v>182</v>
      </c>
      <c r="D9" s="89"/>
      <c r="E9" s="89"/>
      <c r="F9" s="89"/>
      <c r="G9" s="89"/>
    </row>
    <row r="10" spans="1:11" x14ac:dyDescent="0.35">
      <c r="A10" s="66"/>
      <c r="B10" s="66"/>
      <c r="C10" s="89"/>
      <c r="D10" s="89"/>
      <c r="E10" s="89"/>
      <c r="F10" s="89"/>
      <c r="G10" s="89"/>
    </row>
    <row r="11" spans="1:11" x14ac:dyDescent="0.35">
      <c r="A11" s="66"/>
      <c r="B11" s="66"/>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6" t="s">
        <v>41</v>
      </c>
      <c r="Q1" s="96"/>
      <c r="R1" s="96"/>
      <c r="S1" s="96"/>
      <c r="T1" s="96"/>
      <c r="U1" s="96"/>
      <c r="V1" s="96"/>
      <c r="W1" s="96"/>
      <c r="X1" s="96"/>
      <c r="Y1" s="96"/>
    </row>
  </sheetData>
  <mergeCells count="1">
    <mergeCell ref="P1:Y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43" zoomScale="150" zoomScaleNormal="150" workbookViewId="0">
      <selection activeCell="B57" sqref="B5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90" t="s">
        <v>169</v>
      </c>
      <c r="B3" s="90"/>
      <c r="C3" s="90"/>
      <c r="D3" s="90"/>
      <c r="E3" s="90"/>
      <c r="F3" s="90"/>
      <c r="G3" s="90"/>
      <c r="H3" s="63"/>
      <c r="I3" s="63"/>
      <c r="J3" s="63"/>
      <c r="K3" s="63"/>
    </row>
    <row r="4" spans="1:11" x14ac:dyDescent="0.35">
      <c r="A4" s="64" t="s">
        <v>39</v>
      </c>
      <c r="B4" s="64" t="s">
        <v>43</v>
      </c>
      <c r="C4" s="91" t="s">
        <v>44</v>
      </c>
      <c r="D4" s="92"/>
      <c r="E4" s="92"/>
      <c r="F4" s="92"/>
      <c r="G4" s="93"/>
    </row>
    <row r="5" spans="1:11" x14ac:dyDescent="0.35">
      <c r="A5" s="65" t="s">
        <v>52</v>
      </c>
      <c r="B5" s="65"/>
      <c r="C5" s="94"/>
      <c r="D5" s="94"/>
      <c r="E5" s="94"/>
      <c r="F5" s="94"/>
      <c r="G5" s="94"/>
    </row>
    <row r="6" spans="1:11" x14ac:dyDescent="0.35">
      <c r="A6" s="66" t="s">
        <v>40</v>
      </c>
      <c r="B6" s="66" t="s">
        <v>184</v>
      </c>
      <c r="C6" s="95" t="s">
        <v>183</v>
      </c>
      <c r="D6" s="95"/>
      <c r="E6" s="95"/>
      <c r="F6" s="95"/>
      <c r="G6" s="95"/>
    </row>
    <row r="7" spans="1:11" x14ac:dyDescent="0.35">
      <c r="A7" s="66" t="s">
        <v>41</v>
      </c>
      <c r="B7" s="66" t="s">
        <v>184</v>
      </c>
      <c r="C7" s="89" t="s">
        <v>181</v>
      </c>
      <c r="D7" s="89"/>
      <c r="E7" s="89"/>
      <c r="F7" s="89"/>
      <c r="G7" s="89"/>
    </row>
    <row r="8" spans="1:11" x14ac:dyDescent="0.35">
      <c r="A8" s="66" t="s">
        <v>42</v>
      </c>
      <c r="B8" s="66" t="s">
        <v>184</v>
      </c>
      <c r="C8" s="95" t="s">
        <v>183</v>
      </c>
      <c r="D8" s="95"/>
      <c r="E8" s="95"/>
      <c r="F8" s="95"/>
      <c r="G8" s="95"/>
    </row>
    <row r="9" spans="1:11" x14ac:dyDescent="0.35">
      <c r="A9" s="66" t="s">
        <v>165</v>
      </c>
      <c r="B9" s="66" t="s">
        <v>184</v>
      </c>
      <c r="C9" s="89" t="s">
        <v>182</v>
      </c>
      <c r="D9" s="89"/>
      <c r="E9" s="89"/>
      <c r="F9" s="89"/>
      <c r="G9" s="89"/>
    </row>
    <row r="10" spans="1:11" x14ac:dyDescent="0.35">
      <c r="A10" s="66" t="s">
        <v>166</v>
      </c>
      <c r="B10" s="66" t="s">
        <v>184</v>
      </c>
      <c r="C10" s="89" t="s">
        <v>180</v>
      </c>
      <c r="D10" s="89"/>
      <c r="E10" s="89"/>
      <c r="F10" s="89"/>
      <c r="G10" s="89"/>
    </row>
    <row r="11" spans="1:11" x14ac:dyDescent="0.35">
      <c r="A11" s="66"/>
      <c r="B11" s="66"/>
      <c r="C11" s="89"/>
      <c r="D11" s="89"/>
      <c r="E11" s="89"/>
      <c r="F11" s="89"/>
      <c r="G11" s="89"/>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7"/>
      <c r="D5" s="97"/>
      <c r="E5" s="97"/>
      <c r="F5" s="97"/>
      <c r="G5" s="97"/>
      <c r="H5" s="97"/>
    </row>
    <row r="6" spans="1:11" x14ac:dyDescent="0.35">
      <c r="A6" s="16" t="s">
        <v>40</v>
      </c>
      <c r="B6" s="47"/>
      <c r="C6" s="97"/>
      <c r="D6" s="97"/>
      <c r="E6" s="97"/>
      <c r="F6" s="97"/>
      <c r="G6" s="97"/>
      <c r="H6" s="97"/>
    </row>
    <row r="7" spans="1:11" x14ac:dyDescent="0.35">
      <c r="A7" s="16" t="s">
        <v>41</v>
      </c>
      <c r="B7" s="47"/>
      <c r="C7" s="97"/>
      <c r="D7" s="97"/>
      <c r="E7" s="97"/>
      <c r="F7" s="97"/>
      <c r="G7" s="97"/>
      <c r="H7" s="97"/>
    </row>
    <row r="8" spans="1:11" x14ac:dyDescent="0.35">
      <c r="A8" s="16" t="s">
        <v>42</v>
      </c>
      <c r="B8" s="47"/>
      <c r="C8" s="97"/>
      <c r="D8" s="97"/>
      <c r="E8" s="97"/>
      <c r="F8" s="97"/>
      <c r="G8" s="97"/>
      <c r="H8" s="97"/>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ReadMe-Directions</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2021-06-23T03:46:24Z</dcterms:modified>
</cp:coreProperties>
</file>