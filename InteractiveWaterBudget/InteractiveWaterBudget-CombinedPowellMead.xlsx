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431F2DB7-74B9-4E30-BDD1-0D155925CCFD}" xr6:coauthVersionLast="36" xr6:coauthVersionMax="36" xr10:uidLastSave="{00000000-0000-0000-0000-000000000000}"/>
  <bookViews>
    <workbookView xWindow="0" yWindow="0" windowWidth="19200" windowHeight="6640" firstSheet="2" activeTab="4" xr2:uid="{5373AB19-D84C-490D-97DC-C516D358024A}"/>
  </bookViews>
  <sheets>
    <sheet name="ReadMe-Directions" sheetId="6" r:id="rId1"/>
    <sheet name="Master" sheetId="5" r:id="rId2"/>
    <sheet name="11.0-Trade" sheetId="12" r:id="rId3"/>
    <sheet name="11.0-LawOfRiver" sheetId="13" r:id="rId4"/>
    <sheet name="11.0-PlotUse" sheetId="14" r:id="rId5"/>
    <sheet name="11.0-PlotStorage" sheetId="15" r:id="rId6"/>
    <sheet name="11.0-PlotUseLB" sheetId="17" r:id="rId7"/>
    <sheet name="11.0-PlotStorageLB" sheetId="18" r:id="rId8"/>
    <sheet name="Millenium-LawOfRiver" sheetId="11" r:id="rId9"/>
    <sheet name="HydrologicScenarios" sheetId="7" r:id="rId10"/>
    <sheet name="Powell-Elevation-Area" sheetId="2" r:id="rId11"/>
    <sheet name="Mead-Elevation-Area" sheetId="10" r:id="rId12"/>
    <sheet name="11.0-LawOfRiverShort" sheetId="16" r:id="rId13"/>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52" i="12" l="1"/>
  <c r="I52" i="12"/>
  <c r="D35" i="12"/>
  <c r="D52" i="12" s="1"/>
  <c r="C52" i="12"/>
  <c r="C35" i="12"/>
  <c r="D52" i="13"/>
  <c r="E52" i="13"/>
  <c r="C52" i="13"/>
  <c r="D35" i="13"/>
  <c r="C35" i="13"/>
  <c r="C36" i="11"/>
  <c r="C35" i="11"/>
  <c r="C52" i="11" s="1"/>
  <c r="C50" i="11"/>
  <c r="C46" i="16" l="1"/>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38" i="16" l="1"/>
  <c r="D37" i="16" s="1"/>
  <c r="C37" i="16"/>
  <c r="C32" i="16"/>
  <c r="C33" i="16"/>
  <c r="C55" i="16" s="1"/>
  <c r="D26" i="16" s="1"/>
  <c r="C34" i="16"/>
  <c r="C47" i="16" s="1"/>
  <c r="C56" i="16" s="1"/>
  <c r="D51" i="16"/>
  <c r="E22" i="16"/>
  <c r="D50" i="16" l="1"/>
  <c r="D60" i="16" s="1"/>
  <c r="E59" i="16"/>
  <c r="E23" i="16"/>
  <c r="E35" i="16"/>
  <c r="E36" i="16" s="1"/>
  <c r="F22" i="16"/>
  <c r="E51" i="16"/>
  <c r="E41" i="12"/>
  <c r="F41" i="12"/>
  <c r="G41" i="12"/>
  <c r="D22" i="12"/>
  <c r="D36" i="12" s="1"/>
  <c r="D22" i="13"/>
  <c r="D36" i="13" s="1"/>
  <c r="C59" i="13"/>
  <c r="P58" i="13"/>
  <c r="P57" i="13"/>
  <c r="P56" i="13"/>
  <c r="P55" i="13"/>
  <c r="P54" i="13"/>
  <c r="P53" i="13"/>
  <c r="P52" i="13"/>
  <c r="P51" i="13"/>
  <c r="C51" i="13"/>
  <c r="M43" i="13"/>
  <c r="M41" i="13"/>
  <c r="C36" i="13"/>
  <c r="B30" i="13"/>
  <c r="C27" i="13"/>
  <c r="C26" i="13"/>
  <c r="C30" i="13" s="1"/>
  <c r="C25" i="13"/>
  <c r="C23" i="13"/>
  <c r="C59" i="12"/>
  <c r="P58" i="12"/>
  <c r="P57" i="12"/>
  <c r="P56" i="12"/>
  <c r="P55" i="12"/>
  <c r="P54" i="12"/>
  <c r="P53" i="12"/>
  <c r="P52" i="12"/>
  <c r="P51" i="12"/>
  <c r="C51" i="12"/>
  <c r="M43" i="12"/>
  <c r="D41" i="12"/>
  <c r="C41" i="12"/>
  <c r="C36" i="12"/>
  <c r="B30" i="12"/>
  <c r="C27" i="12"/>
  <c r="C26" i="12"/>
  <c r="C30" i="12" s="1"/>
  <c r="C25" i="12"/>
  <c r="C23" i="12"/>
  <c r="C49" i="16" l="1"/>
  <c r="C54" i="16" s="1"/>
  <c r="E38" i="16"/>
  <c r="E37" i="16" s="1"/>
  <c r="F35" i="16"/>
  <c r="G22" i="16"/>
  <c r="F51" i="16"/>
  <c r="F23" i="16"/>
  <c r="F36" i="16"/>
  <c r="F38" i="16" s="1"/>
  <c r="F59" i="16"/>
  <c r="C50" i="12"/>
  <c r="D50" i="12" s="1"/>
  <c r="E50" i="12" s="1"/>
  <c r="F50" i="12" s="1"/>
  <c r="G50" i="12" s="1"/>
  <c r="H50" i="12" s="1"/>
  <c r="I50" i="12" s="1"/>
  <c r="J50" i="12" s="1"/>
  <c r="K50" i="12" s="1"/>
  <c r="L50" i="12" s="1"/>
  <c r="E22" i="12"/>
  <c r="F22" i="12" s="1"/>
  <c r="C50" i="13"/>
  <c r="C60" i="13" s="1"/>
  <c r="M41" i="12"/>
  <c r="D51" i="12"/>
  <c r="D23" i="12"/>
  <c r="D59" i="12"/>
  <c r="C24" i="12"/>
  <c r="D23" i="13"/>
  <c r="E22" i="13"/>
  <c r="D51" i="13"/>
  <c r="D59" i="13"/>
  <c r="C38" i="13"/>
  <c r="C37" i="13" s="1"/>
  <c r="D38" i="13"/>
  <c r="D37" i="13" s="1"/>
  <c r="C24" i="13"/>
  <c r="C29" i="13"/>
  <c r="C31" i="13" s="1"/>
  <c r="C38" i="12"/>
  <c r="C37" i="12" s="1"/>
  <c r="D38" i="12"/>
  <c r="D37" i="12" s="1"/>
  <c r="C29" i="12"/>
  <c r="C31" i="12" s="1"/>
  <c r="C54" i="5"/>
  <c r="D25" i="16" l="1"/>
  <c r="C57" i="16"/>
  <c r="D24" i="16" s="1"/>
  <c r="D29" i="16" s="1"/>
  <c r="F37" i="16"/>
  <c r="G51" i="16"/>
  <c r="H22" i="16"/>
  <c r="G35" i="16"/>
  <c r="G23" i="16"/>
  <c r="G36" i="16"/>
  <c r="G59" i="16"/>
  <c r="E23" i="12"/>
  <c r="G22" i="12"/>
  <c r="F23" i="12"/>
  <c r="F59" i="12"/>
  <c r="F60" i="12" s="1"/>
  <c r="E51" i="12"/>
  <c r="D60" i="12"/>
  <c r="E59" i="12"/>
  <c r="E60" i="12" s="1"/>
  <c r="F51" i="12"/>
  <c r="C60" i="12"/>
  <c r="F22" i="13"/>
  <c r="E59" i="13"/>
  <c r="E51" i="13"/>
  <c r="E23" i="13"/>
  <c r="C34" i="13"/>
  <c r="C47" i="13" s="1"/>
  <c r="C56" i="13" s="1"/>
  <c r="C33" i="13"/>
  <c r="C46" i="13" s="1"/>
  <c r="C55" i="13" s="1"/>
  <c r="D26" i="13" s="1"/>
  <c r="D50" i="13" s="1"/>
  <c r="D60" i="13" s="1"/>
  <c r="C32" i="13"/>
  <c r="C45" i="13" s="1"/>
  <c r="C49" i="13" s="1"/>
  <c r="C34" i="12"/>
  <c r="C47" i="12" s="1"/>
  <c r="C56" i="12" s="1"/>
  <c r="C33" i="12"/>
  <c r="C46" i="12" s="1"/>
  <c r="C55" i="12" s="1"/>
  <c r="D26" i="12" s="1"/>
  <c r="C32" i="12"/>
  <c r="C45" i="12" s="1"/>
  <c r="C54" i="12" s="1"/>
  <c r="C33" i="11"/>
  <c r="C32" i="11"/>
  <c r="C31" i="11"/>
  <c r="H50" i="5"/>
  <c r="I50" i="5" s="1"/>
  <c r="J50" i="5" s="1"/>
  <c r="K50" i="5" s="1"/>
  <c r="L50" i="5" s="1"/>
  <c r="D30" i="16" l="1"/>
  <c r="D31" i="16" s="1"/>
  <c r="D27" i="16"/>
  <c r="G38" i="16"/>
  <c r="G37" i="16" s="1"/>
  <c r="I22" i="16"/>
  <c r="H59" i="16"/>
  <c r="H23" i="16"/>
  <c r="H35" i="16"/>
  <c r="H36" i="16" s="1"/>
  <c r="H51" i="16"/>
  <c r="G59" i="12"/>
  <c r="G60" i="12" s="1"/>
  <c r="G23" i="12"/>
  <c r="G51" i="12"/>
  <c r="H22" i="12"/>
  <c r="F23" i="13"/>
  <c r="F51" i="13"/>
  <c r="G22" i="13"/>
  <c r="F59" i="13"/>
  <c r="C54" i="13"/>
  <c r="C57" i="12"/>
  <c r="D24" i="12" s="1"/>
  <c r="D25" i="12"/>
  <c r="H22" i="5"/>
  <c r="I22" i="5" s="1"/>
  <c r="J22" i="5" s="1"/>
  <c r="K22" i="5" s="1"/>
  <c r="L22" i="5" s="1"/>
  <c r="L51" i="5" s="1"/>
  <c r="D35" i="5"/>
  <c r="C35" i="5"/>
  <c r="C36" i="5" s="1"/>
  <c r="L59" i="11"/>
  <c r="K59" i="11"/>
  <c r="J59" i="11"/>
  <c r="I59" i="11"/>
  <c r="H59" i="11"/>
  <c r="G59" i="11"/>
  <c r="F59" i="11"/>
  <c r="E59" i="11"/>
  <c r="D59" i="11"/>
  <c r="C59" i="11"/>
  <c r="P58" i="11"/>
  <c r="P57" i="11"/>
  <c r="P56" i="11"/>
  <c r="P55" i="11"/>
  <c r="P54" i="11"/>
  <c r="P53" i="11"/>
  <c r="P52" i="11"/>
  <c r="P51" i="11"/>
  <c r="L51" i="11"/>
  <c r="K51" i="11"/>
  <c r="J51" i="11"/>
  <c r="I51" i="11"/>
  <c r="H51" i="11"/>
  <c r="G51" i="11"/>
  <c r="F51" i="11"/>
  <c r="E51" i="11"/>
  <c r="D51" i="11"/>
  <c r="C51" i="11"/>
  <c r="D49" i="11"/>
  <c r="E49" i="11" s="1"/>
  <c r="F49" i="11" s="1"/>
  <c r="G49" i="11" s="1"/>
  <c r="H49" i="11" s="1"/>
  <c r="I49" i="11" s="1"/>
  <c r="J49" i="11" s="1"/>
  <c r="K49" i="11" s="1"/>
  <c r="M43" i="11"/>
  <c r="M41" i="11"/>
  <c r="C38" i="11"/>
  <c r="C46" i="11" s="1"/>
  <c r="B30" i="11"/>
  <c r="C29" i="11"/>
  <c r="C27" i="11"/>
  <c r="C26" i="11"/>
  <c r="C60" i="11" s="1"/>
  <c r="C25" i="11"/>
  <c r="L23" i="11"/>
  <c r="K23" i="11"/>
  <c r="J23" i="11"/>
  <c r="I23" i="11"/>
  <c r="H23" i="11"/>
  <c r="G23" i="11"/>
  <c r="F23" i="11"/>
  <c r="E23" i="11"/>
  <c r="D23" i="11"/>
  <c r="C23" i="11"/>
  <c r="P58" i="5"/>
  <c r="P57" i="5"/>
  <c r="P56" i="5"/>
  <c r="P55" i="5"/>
  <c r="P54" i="5"/>
  <c r="P53" i="5"/>
  <c r="P52" i="5"/>
  <c r="P51" i="5"/>
  <c r="D23" i="5"/>
  <c r="D59" i="5"/>
  <c r="C59" i="5"/>
  <c r="C23"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0" i="5"/>
  <c r="C27" i="5"/>
  <c r="C26" i="5"/>
  <c r="C25" i="5"/>
  <c r="C29" i="5" s="1"/>
  <c r="D32" i="16" l="1"/>
  <c r="D45" i="16" s="1"/>
  <c r="D49" i="16" s="1"/>
  <c r="D54" i="16" s="1"/>
  <c r="D34" i="16"/>
  <c r="D47" i="16" s="1"/>
  <c r="D56" i="16" s="1"/>
  <c r="D33" i="16"/>
  <c r="D46" i="16" s="1"/>
  <c r="D55" i="16" s="1"/>
  <c r="E26" i="16" s="1"/>
  <c r="E50" i="16" s="1"/>
  <c r="E60" i="16" s="1"/>
  <c r="H38" i="16"/>
  <c r="H37" i="16" s="1"/>
  <c r="I23" i="16"/>
  <c r="I59" i="16"/>
  <c r="I51" i="16"/>
  <c r="I35" i="16"/>
  <c r="I36" i="16" s="1"/>
  <c r="J22" i="16"/>
  <c r="H51" i="12"/>
  <c r="I22" i="12"/>
  <c r="H59" i="12"/>
  <c r="H60" i="12" s="1"/>
  <c r="H23" i="12"/>
  <c r="H22" i="13"/>
  <c r="G23" i="13"/>
  <c r="G59" i="13"/>
  <c r="G51" i="13"/>
  <c r="C57" i="13"/>
  <c r="D24" i="13" s="1"/>
  <c r="D29" i="13" s="1"/>
  <c r="D25" i="13"/>
  <c r="D29" i="12"/>
  <c r="D27" i="12"/>
  <c r="D30" i="12"/>
  <c r="C31" i="5"/>
  <c r="K23" i="5"/>
  <c r="L59" i="5"/>
  <c r="I51" i="5"/>
  <c r="F23" i="5"/>
  <c r="L35" i="5"/>
  <c r="K59" i="5"/>
  <c r="E23" i="5"/>
  <c r="H51" i="5"/>
  <c r="K35" i="5"/>
  <c r="J59" i="5"/>
  <c r="L23" i="5"/>
  <c r="I35" i="5"/>
  <c r="I59" i="5"/>
  <c r="G35" i="5"/>
  <c r="H59" i="5"/>
  <c r="J23" i="5"/>
  <c r="F35" i="5"/>
  <c r="G59" i="5"/>
  <c r="I23" i="5"/>
  <c r="E35" i="5"/>
  <c r="F59" i="5"/>
  <c r="H23" i="5"/>
  <c r="K51" i="5"/>
  <c r="E59" i="5"/>
  <c r="G23" i="5"/>
  <c r="J51" i="5"/>
  <c r="J35" i="5"/>
  <c r="H35" i="5"/>
  <c r="C30" i="5"/>
  <c r="C24" i="11"/>
  <c r="C37" i="11"/>
  <c r="C30" i="11"/>
  <c r="C38" i="5"/>
  <c r="C37" i="5" s="1"/>
  <c r="C60" i="5"/>
  <c r="C24" i="5"/>
  <c r="I38" i="16" l="1"/>
  <c r="I37" i="16" s="1"/>
  <c r="D57" i="16"/>
  <c r="E24" i="16" s="1"/>
  <c r="E25" i="16"/>
  <c r="J36" i="16"/>
  <c r="J38" i="16" s="1"/>
  <c r="J23" i="16"/>
  <c r="J35" i="16"/>
  <c r="J59" i="16"/>
  <c r="K22" i="16"/>
  <c r="J51" i="16"/>
  <c r="J22" i="12"/>
  <c r="I51" i="12"/>
  <c r="I23" i="12"/>
  <c r="I59" i="12"/>
  <c r="I60" i="12" s="1"/>
  <c r="D31" i="12"/>
  <c r="D32" i="12" s="1"/>
  <c r="D45" i="12" s="1"/>
  <c r="D54" i="12" s="1"/>
  <c r="E25" i="12" s="1"/>
  <c r="I22" i="13"/>
  <c r="H23" i="13"/>
  <c r="H51" i="13"/>
  <c r="H59" i="13"/>
  <c r="D31" i="13"/>
  <c r="D33" i="13" s="1"/>
  <c r="D46" i="13" s="1"/>
  <c r="D55" i="13" s="1"/>
  <c r="E26" i="13" s="1"/>
  <c r="D30" i="13"/>
  <c r="D27" i="13"/>
  <c r="C32" i="5"/>
  <c r="C33" i="5"/>
  <c r="C34" i="5"/>
  <c r="C47" i="5" s="1"/>
  <c r="C56" i="5" s="1"/>
  <c r="C46" i="5"/>
  <c r="C34" i="11"/>
  <c r="C47" i="11" s="1"/>
  <c r="C56" i="11" s="1"/>
  <c r="C55" i="11"/>
  <c r="D26" i="11" s="1"/>
  <c r="D35" i="11" s="1"/>
  <c r="C45" i="11"/>
  <c r="C54" i="11" s="1"/>
  <c r="E50" i="13" l="1"/>
  <c r="E60" i="13" s="1"/>
  <c r="E35" i="13"/>
  <c r="E36" i="13" s="1"/>
  <c r="E38" i="13" s="1"/>
  <c r="E37" i="13" s="1"/>
  <c r="D50" i="11"/>
  <c r="D60" i="11" s="1"/>
  <c r="J37" i="16"/>
  <c r="K36" i="16"/>
  <c r="K59" i="16"/>
  <c r="K23" i="16"/>
  <c r="K35" i="16"/>
  <c r="L22" i="16"/>
  <c r="K51" i="16"/>
  <c r="E27" i="16"/>
  <c r="E29" i="16"/>
  <c r="E31" i="16" s="1"/>
  <c r="E30" i="16"/>
  <c r="J23" i="12"/>
  <c r="J51" i="12"/>
  <c r="K22" i="12"/>
  <c r="J59" i="12"/>
  <c r="J60" i="12" s="1"/>
  <c r="D33" i="12"/>
  <c r="D46" i="12" s="1"/>
  <c r="D55" i="12" s="1"/>
  <c r="E26" i="12" s="1"/>
  <c r="D34" i="12"/>
  <c r="D47" i="12" s="1"/>
  <c r="D56" i="12" s="1"/>
  <c r="I23" i="13"/>
  <c r="I59" i="13"/>
  <c r="J22" i="13"/>
  <c r="I51" i="13"/>
  <c r="D32" i="13"/>
  <c r="D45" i="13" s="1"/>
  <c r="D49" i="13" s="1"/>
  <c r="D34" i="13"/>
  <c r="D47" i="13" s="1"/>
  <c r="D56" i="13" s="1"/>
  <c r="C57" i="11"/>
  <c r="D24" i="11" s="1"/>
  <c r="D25" i="11"/>
  <c r="E35" i="12" l="1"/>
  <c r="E52" i="12" s="1"/>
  <c r="D52" i="11"/>
  <c r="D36" i="11"/>
  <c r="D38" i="11" s="1"/>
  <c r="D37" i="11" s="1"/>
  <c r="L36" i="16"/>
  <c r="L59" i="16"/>
  <c r="L23" i="16"/>
  <c r="L35" i="16"/>
  <c r="L38" i="16"/>
  <c r="L51" i="16"/>
  <c r="L37" i="16"/>
  <c r="K38" i="16"/>
  <c r="K37" i="16" s="1"/>
  <c r="E33" i="16"/>
  <c r="E46" i="16" s="1"/>
  <c r="E55" i="16" s="1"/>
  <c r="F26" i="16" s="1"/>
  <c r="E32" i="16"/>
  <c r="E45" i="16" s="1"/>
  <c r="E34" i="16"/>
  <c r="E47" i="16" s="1"/>
  <c r="E56" i="16" s="1"/>
  <c r="K23" i="12"/>
  <c r="K51" i="12"/>
  <c r="K59" i="12"/>
  <c r="K60" i="12" s="1"/>
  <c r="L22" i="12"/>
  <c r="D57" i="12"/>
  <c r="E24" i="12" s="1"/>
  <c r="E27" i="12" s="1"/>
  <c r="K22" i="13"/>
  <c r="J51" i="13"/>
  <c r="J59" i="13"/>
  <c r="J23" i="13"/>
  <c r="D54" i="13"/>
  <c r="D30" i="11"/>
  <c r="D29" i="11"/>
  <c r="D31" i="11" s="1"/>
  <c r="D27" i="11"/>
  <c r="E36" i="12" l="1"/>
  <c r="E38" i="12" s="1"/>
  <c r="E37" i="12" s="1"/>
  <c r="E49" i="16"/>
  <c r="E54" i="16" s="1"/>
  <c r="F50" i="16"/>
  <c r="F60" i="16" s="1"/>
  <c r="L23" i="12"/>
  <c r="L59" i="12"/>
  <c r="L60" i="12" s="1"/>
  <c r="L51" i="12"/>
  <c r="E29" i="12"/>
  <c r="E30" i="12"/>
  <c r="D32" i="11"/>
  <c r="D45" i="11" s="1"/>
  <c r="D54" i="11" s="1"/>
  <c r="D33" i="11"/>
  <c r="D46" i="11" s="1"/>
  <c r="D55" i="11" s="1"/>
  <c r="E26" i="11" s="1"/>
  <c r="E35" i="11" s="1"/>
  <c r="L22" i="13"/>
  <c r="K51" i="13"/>
  <c r="K59" i="13"/>
  <c r="K23" i="13"/>
  <c r="D57" i="13"/>
  <c r="E24" i="13" s="1"/>
  <c r="E25" i="13"/>
  <c r="D34" i="11"/>
  <c r="D47" i="11" s="1"/>
  <c r="D56" i="11" s="1"/>
  <c r="E50" i="11" l="1"/>
  <c r="E60" i="11" s="1"/>
  <c r="E57" i="16"/>
  <c r="F24" i="16" s="1"/>
  <c r="F25" i="16"/>
  <c r="E31" i="12"/>
  <c r="E33" i="12" s="1"/>
  <c r="E46" i="12" s="1"/>
  <c r="E55" i="12" s="1"/>
  <c r="F26" i="12" s="1"/>
  <c r="F35" i="12" s="1"/>
  <c r="L23" i="13"/>
  <c r="L59" i="13"/>
  <c r="L51" i="13"/>
  <c r="E27" i="13"/>
  <c r="E29" i="13"/>
  <c r="E31" i="13" s="1"/>
  <c r="E30" i="13"/>
  <c r="D57" i="11"/>
  <c r="E24" i="11" s="1"/>
  <c r="E25" i="11"/>
  <c r="F36" i="12" l="1"/>
  <c r="F38" i="12" s="1"/>
  <c r="F37" i="12" s="1"/>
  <c r="F52" i="12"/>
  <c r="E36" i="11"/>
  <c r="E38" i="11" s="1"/>
  <c r="E37" i="11" s="1"/>
  <c r="E52" i="11"/>
  <c r="F27" i="16"/>
  <c r="F29" i="16"/>
  <c r="F31" i="16" s="1"/>
  <c r="F30" i="16"/>
  <c r="E34" i="12"/>
  <c r="E47" i="12" s="1"/>
  <c r="E56" i="12" s="1"/>
  <c r="E32" i="12"/>
  <c r="E45" i="12" s="1"/>
  <c r="E54" i="12" s="1"/>
  <c r="F25" i="12" s="1"/>
  <c r="E34" i="13"/>
  <c r="E47" i="13" s="1"/>
  <c r="E56" i="13" s="1"/>
  <c r="E32" i="13"/>
  <c r="E45" i="13" s="1"/>
  <c r="E49" i="13" s="1"/>
  <c r="E33" i="13"/>
  <c r="E46" i="13" s="1"/>
  <c r="E55" i="13" s="1"/>
  <c r="F26" i="13" s="1"/>
  <c r="F35" i="13" s="1"/>
  <c r="E29" i="11"/>
  <c r="E31" i="11" s="1"/>
  <c r="E27" i="11"/>
  <c r="E30" i="11"/>
  <c r="F36" i="13" l="1"/>
  <c r="F38" i="13" s="1"/>
  <c r="F37" i="13" s="1"/>
  <c r="F52" i="13"/>
  <c r="F32" i="16"/>
  <c r="F45" i="16" s="1"/>
  <c r="F34" i="16"/>
  <c r="F47" i="16" s="1"/>
  <c r="F56" i="16" s="1"/>
  <c r="F33" i="16"/>
  <c r="F46" i="16" s="1"/>
  <c r="F55" i="16" s="1"/>
  <c r="G26" i="16" s="1"/>
  <c r="E57" i="12"/>
  <c r="F24" i="12" s="1"/>
  <c r="F27" i="12" s="1"/>
  <c r="F50" i="13"/>
  <c r="F60" i="13" s="1"/>
  <c r="E54" i="13"/>
  <c r="E32" i="11"/>
  <c r="E45" i="11" s="1"/>
  <c r="E54" i="11" s="1"/>
  <c r="E33" i="11"/>
  <c r="E46" i="11" s="1"/>
  <c r="E55" i="11" s="1"/>
  <c r="F26" i="11" s="1"/>
  <c r="F35" i="11" s="1"/>
  <c r="E34" i="11"/>
  <c r="E47" i="11" s="1"/>
  <c r="E56" i="11" s="1"/>
  <c r="F50" i="11" l="1"/>
  <c r="F60" i="11" s="1"/>
  <c r="G50" i="16"/>
  <c r="F49" i="16"/>
  <c r="F54" i="16" s="1"/>
  <c r="F30" i="12"/>
  <c r="F29" i="12"/>
  <c r="F31" i="12" s="1"/>
  <c r="F33" i="12" s="1"/>
  <c r="F46" i="12" s="1"/>
  <c r="F55" i="12" s="1"/>
  <c r="G26" i="12" s="1"/>
  <c r="G35" i="12" s="1"/>
  <c r="E57" i="13"/>
  <c r="F24" i="13" s="1"/>
  <c r="F25" i="13"/>
  <c r="F25" i="11"/>
  <c r="E57" i="11"/>
  <c r="F24" i="11" s="1"/>
  <c r="G36" i="12" l="1"/>
  <c r="G38" i="12" s="1"/>
  <c r="G37" i="12" s="1"/>
  <c r="G52" i="12"/>
  <c r="F36" i="11"/>
  <c r="F38" i="11" s="1"/>
  <c r="F37" i="11" s="1"/>
  <c r="F52" i="11"/>
  <c r="F57" i="16"/>
  <c r="G24" i="16" s="1"/>
  <c r="G25" i="16"/>
  <c r="H50" i="16"/>
  <c r="G60" i="16"/>
  <c r="F34" i="12"/>
  <c r="F47" i="12" s="1"/>
  <c r="F56" i="12" s="1"/>
  <c r="F32" i="12"/>
  <c r="F45" i="12" s="1"/>
  <c r="F54" i="12" s="1"/>
  <c r="G25" i="12" s="1"/>
  <c r="F27" i="13"/>
  <c r="F29" i="13"/>
  <c r="F31" i="13" s="1"/>
  <c r="F30" i="13"/>
  <c r="F29" i="11"/>
  <c r="F27" i="11"/>
  <c r="F30" i="11"/>
  <c r="F31" i="11" l="1"/>
  <c r="F32" i="11" s="1"/>
  <c r="F45" i="11" s="1"/>
  <c r="F54" i="11" s="1"/>
  <c r="I50" i="16"/>
  <c r="H60" i="16"/>
  <c r="G27" i="16"/>
  <c r="G29" i="16"/>
  <c r="G31" i="16" s="1"/>
  <c r="G30" i="16"/>
  <c r="F57" i="12"/>
  <c r="G24" i="12" s="1"/>
  <c r="G29" i="12" s="1"/>
  <c r="F32" i="13"/>
  <c r="F45" i="13" s="1"/>
  <c r="F49" i="13" s="1"/>
  <c r="F34" i="13"/>
  <c r="F47" i="13" s="1"/>
  <c r="F56" i="13" s="1"/>
  <c r="F33" i="13"/>
  <c r="F46" i="13" s="1"/>
  <c r="F55" i="13" s="1"/>
  <c r="G26" i="13" s="1"/>
  <c r="G35" i="13" s="1"/>
  <c r="G36" i="13" l="1"/>
  <c r="G52" i="13"/>
  <c r="G38" i="13"/>
  <c r="G37" i="13" s="1"/>
  <c r="F33" i="11"/>
  <c r="F46" i="11" s="1"/>
  <c r="F55" i="11" s="1"/>
  <c r="G26" i="11" s="1"/>
  <c r="G35" i="11" s="1"/>
  <c r="F34" i="11"/>
  <c r="F47" i="11" s="1"/>
  <c r="F56" i="11" s="1"/>
  <c r="F57" i="11" s="1"/>
  <c r="G24" i="11" s="1"/>
  <c r="G33" i="16"/>
  <c r="G46" i="16" s="1"/>
  <c r="G55" i="16" s="1"/>
  <c r="H26" i="16" s="1"/>
  <c r="G32" i="16"/>
  <c r="G45" i="16" s="1"/>
  <c r="G34" i="16"/>
  <c r="G47" i="16" s="1"/>
  <c r="G56" i="16" s="1"/>
  <c r="J50" i="16"/>
  <c r="I60" i="16"/>
  <c r="G27" i="12"/>
  <c r="G30" i="12"/>
  <c r="G31" i="12" s="1"/>
  <c r="G34" i="12" s="1"/>
  <c r="G47" i="12" s="1"/>
  <c r="G56" i="12" s="1"/>
  <c r="G50" i="13"/>
  <c r="F54" i="13"/>
  <c r="G25" i="11"/>
  <c r="G50" i="11" l="1"/>
  <c r="G60" i="11" s="1"/>
  <c r="G36" i="11"/>
  <c r="G38" i="11" s="1"/>
  <c r="G37" i="11" s="1"/>
  <c r="G52" i="11"/>
  <c r="K50" i="16"/>
  <c r="J60" i="16"/>
  <c r="G49" i="16"/>
  <c r="G54" i="16" s="1"/>
  <c r="G32" i="12"/>
  <c r="G45" i="12" s="1"/>
  <c r="G54" i="12" s="1"/>
  <c r="G33" i="12"/>
  <c r="G46" i="12" s="1"/>
  <c r="G55" i="12" s="1"/>
  <c r="H26" i="12" s="1"/>
  <c r="H35" i="12" s="1"/>
  <c r="H36" i="12" s="1"/>
  <c r="F57" i="13"/>
  <c r="G24" i="13" s="1"/>
  <c r="G25" i="13"/>
  <c r="H50" i="13"/>
  <c r="G60" i="13"/>
  <c r="G27" i="11"/>
  <c r="G29" i="11"/>
  <c r="G30" i="11"/>
  <c r="H38" i="12" l="1"/>
  <c r="H37" i="12"/>
  <c r="G57" i="16"/>
  <c r="H24" i="16" s="1"/>
  <c r="H25" i="16"/>
  <c r="L50" i="16"/>
  <c r="L60" i="16" s="1"/>
  <c r="K60" i="16"/>
  <c r="G57" i="12"/>
  <c r="H24" i="12" s="1"/>
  <c r="H30" i="12" s="1"/>
  <c r="H25" i="12"/>
  <c r="I50" i="13"/>
  <c r="H60" i="13"/>
  <c r="G27" i="13"/>
  <c r="G29" i="13"/>
  <c r="G30" i="13"/>
  <c r="G31" i="11"/>
  <c r="G34" i="11" s="1"/>
  <c r="G47" i="11" s="1"/>
  <c r="G56" i="11" s="1"/>
  <c r="H27" i="16" l="1"/>
  <c r="H29" i="16"/>
  <c r="H30" i="16"/>
  <c r="G31" i="13"/>
  <c r="G33" i="13" s="1"/>
  <c r="G46" i="13" s="1"/>
  <c r="G55" i="13" s="1"/>
  <c r="H26" i="13" s="1"/>
  <c r="H35" i="13" s="1"/>
  <c r="H29" i="12"/>
  <c r="H31" i="12" s="1"/>
  <c r="H33" i="12" s="1"/>
  <c r="H46" i="12" s="1"/>
  <c r="H55" i="12" s="1"/>
  <c r="I26" i="12" s="1"/>
  <c r="I35" i="12" s="1"/>
  <c r="I36" i="12" s="1"/>
  <c r="H27" i="12"/>
  <c r="J50" i="13"/>
  <c r="I60" i="13"/>
  <c r="G33" i="11"/>
  <c r="G46" i="11" s="1"/>
  <c r="G55" i="11" s="1"/>
  <c r="H26" i="11" s="1"/>
  <c r="H35" i="11" s="1"/>
  <c r="G32" i="11"/>
  <c r="G45" i="11" s="1"/>
  <c r="G54" i="11" s="1"/>
  <c r="I38" i="12" l="1"/>
  <c r="I37" i="12"/>
  <c r="H36" i="13"/>
  <c r="H38" i="13" s="1"/>
  <c r="H37" i="13" s="1"/>
  <c r="H52" i="13"/>
  <c r="H36" i="11"/>
  <c r="H38" i="11" s="1"/>
  <c r="H37" i="11" s="1"/>
  <c r="H52" i="11"/>
  <c r="H50" i="11"/>
  <c r="H60" i="11" s="1"/>
  <c r="G57" i="11"/>
  <c r="H24" i="11" s="1"/>
  <c r="H29" i="11" s="1"/>
  <c r="H25" i="11"/>
  <c r="H31" i="16"/>
  <c r="H34" i="16" s="1"/>
  <c r="H47" i="16" s="1"/>
  <c r="H56" i="16" s="1"/>
  <c r="G32" i="13"/>
  <c r="G45" i="13" s="1"/>
  <c r="G49" i="13" s="1"/>
  <c r="G34" i="13"/>
  <c r="G47" i="13" s="1"/>
  <c r="G56" i="13" s="1"/>
  <c r="H32" i="12"/>
  <c r="H45" i="12" s="1"/>
  <c r="H54" i="12" s="1"/>
  <c r="I25" i="12" s="1"/>
  <c r="H34" i="12"/>
  <c r="H47" i="12" s="1"/>
  <c r="H56" i="12" s="1"/>
  <c r="K50" i="13"/>
  <c r="J60" i="13"/>
  <c r="H30" i="11" l="1"/>
  <c r="H31" i="11" s="1"/>
  <c r="H32" i="11" s="1"/>
  <c r="H45" i="11" s="1"/>
  <c r="H54" i="11" s="1"/>
  <c r="H27" i="11"/>
  <c r="H33" i="16"/>
  <c r="H46" i="16" s="1"/>
  <c r="H55" i="16" s="1"/>
  <c r="I26" i="16" s="1"/>
  <c r="H32" i="16"/>
  <c r="H45" i="16" s="1"/>
  <c r="H54" i="16" s="1"/>
  <c r="G54" i="13"/>
  <c r="G57" i="13" s="1"/>
  <c r="H24" i="13" s="1"/>
  <c r="H57" i="12"/>
  <c r="I24" i="12" s="1"/>
  <c r="I27" i="12" s="1"/>
  <c r="L50" i="13"/>
  <c r="L60" i="13" s="1"/>
  <c r="K60" i="13"/>
  <c r="H34" i="11" l="1"/>
  <c r="H47" i="11" s="1"/>
  <c r="H56" i="11" s="1"/>
  <c r="H33" i="11"/>
  <c r="H46" i="11" s="1"/>
  <c r="H55" i="11" s="1"/>
  <c r="I26" i="11" s="1"/>
  <c r="I35" i="11" s="1"/>
  <c r="H57" i="16"/>
  <c r="I24" i="16" s="1"/>
  <c r="I27" i="16" s="1"/>
  <c r="I25" i="16"/>
  <c r="H25" i="13"/>
  <c r="I29" i="12"/>
  <c r="I31" i="12" s="1"/>
  <c r="I32" i="12" s="1"/>
  <c r="I45" i="12" s="1"/>
  <c r="I54" i="12" s="1"/>
  <c r="J25" i="12" s="1"/>
  <c r="I30" i="12"/>
  <c r="H27" i="13"/>
  <c r="H29" i="13"/>
  <c r="H30" i="13"/>
  <c r="I25" i="11"/>
  <c r="H31" i="13" l="1"/>
  <c r="H34" i="13" s="1"/>
  <c r="H47" i="13" s="1"/>
  <c r="H56" i="13" s="1"/>
  <c r="I36" i="11"/>
  <c r="I38" i="11" s="1"/>
  <c r="I37" i="11" s="1"/>
  <c r="I52" i="11"/>
  <c r="I50" i="11"/>
  <c r="I60" i="11" s="1"/>
  <c r="H57" i="11"/>
  <c r="I24" i="11" s="1"/>
  <c r="I27" i="11" s="1"/>
  <c r="I30" i="16"/>
  <c r="I29" i="16"/>
  <c r="I31" i="16" s="1"/>
  <c r="I34" i="16" s="1"/>
  <c r="I47" i="16" s="1"/>
  <c r="I56" i="16" s="1"/>
  <c r="I33" i="12"/>
  <c r="I46" i="12" s="1"/>
  <c r="I55" i="12" s="1"/>
  <c r="J26" i="12" s="1"/>
  <c r="J35" i="12" s="1"/>
  <c r="I34" i="12"/>
  <c r="I47" i="12" s="1"/>
  <c r="I56" i="12" s="1"/>
  <c r="J36" i="12" l="1"/>
  <c r="J38" i="12" s="1"/>
  <c r="J37" i="12" s="1"/>
  <c r="J52" i="12"/>
  <c r="H32" i="13"/>
  <c r="H45" i="13" s="1"/>
  <c r="H54" i="13" s="1"/>
  <c r="H33" i="13"/>
  <c r="H46" i="13" s="1"/>
  <c r="H55" i="13" s="1"/>
  <c r="I26" i="13" s="1"/>
  <c r="I35" i="13" s="1"/>
  <c r="I29" i="11"/>
  <c r="I31" i="11" s="1"/>
  <c r="I32" i="11" s="1"/>
  <c r="I45" i="11" s="1"/>
  <c r="I54" i="11" s="1"/>
  <c r="I30" i="11"/>
  <c r="I32" i="16"/>
  <c r="I45" i="16" s="1"/>
  <c r="I54" i="16" s="1"/>
  <c r="J25" i="16" s="1"/>
  <c r="I33" i="16"/>
  <c r="I46" i="16" s="1"/>
  <c r="I55" i="16" s="1"/>
  <c r="J26" i="16" s="1"/>
  <c r="I57" i="12"/>
  <c r="J24" i="12" s="1"/>
  <c r="J27" i="12" s="1"/>
  <c r="I25" i="13"/>
  <c r="I36" i="13" l="1"/>
  <c r="I38" i="13" s="1"/>
  <c r="I37" i="13" s="1"/>
  <c r="I52" i="13"/>
  <c r="H57" i="13"/>
  <c r="I24" i="13" s="1"/>
  <c r="I30" i="13" s="1"/>
  <c r="I57" i="16"/>
  <c r="J24" i="16" s="1"/>
  <c r="J27" i="16" s="1"/>
  <c r="I33" i="11"/>
  <c r="I46" i="11" s="1"/>
  <c r="I55" i="11" s="1"/>
  <c r="J26" i="11" s="1"/>
  <c r="J35" i="11" s="1"/>
  <c r="J29" i="12"/>
  <c r="J30" i="12"/>
  <c r="I34" i="11"/>
  <c r="I47" i="11" s="1"/>
  <c r="I56" i="11" s="1"/>
  <c r="J25" i="11"/>
  <c r="I29" i="13" l="1"/>
  <c r="I31" i="13" s="1"/>
  <c r="I33" i="13" s="1"/>
  <c r="I46" i="13" s="1"/>
  <c r="I55" i="13" s="1"/>
  <c r="J26" i="13" s="1"/>
  <c r="J35" i="13" s="1"/>
  <c r="I27" i="13"/>
  <c r="J36" i="11"/>
  <c r="J38" i="11" s="1"/>
  <c r="J37" i="11" s="1"/>
  <c r="J52" i="11"/>
  <c r="J50" i="11"/>
  <c r="J60" i="11" s="1"/>
  <c r="J30" i="16"/>
  <c r="J29" i="16"/>
  <c r="J31" i="16" s="1"/>
  <c r="J34" i="16" s="1"/>
  <c r="J47" i="16" s="1"/>
  <c r="J56" i="16" s="1"/>
  <c r="J31" i="12"/>
  <c r="J32" i="12" s="1"/>
  <c r="J45" i="12" s="1"/>
  <c r="J54" i="12" s="1"/>
  <c r="K25" i="12" s="1"/>
  <c r="I57" i="11"/>
  <c r="J24" i="11" s="1"/>
  <c r="J27" i="11" s="1"/>
  <c r="J36" i="13" l="1"/>
  <c r="J38" i="13" s="1"/>
  <c r="J37" i="13" s="1"/>
  <c r="J52" i="13"/>
  <c r="I34" i="13"/>
  <c r="I47" i="13" s="1"/>
  <c r="I56" i="13" s="1"/>
  <c r="I32" i="13"/>
  <c r="I45" i="13" s="1"/>
  <c r="I54" i="13" s="1"/>
  <c r="J25" i="13" s="1"/>
  <c r="J32" i="16"/>
  <c r="J45" i="16" s="1"/>
  <c r="J54" i="16" s="1"/>
  <c r="K25" i="16" s="1"/>
  <c r="J33" i="16"/>
  <c r="J46" i="16" s="1"/>
  <c r="J55" i="16" s="1"/>
  <c r="K26" i="16" s="1"/>
  <c r="J34" i="12"/>
  <c r="J47" i="12" s="1"/>
  <c r="J56" i="12" s="1"/>
  <c r="J33" i="12"/>
  <c r="J46" i="12" s="1"/>
  <c r="J55" i="12" s="1"/>
  <c r="K26" i="12" s="1"/>
  <c r="K35" i="12" s="1"/>
  <c r="J29" i="11"/>
  <c r="J30" i="11"/>
  <c r="K36" i="12" l="1"/>
  <c r="K38" i="12" s="1"/>
  <c r="K37" i="12" s="1"/>
  <c r="K52" i="12"/>
  <c r="I57" i="13"/>
  <c r="J24" i="13" s="1"/>
  <c r="J27" i="13" s="1"/>
  <c r="J57" i="16"/>
  <c r="K24" i="16" s="1"/>
  <c r="K27" i="16" s="1"/>
  <c r="J57" i="12"/>
  <c r="K24" i="12" s="1"/>
  <c r="K30" i="12" s="1"/>
  <c r="J29" i="13"/>
  <c r="J30" i="13"/>
  <c r="J31" i="11"/>
  <c r="J31" i="13" l="1"/>
  <c r="J32" i="13" s="1"/>
  <c r="J45" i="13" s="1"/>
  <c r="J54" i="13" s="1"/>
  <c r="K29" i="16"/>
  <c r="K30" i="16"/>
  <c r="K29" i="12"/>
  <c r="K31" i="12" s="1"/>
  <c r="K32" i="12" s="1"/>
  <c r="K45" i="12" s="1"/>
  <c r="K54" i="12" s="1"/>
  <c r="L25" i="12" s="1"/>
  <c r="K27" i="12"/>
  <c r="J32" i="11"/>
  <c r="J45" i="11" s="1"/>
  <c r="J54" i="11" s="1"/>
  <c r="J33" i="11"/>
  <c r="J46" i="11" s="1"/>
  <c r="J55" i="11" s="1"/>
  <c r="K26" i="11" s="1"/>
  <c r="K35" i="11" s="1"/>
  <c r="J34" i="11"/>
  <c r="J47" i="11" s="1"/>
  <c r="J56" i="11" s="1"/>
  <c r="J34" i="13" l="1"/>
  <c r="J47" i="13" s="1"/>
  <c r="J56" i="13" s="1"/>
  <c r="J33" i="13"/>
  <c r="J46" i="13" s="1"/>
  <c r="J55" i="13" s="1"/>
  <c r="K26" i="13" s="1"/>
  <c r="K35" i="13" s="1"/>
  <c r="K36" i="11"/>
  <c r="K38" i="11" s="1"/>
  <c r="K37" i="11" s="1"/>
  <c r="K52" i="11"/>
  <c r="K50" i="11"/>
  <c r="K60" i="11" s="1"/>
  <c r="J57" i="11"/>
  <c r="K24" i="11" s="1"/>
  <c r="K29" i="11" s="1"/>
  <c r="K31" i="16"/>
  <c r="K32" i="16" s="1"/>
  <c r="K45" i="16" s="1"/>
  <c r="K54" i="16" s="1"/>
  <c r="L25" i="16" s="1"/>
  <c r="K25" i="11"/>
  <c r="K33" i="12"/>
  <c r="K46" i="12" s="1"/>
  <c r="K55" i="12" s="1"/>
  <c r="L26" i="12" s="1"/>
  <c r="L35" i="12" s="1"/>
  <c r="K34" i="12"/>
  <c r="K47" i="12" s="1"/>
  <c r="K56" i="12" s="1"/>
  <c r="K25" i="13"/>
  <c r="L36" i="12" l="1"/>
  <c r="L38" i="12" s="1"/>
  <c r="L37" i="12" s="1"/>
  <c r="L52" i="12"/>
  <c r="J57" i="13"/>
  <c r="K24" i="13" s="1"/>
  <c r="K36" i="13"/>
  <c r="K38" i="13" s="1"/>
  <c r="K37" i="13" s="1"/>
  <c r="K52" i="13"/>
  <c r="K30" i="11"/>
  <c r="K31" i="11" s="1"/>
  <c r="K33" i="11" s="1"/>
  <c r="K46" i="11" s="1"/>
  <c r="K55" i="11" s="1"/>
  <c r="L26" i="11" s="1"/>
  <c r="L35" i="11" s="1"/>
  <c r="K27" i="11"/>
  <c r="K33" i="16"/>
  <c r="K46" i="16" s="1"/>
  <c r="K55" i="16" s="1"/>
  <c r="L26" i="16" s="1"/>
  <c r="K34" i="16"/>
  <c r="K47" i="16" s="1"/>
  <c r="K56" i="16" s="1"/>
  <c r="K57" i="12"/>
  <c r="L24" i="12" s="1"/>
  <c r="L27" i="12" s="1"/>
  <c r="K27" i="13"/>
  <c r="K29" i="13"/>
  <c r="K31" i="13" s="1"/>
  <c r="K30" i="13"/>
  <c r="L36" i="11" l="1"/>
  <c r="L38" i="11" s="1"/>
  <c r="L37" i="11" s="1"/>
  <c r="L52" i="11"/>
  <c r="L50" i="11"/>
  <c r="L60" i="11" s="1"/>
  <c r="K32" i="11"/>
  <c r="K45" i="11" s="1"/>
  <c r="K54" i="11" s="1"/>
  <c r="L25" i="11" s="1"/>
  <c r="K34" i="11"/>
  <c r="K47" i="11" s="1"/>
  <c r="K56" i="11" s="1"/>
  <c r="K57" i="16"/>
  <c r="L24" i="16" s="1"/>
  <c r="L30" i="16" s="1"/>
  <c r="L29" i="12"/>
  <c r="L30" i="12"/>
  <c r="K32" i="13"/>
  <c r="K45" i="13" s="1"/>
  <c r="K54" i="13" s="1"/>
  <c r="K34" i="13"/>
  <c r="K47" i="13" s="1"/>
  <c r="K56" i="13" s="1"/>
  <c r="K33" i="13"/>
  <c r="K46" i="13" s="1"/>
  <c r="K55" i="13" s="1"/>
  <c r="L26" i="13" s="1"/>
  <c r="L35" i="13" s="1"/>
  <c r="L36" i="13" l="1"/>
  <c r="L38" i="13" s="1"/>
  <c r="L37" i="13" s="1"/>
  <c r="L52" i="13"/>
  <c r="K57" i="11"/>
  <c r="L24" i="11" s="1"/>
  <c r="L30" i="11" s="1"/>
  <c r="L27" i="16"/>
  <c r="L29" i="16"/>
  <c r="L31" i="16" s="1"/>
  <c r="L32" i="16" s="1"/>
  <c r="L45" i="16" s="1"/>
  <c r="L54" i="16" s="1"/>
  <c r="L31" i="12"/>
  <c r="L34" i="12" s="1"/>
  <c r="L47" i="12" s="1"/>
  <c r="L56" i="12" s="1"/>
  <c r="L25" i="13"/>
  <c r="K57" i="13"/>
  <c r="L24" i="13" s="1"/>
  <c r="L27" i="11" l="1"/>
  <c r="L29" i="11"/>
  <c r="L31" i="11" s="1"/>
  <c r="L33" i="11" s="1"/>
  <c r="L46" i="11" s="1"/>
  <c r="L55" i="11" s="1"/>
  <c r="L33" i="16"/>
  <c r="L46" i="16" s="1"/>
  <c r="L55" i="16" s="1"/>
  <c r="L34" i="16"/>
  <c r="L47" i="16" s="1"/>
  <c r="L56" i="16" s="1"/>
  <c r="L32" i="12"/>
  <c r="L45" i="12" s="1"/>
  <c r="L54" i="12" s="1"/>
  <c r="L33" i="12"/>
  <c r="L46" i="12" s="1"/>
  <c r="L55" i="12" s="1"/>
  <c r="L27" i="13"/>
  <c r="L29" i="13"/>
  <c r="L31" i="13" s="1"/>
  <c r="L30" i="13"/>
  <c r="L34" i="11" l="1"/>
  <c r="L47" i="11" s="1"/>
  <c r="L56" i="11" s="1"/>
  <c r="L32" i="11"/>
  <c r="L45" i="11" s="1"/>
  <c r="L54" i="11" s="1"/>
  <c r="L57" i="11" s="1"/>
  <c r="L57" i="16"/>
  <c r="L57" i="12"/>
  <c r="L34" i="13"/>
  <c r="L47" i="13" s="1"/>
  <c r="L56" i="13" s="1"/>
  <c r="L33" i="13"/>
  <c r="L46" i="13" s="1"/>
  <c r="L55" i="13" s="1"/>
  <c r="L32" i="13"/>
  <c r="L45" i="13" s="1"/>
  <c r="L54" i="13" s="1"/>
  <c r="M43" i="5"/>
  <c r="L57" i="13" l="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M41" i="5" l="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V11" i="7" l="1"/>
  <c r="W11" i="7"/>
  <c r="V6" i="7"/>
  <c r="W6" i="7"/>
  <c r="D36" i="5"/>
  <c r="D38" i="5" l="1"/>
  <c r="D37" i="5" s="1"/>
  <c r="V8" i="7"/>
  <c r="W8" i="7"/>
  <c r="F36" i="5" l="1"/>
  <c r="E36" i="5"/>
  <c r="C45" i="5"/>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F38" i="5" l="1"/>
  <c r="F37" i="5" s="1"/>
  <c r="E38" i="5"/>
  <c r="E37" i="5" s="1"/>
  <c r="H36" i="5"/>
  <c r="G36" i="5"/>
  <c r="D25" i="5"/>
  <c r="C55" i="5"/>
  <c r="D26" i="5" s="1"/>
  <c r="V10" i="7"/>
  <c r="W10" i="7"/>
  <c r="I36" i="5"/>
  <c r="K13" i="2"/>
  <c r="L13" i="2" s="1"/>
  <c r="K8" i="2"/>
  <c r="G38" i="5" l="1"/>
  <c r="G37" i="5" s="1"/>
  <c r="H38" i="5"/>
  <c r="H37" i="5" s="1"/>
  <c r="I38" i="5"/>
  <c r="I37" i="5" s="1"/>
  <c r="D60" i="5"/>
  <c r="C57" i="5"/>
  <c r="D24" i="5" s="1"/>
  <c r="J36" i="5"/>
  <c r="N13" i="2"/>
  <c r="O13" i="2"/>
  <c r="M13" i="2"/>
  <c r="J38" i="5" l="1"/>
  <c r="J37" i="5"/>
  <c r="D29" i="5"/>
  <c r="D31" i="5" s="1"/>
  <c r="D33" i="5" s="1"/>
  <c r="D27" i="5"/>
  <c r="D30" i="5"/>
  <c r="K36" i="5"/>
  <c r="P13" i="2"/>
  <c r="D32" i="5" l="1"/>
  <c r="D45" i="5" s="1"/>
  <c r="D54" i="5" s="1"/>
  <c r="E25" i="5" s="1"/>
  <c r="D34" i="5"/>
  <c r="D47" i="5" s="1"/>
  <c r="D56" i="5" s="1"/>
  <c r="K38" i="5"/>
  <c r="K37" i="5" s="1"/>
  <c r="D46" i="5"/>
  <c r="D55" i="5" s="1"/>
  <c r="L36" i="5"/>
  <c r="L38" i="5" l="1"/>
  <c r="L37" i="5" s="1"/>
  <c r="E26" i="5"/>
  <c r="D57" i="5"/>
  <c r="E24" i="5" s="1"/>
  <c r="E29" i="5" s="1"/>
  <c r="E60" i="5" l="1"/>
  <c r="E30" i="5"/>
  <c r="E31" i="5" s="1"/>
  <c r="E33" i="5" s="1"/>
  <c r="E27" i="5"/>
  <c r="E32" i="5" l="1"/>
  <c r="E45" i="5" s="1"/>
  <c r="E54" i="5" s="1"/>
  <c r="F25" i="5" s="1"/>
  <c r="E34" i="5"/>
  <c r="E47" i="5" s="1"/>
  <c r="E56" i="5" s="1"/>
  <c r="E46" i="5"/>
  <c r="E55" i="5" s="1"/>
  <c r="E57" i="5" l="1"/>
  <c r="F24" i="5" s="1"/>
  <c r="F27" i="5" s="1"/>
  <c r="F26" i="5"/>
  <c r="F60" i="5"/>
  <c r="F30" i="5" l="1"/>
  <c r="F29" i="5"/>
  <c r="F31" i="5" l="1"/>
  <c r="F34" i="5" s="1"/>
  <c r="F47" i="5" s="1"/>
  <c r="F56" i="5" s="1"/>
  <c r="F33" i="5" l="1"/>
  <c r="F46" i="5" s="1"/>
  <c r="F55" i="5" s="1"/>
  <c r="G26" i="5" s="1"/>
  <c r="F32" i="5"/>
  <c r="G60" i="5"/>
  <c r="F45" i="5" l="1"/>
  <c r="F54" i="5" s="1"/>
  <c r="G25" i="5" l="1"/>
  <c r="F57" i="5"/>
  <c r="G24" i="5" s="1"/>
  <c r="G29" i="5" s="1"/>
  <c r="G30" i="5" l="1"/>
  <c r="G31" i="5" s="1"/>
  <c r="G34" i="5" s="1"/>
  <c r="G47" i="5" s="1"/>
  <c r="G56" i="5" s="1"/>
  <c r="G27" i="5"/>
  <c r="G33" i="5" l="1"/>
  <c r="G46" i="5" s="1"/>
  <c r="G55" i="5" s="1"/>
  <c r="H26" i="5" s="1"/>
  <c r="G32" i="5"/>
  <c r="G45" i="5" s="1"/>
  <c r="G54" i="5" s="1"/>
  <c r="H25" i="5" s="1"/>
  <c r="H60" i="5"/>
  <c r="G57" i="5" l="1"/>
  <c r="H24" i="5" s="1"/>
  <c r="H29" i="5" s="1"/>
  <c r="H27" i="5" l="1"/>
  <c r="H30" i="5"/>
  <c r="H31" i="5" s="1"/>
  <c r="H33" i="5" s="1"/>
  <c r="H46" i="5" s="1"/>
  <c r="H55" i="5" s="1"/>
  <c r="I26" i="5" s="1"/>
  <c r="H34" i="5" l="1"/>
  <c r="H47" i="5" s="1"/>
  <c r="H56" i="5" s="1"/>
  <c r="H32" i="5"/>
  <c r="H45" i="5" s="1"/>
  <c r="H54" i="5" s="1"/>
  <c r="I25" i="5" s="1"/>
  <c r="I60" i="5"/>
  <c r="H57" i="5" l="1"/>
  <c r="I24" i="5" s="1"/>
  <c r="I27" i="5" s="1"/>
  <c r="I30" i="5" l="1"/>
  <c r="I29" i="5"/>
  <c r="I31" i="5" s="1"/>
  <c r="I33" i="5" s="1"/>
  <c r="I46" i="5" s="1"/>
  <c r="I55" i="5" s="1"/>
  <c r="J26" i="5" s="1"/>
  <c r="J60" i="5"/>
  <c r="I32" i="5" l="1"/>
  <c r="I45" i="5" s="1"/>
  <c r="I54" i="5" s="1"/>
  <c r="J25" i="5" s="1"/>
  <c r="I34" i="5"/>
  <c r="I47" i="5" s="1"/>
  <c r="I56" i="5" s="1"/>
  <c r="I57" i="5" l="1"/>
  <c r="J24" i="5" s="1"/>
  <c r="J29" i="5" s="1"/>
  <c r="K60" i="5"/>
  <c r="J30" i="5" l="1"/>
  <c r="J27" i="5"/>
  <c r="J31" i="5" l="1"/>
  <c r="J32" i="5" l="1"/>
  <c r="J45" i="5" s="1"/>
  <c r="J54" i="5" s="1"/>
  <c r="K25" i="5" s="1"/>
  <c r="J33" i="5"/>
  <c r="J46" i="5" s="1"/>
  <c r="J55" i="5" s="1"/>
  <c r="K26" i="5" s="1"/>
  <c r="J34" i="5"/>
  <c r="J47" i="5" s="1"/>
  <c r="J56" i="5" s="1"/>
  <c r="L60" i="5"/>
  <c r="J57" i="5" l="1"/>
  <c r="K24" i="5" s="1"/>
  <c r="K27" i="5" s="1"/>
  <c r="K29" i="5" l="1"/>
  <c r="K30" i="5"/>
  <c r="K31" i="5" l="1"/>
  <c r="K34" i="5" s="1"/>
  <c r="K47" i="5" s="1"/>
  <c r="K56" i="5" s="1"/>
  <c r="K33" i="5" l="1"/>
  <c r="K46" i="5" s="1"/>
  <c r="K55" i="5" s="1"/>
  <c r="L26" i="5" s="1"/>
  <c r="K32" i="5"/>
  <c r="K45" i="5" s="1"/>
  <c r="K54" i="5" s="1"/>
  <c r="L25" i="5" s="1"/>
  <c r="K57" i="5" l="1"/>
  <c r="L24" i="5" s="1"/>
  <c r="L30" i="5" s="1"/>
  <c r="L27" i="5" l="1"/>
  <c r="L29" i="5"/>
  <c r="L31" i="5" s="1"/>
  <c r="L34" i="5" s="1"/>
  <c r="L47" i="5" s="1"/>
  <c r="L56" i="5" s="1"/>
  <c r="L32" i="5" l="1"/>
  <c r="L45" i="5" s="1"/>
  <c r="L54" i="5" s="1"/>
  <c r="L33" i="5"/>
  <c r="L46" i="5" s="1"/>
  <c r="L55" i="5" s="1"/>
  <c r="L57" i="5" l="1"/>
</calcChain>
</file>

<file path=xl/sharedStrings.xml><?xml version="1.0" encoding="utf-8"?>
<sst xmlns="http://schemas.openxmlformats.org/spreadsheetml/2006/main" count="515" uniqueCount="168">
  <si>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</si>
  <si>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</si>
  <si>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</si>
  <si>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</si>
  <si>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</si>
  <si>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</si>
  <si>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</si>
  <si>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</si>
  <si>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</si>
  <si>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</si>
  <si>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</si>
  <si>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</si>
  <si>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</si>
  <si>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</si>
  <si>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</si>
  <si>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</si>
  <si>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</si>
  <si>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</si>
  <si>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</si>
  <si>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</si>
  <si>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</si>
  <si>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</si>
  <si>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</si>
  <si>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</si>
  <si>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</si>
  <si>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</si>
  <si>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</si>
  <si>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</si>
  <si>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</si>
  <si>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</si>
  <si>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</si>
  <si>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</si>
  <si>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</si>
  <si>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</si>
  <si>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</si>
  <si>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</si>
  <si>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</si>
  <si>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</si>
  <si>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</si>
  <si>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</si>
  <si>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</si>
  <si>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</si>
  <si>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</si>
  <si>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</si>
  <si>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</si>
  <si>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</si>
  <si>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</si>
  <si>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</si>
  <si>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</si>
  <si>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</si>
  <si>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</si>
  <si>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</si>
  <si>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</si>
  <si>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</si>
  <si>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</si>
  <si>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On the new worksheet, assign a role to each person (Rows 3 to 8).</t>
  </si>
  <si>
    <t>Hydrology to use (facilitator may or may not reveal to players):</t>
  </si>
  <si>
    <t>Enter a Powell starting storage in Cell B19.</t>
  </si>
  <si>
    <t>In Year 1, Facilitator enters the natural inflow to Lake Powell in Cell C22.</t>
  </si>
  <si>
    <t>Continue to Year 2 in Column D. Facilitator enters next Natural Inflow to Lake Powell in Cell D22.</t>
  </si>
  <si>
    <t>Repeat Steps #5-#9 for as many years  (columns D, E, F, …) as desired. Stop when you no longer gain new insights about the system.</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</si>
  <si>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</si>
  <si>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</si>
  <si>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</si>
  <si>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</si>
  <si>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</si>
  <si>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</si>
  <si>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</si>
  <si>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</si>
  <si>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</si>
  <si>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</si>
  <si>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</si>
  <si>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</si>
  <si>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</si>
  <si>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</si>
  <si>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</si>
  <si>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</si>
  <si>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</si>
  <si>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</si>
  <si>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</si>
  <si>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</si>
  <si>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</si>
  <si>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</si>
  <si>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</si>
  <si>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</si>
  <si>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</si>
  <si>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</si>
  <si>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</si>
  <si>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</si>
  <si>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</si>
  <si>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</si>
  <si>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</si>
  <si>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</si>
  <si>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</si>
  <si>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</si>
  <si>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</si>
  <si>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</si>
  <si>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</si>
  <si>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</si>
  <si>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</si>
  <si>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</si>
  <si>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</si>
  <si>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</si>
  <si>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</si>
  <si>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HydrologicScenarios</t>
  </si>
  <si>
    <t>Potential hydrologic scenarios to use in the role play. Millennium drought, scrambled years, drier and wetter decades</t>
  </si>
  <si>
    <t>Powell-Elevation-Area</t>
  </si>
  <si>
    <t>The Lake Powell storage volume-elevation-area curve data downloaded from CRSS.</t>
  </si>
  <si>
    <t>Role play again (steps #2-11) for different management decisions, hydrologic scenarios, one-time allocations of starting Lake Powell storage, allocations of natural flow, etc.</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</si>
  <si>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</si>
  <si>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</si>
  <si>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</si>
  <si>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</si>
  <si>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</si>
  <si>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</si>
  <si>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</si>
  <si>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</si>
  <si>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</si>
  <si>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This interactive water budget allows a facillitator and representatives of the Upper Basin, Lower Basin, and Mexico to role play Lake Powell management year by year. 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 interactive water budget tracks physical water budget items such as Powell evaporation rate, Powell starting storage, natural inflow to Lake Powell, and Evaporated volume on Rows 18, 19, 22, and 27.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in Column B, Rows 24-26 and 33-34). The interactive water budget also tracks Annual political (water manager) decisions  such as the Mexico treaty bligation, Withdrawals/Consumptive Use from Lake Powell accounts, water transfers among users, and payments for transfers on Rows 28, 45-47, and 36-39).</t>
  </si>
  <si>
    <t>We recommend to move this Excel workbook into Google Docs so that all users can access syncronously.</t>
  </si>
  <si>
    <t>Model calculates available water to release/use. Each player enters their withdrawal from their Lake Powell account/consumptive use in Cells C45:C47. Check other players released/used water within their budget!!</t>
  </si>
  <si>
    <t>The Upper Basin and Mexico can additionally transfer water with payment to the Lower Basin in Cells C36:C39.</t>
  </si>
  <si>
    <t>Observe the Annual Powell release, ending storages in accounts, and Lake Powell ending storage in Cells C48:C53.</t>
  </si>
  <si>
    <t>Directions to complete the Interactive Water Budget:</t>
  </si>
  <si>
    <t>David E. Rosenberg (2021). "Interactive Water Budget and Role Play for Lake Powell, Colorado River." Utah State University, Logan, UT. https://github.com/dzeke/ColoradoRiverFutures/tree/master/InteractiveWaterBudget-LakePowell</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</si>
  <si>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</si>
  <si>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</si>
  <si>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</si>
  <si>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</si>
  <si>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</si>
  <si>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</si>
  <si>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</si>
  <si>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</si>
  <si>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</si>
  <si>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</si>
  <si>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</si>
  <si>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</si>
  <si>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</si>
  <si>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</si>
  <si>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</si>
  <si>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</si>
  <si>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</si>
  <si>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</si>
  <si>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</si>
  <si>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</si>
  <si>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</si>
  <si>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</si>
  <si>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</si>
  <si>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</si>
  <si>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</si>
  <si>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</si>
  <si>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</si>
  <si>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</si>
  <si>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</si>
  <si>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</si>
  <si>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</si>
  <si>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</si>
  <si>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Mellennium-LawOfRiver</t>
  </si>
  <si>
    <t>A completed role play of the Millennium Drought continuing for 10 more years following the Law of the River for all political decisions</t>
  </si>
  <si>
    <t>4.9 to 6.5 feet per year for Powell, 5.5 to 6.4 feet per year from Schmidt et al (2016); 5.7 to 6.8 in Moreo (2015)</t>
  </si>
  <si>
    <t>11.0-Trade</t>
  </si>
  <si>
    <t>11.0-LawOfRiver</t>
  </si>
  <si>
    <t>11.0-PlotUse</t>
  </si>
  <si>
    <t>11.0-PlotStorage</t>
  </si>
  <si>
    <t>Compare Upper Basin storage account balance for 11.0-Trade and 11.0-LawOfRiver</t>
  </si>
  <si>
    <t>Compare Upper Basin consumptive use for 11.0-Trade and 11.0-LawOfRiver</t>
  </si>
  <si>
    <t>A completed role play with Lee Ferry natural flow of 11.0 maf per year for 5 years following the Law of the River for all political decisions</t>
  </si>
  <si>
    <t>A completed role play with Lee Ferry natural flow of 11.0 maf per year for 5 years allowing trades between users. Trades in Years 1 through 3 earn the Upper Basin $0.5 Billion and get the Upper Basin on a path of conservation and softer landing for this severe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</si>
</sst>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s>
  <fonts count="6"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8" tint="0.59999389629810485"/>
        <bgColor indexed="64"/>
      </patternFill>
    </fill>
  </fills>
  <borders count="11">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65">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0" fontId="1" fillId="7" borderId="9" xfId="0" applyFont="1" applyFill="1" applyBorder="1"/>
    <xf numFmtId="0" fontId="1" fillId="7" borderId="9" xfId="0" applyFont="1" applyFill="1" applyBorder="1" applyAlignment="1">
      <alignment horizontal="center"/>
    </xf>
    <xf numFmtId="0" fontId="3" fillId="2" borderId="1" xfId="2" applyAlignment="1">
      <alignment horizontal="center"/>
    </xf>
    <xf numFmtId="164" fontId="0" fillId="0" borderId="0" xfId="0" applyNumberFormat="1"/>
    <xf numFmtId="0" fontId="3" fillId="2" borderId="1" xfId="2" applyAlignment="1">
      <alignment horizontal="center"/>
    </xf>
    <xf numFmtId="0" fontId="0" fillId="0" borderId="0" xfId="0" applyFont="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1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hartsheet" Target="chartsheets/sheet4.xml"/><Relationship Id="rId13" Type="http://schemas.openxmlformats.org/officeDocument/2006/relationships/worksheet" Target="worksheets/sheet9.xml"/><Relationship Id="rId3" Type="http://schemas.openxmlformats.org/officeDocument/2006/relationships/worksheet" Target="worksheets/sheet3.xml"/><Relationship Id="rId7" Type="http://schemas.openxmlformats.org/officeDocument/2006/relationships/chartsheet" Target="chartsheets/sheet3.xml"/><Relationship Id="rId12" Type="http://schemas.openxmlformats.org/officeDocument/2006/relationships/worksheet" Target="worksheets/sheet8.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chartsheet" Target="chartsheets/sheet2.xml"/><Relationship Id="rId11" Type="http://schemas.openxmlformats.org/officeDocument/2006/relationships/worksheet" Target="worksheets/sheet7.xml"/><Relationship Id="rId5" Type="http://schemas.openxmlformats.org/officeDocument/2006/relationships/chartsheet" Target="chartsheets/sheet1.xml"/><Relationship Id="rId15" Type="http://schemas.openxmlformats.org/officeDocument/2006/relationships/styles" Target="styles.xml"/><Relationship Id="rId10" Type="http://schemas.openxmlformats.org/officeDocument/2006/relationships/worksheet" Target="worksheets/sheet6.xml"/><Relationship Id="rId4" Type="http://schemas.openxmlformats.org/officeDocument/2006/relationships/worksheet" Target="worksheets/sheet4.xml"/><Relationship Id="rId9" Type="http://schemas.openxmlformats.org/officeDocument/2006/relationships/worksheet" Target="worksheets/sheet5.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1"/>
          <c:order val="0"/>
          <c:tx>
            <c:v>Law of River</c:v>
          </c:tx>
          <c:spPr>
            <a:ln w="19050" cap="rnd">
              <a:solidFill>
                <a:schemeClr val="accent2"/>
              </a:solidFill>
              <a:prstDash val="lgDash"/>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'11.0-LawOfRiver'!$C$49:$G$49</c:f>
              <c:numCache>
                <c:formatCode>0.0</c:formatCode>
                <c:ptCount val="5"/>
                <c:pt idx="0">
                  <c:v>4.2</c:v>
                </c:pt>
                <c:pt idx="1">
                  <c:v>4.2</c:v>
                </c:pt>
                <c:pt idx="2">
                  <c:v>3.4608534728531506</c:v>
                </c:pt>
                <c:pt idx="3">
                  <c:v>2.4472257667257882</c:v>
                </c:pt>
                <c:pt idx="4">
                  <c:v>2.4441651622382192</c:v>
                </c:pt>
              </c:numCache>
            </c:numRef>
          </c:val>
          <c:smooth val="0"/>
          <c:extLst>
            <c:ext xmlns:c16="http://schemas.microsoft.com/office/drawing/2014/chart" uri="{C3380CC4-5D6E-409C-BE32-E72D297353CC}">
              <c16:uniqueId val="{00000001-907C-421E-8B9B-AB01950ECF49}"/>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'11.0-Trade'!$C$49:$G$49</c:f>
              <c:numCache>
                <c:formatCode>0.0</c:formatCode>
                <c:ptCount val="5"/>
                <c:pt idx="0">
                  <c:v>3.7</c:v>
                </c:pt>
                <c:pt idx="1">
                  <c:v>3.3</c:v>
                </c:pt>
                <c:pt idx="2">
                  <c:v>2.9</c:v>
                </c:pt>
                <c:pt idx="3">
                  <c:v>2.7</c:v>
                </c:pt>
                <c:pt idx="4">
                  <c:v>2.7</c:v>
                </c:pt>
              </c:numCache>
            </c:numRef>
          </c:val>
          <c:smooth val="0"/>
          <c:extLst>
            <c:ext xmlns:c16="http://schemas.microsoft.com/office/drawing/2014/chart" uri="{C3380CC4-5D6E-409C-BE32-E72D297353CC}">
              <c16:uniqueId val="{00000000-907C-421E-8B9B-AB01950ECF4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Upper Basin Consumptive Use</a:t>
                </a:r>
              </a:p>
              <a:p>
                <a:pPr>
                  <a:defRPr sz="2000"/>
                </a:pPr>
                <a:r>
                  <a:rPr lang="en-US" sz="2000"/>
                  <a:t> (MAF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0151866800396023"/>
          <c:y val="6.409833240162531E-2"/>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'11.0-Trade'!$C$25:$G$25</c:f>
              <c:numCache>
                <c:formatCode>0.0</c:formatCode>
                <c:ptCount val="5"/>
                <c:pt idx="0">
                  <c:v>11</c:v>
                </c:pt>
                <c:pt idx="1">
                  <c:v>9.0422571336493043</c:v>
                </c:pt>
                <c:pt idx="2">
                  <c:v>7.6634520548331819</c:v>
                </c:pt>
                <c:pt idx="3">
                  <c:v>6.7418099968023153</c:v>
                </c:pt>
                <c:pt idx="4">
                  <c:v>6.4602708271803406</c:v>
                </c:pt>
              </c:numCache>
            </c:numRef>
          </c:val>
          <c:smooth val="0"/>
          <c:extLst>
            <c:ext xmlns:c16="http://schemas.microsoft.com/office/drawing/2014/chart" uri="{C3380CC4-5D6E-409C-BE32-E72D297353CC}">
              <c16:uniqueId val="{00000001-AA87-41D4-ACEB-BA843F5ADD4F}"/>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'11.0-LawOfRiver'!$C$25:$G$25</c:f>
              <c:numCache>
                <c:formatCode>0.0</c:formatCode>
                <c:ptCount val="5"/>
                <c:pt idx="0">
                  <c:v>11</c:v>
                </c:pt>
                <c:pt idx="1">
                  <c:v>9.0422571336493043</c:v>
                </c:pt>
                <c:pt idx="2">
                  <c:v>7.1583227281020116</c:v>
                </c:pt>
                <c:pt idx="3">
                  <c:v>6.1</c:v>
                </c:pt>
                <c:pt idx="4">
                  <c:v>6.1</c:v>
                </c:pt>
              </c:numCache>
            </c:numRef>
          </c:val>
          <c:smooth val="0"/>
          <c:extLst>
            <c:ext xmlns:c16="http://schemas.microsoft.com/office/drawing/2014/chart" uri="{C3380CC4-5D6E-409C-BE32-E72D297353CC}">
              <c16:uniqueId val="{00000000-AA87-41D4-ACEB-BA843F5ADD4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Begin of Year Upper Basin Account Balance (MAF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0151866800396023"/>
          <c:y val="6.409833240162531E-2"/>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'11.0-Trade'!$C$50:$G$50</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1-7729-4AC8-B9BF-367EDF80CD21}"/>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'11.0-LawOfRiver'!$C$50:$G$50</c:f>
              <c:numCache>
                <c:formatCode>0.0</c:formatCode>
                <c:ptCount val="5"/>
                <c:pt idx="0">
                  <c:v>6.867</c:v>
                </c:pt>
                <c:pt idx="1">
                  <c:v>6.867</c:v>
                </c:pt>
                <c:pt idx="2">
                  <c:v>6.7829999999999995</c:v>
                </c:pt>
                <c:pt idx="3">
                  <c:v>6.7829999999999995</c:v>
                </c:pt>
                <c:pt idx="4">
                  <c:v>6.7829999999999995</c:v>
                </c:pt>
              </c:numCache>
            </c:numRef>
          </c:val>
          <c:smooth val="0"/>
          <c:extLst>
            <c:ext xmlns:c16="http://schemas.microsoft.com/office/drawing/2014/chart" uri="{C3380CC4-5D6E-409C-BE32-E72D297353CC}">
              <c16:uniqueId val="{00000000-7729-4AC8-B9BF-367EDF80CD21}"/>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Lower Basin Consumptive Use</a:t>
                </a:r>
              </a:p>
              <a:p>
                <a:pPr>
                  <a:defRPr sz="2000"/>
                </a:pPr>
                <a:r>
                  <a:rPr lang="en-US" sz="2000"/>
                  <a:t> (MAF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2008504985760902"/>
          <c:y val="0.150224906143408"/>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'11.0-LawOfRiver'!$C$26:$G$26</c:f>
              <c:numCache>
                <c:formatCode>0.0</c:formatCode>
                <c:ptCount val="5"/>
                <c:pt idx="0">
                  <c:v>10.1</c:v>
                </c:pt>
                <c:pt idx="1">
                  <c:v>9.718845186350725</c:v>
                </c:pt>
                <c:pt idx="2">
                  <c:v>9.3335709548974197</c:v>
                </c:pt>
                <c:pt idx="3">
                  <c:v>9.0368781650462786</c:v>
                </c:pt>
                <c:pt idx="4">
                  <c:v>8.7384806907198929</c:v>
                </c:pt>
              </c:numCache>
            </c:numRef>
          </c:val>
          <c:smooth val="0"/>
          <c:extLst>
            <c:ext xmlns:c16="http://schemas.microsoft.com/office/drawing/2014/chart" uri="{C3380CC4-5D6E-409C-BE32-E72D297353CC}">
              <c16:uniqueId val="{00000000-F0E6-4C02-80F9-5B2B5A578019}"/>
            </c:ext>
          </c:extLst>
        </c:ser>
        <c:ser>
          <c:idx val="0"/>
          <c:order val="1"/>
          <c:tx>
            <c:v>With Trade</c:v>
          </c:tx>
          <c:spPr>
            <a:ln w="19050" cap="rnd">
              <a:solidFill>
                <a:schemeClr val="accent1"/>
              </a:solidFill>
              <a:round/>
            </a:ln>
            <a:effectLst/>
          </c:spPr>
          <c:marker>
            <c:symbol val="triang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'11.0-Trade'!$C$26:$G$26</c:f>
              <c:numCache>
                <c:formatCode>0.0</c:formatCode>
                <c:ptCount val="5"/>
                <c:pt idx="0">
                  <c:v>10.1</c:v>
                </c:pt>
                <c:pt idx="1">
                  <c:v>10.218845186350725</c:v>
                </c:pt>
                <c:pt idx="2">
                  <c:v>10.213990511167419</c:v>
                </c:pt>
                <c:pt idx="3">
                  <c:v>10.193338646698306</c:v>
                </c:pt>
                <c:pt idx="4">
                  <c:v>9.7622661278208565</c:v>
                </c:pt>
              </c:numCache>
            </c:numRef>
          </c:val>
          <c:smooth val="0"/>
          <c:extLst>
            <c:ext xmlns:c16="http://schemas.microsoft.com/office/drawing/2014/chart" uri="{C3380CC4-5D6E-409C-BE32-E72D297353CC}">
              <c16:uniqueId val="{00000001-F0E6-4C02-80F9-5B2B5A57801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Begin of Year Upper Basin Account Balance (MAF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0151866800396023"/>
          <c:y val="6.409833240162531E-2"/>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A297EC62-A5CD-4158-9592-AC76E370FCC0}">
  <sheetPr/>
  <sheetViews>
    <sheetView tabSelected="1" zoomScale="76"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2902265-0E0F-4DE3-8482-388886F7C2EB}">
  <sheetPr/>
  <sheetViews>
    <sheetView zoomScale="76"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2A518E9-DB04-4CAC-8D89-898C7EE41E50}">
  <sheetPr/>
  <sheetViews>
    <sheetView zoomScale="76" workbookViewId="0" zoomToFit="1"/>
  </sheetViews>
  <pageMargins left="0.7" right="0.7" top="0.75" bottom="0.75" header="0.3" footer="0.3"/>
  <drawing r:id="rId1"/>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279C657-2B64-4C3C-A368-6E4ADB98E3E0}">
  <sheetPr/>
  <sheetViews>
    <sheetView zoomScale="76"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absoluteAnchor>
    <xdr:pos x="0" y="0"/>
    <xdr:ext cx="12996612" cy="9437270"/>
    <xdr:graphicFrame macro="">
      <xdr:nvGraphicFramePr>
        <xdr:cNvPr id="2" name="Chart 1">
          <a:extLst>
            <a:ext uri="{FF2B5EF4-FFF2-40B4-BE49-F238E27FC236}">
              <a16:creationId xmlns:a16="http://schemas.microsoft.com/office/drawing/2014/main" id="{E6436E4C-B0BC-4464-8F03-A4D705EBFC9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12996612" cy="9437270"/>
    <xdr:graphicFrame macro="">
      <xdr:nvGraphicFramePr>
        <xdr:cNvPr id="2" name="Chart 1">
          <a:extLst>
            <a:ext uri="{FF2B5EF4-FFF2-40B4-BE49-F238E27FC236}">
              <a16:creationId xmlns:a16="http://schemas.microsoft.com/office/drawing/2014/main" id="{4B1082E2-7431-4D6E-AAE8-2E9FFC95573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12996612" cy="9437270"/>
    <xdr:graphicFrame macro="">
      <xdr:nvGraphicFramePr>
        <xdr:cNvPr id="2" name="Chart 1">
          <a:extLst>
            <a:ext uri="{FF2B5EF4-FFF2-40B4-BE49-F238E27FC236}">
              <a16:creationId xmlns:a16="http://schemas.microsoft.com/office/drawing/2014/main" id="{2DF5EA6B-EBC2-4D57-819E-AE8248163BA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xdr:wsDr xmlns:xdr="http://schemas.openxmlformats.org/drawingml/2006/spreadsheetDrawing" xmlns:a="http://schemas.openxmlformats.org/drawingml/2006/main">
  <xdr:absoluteAnchor>
    <xdr:pos x="0" y="0"/>
    <xdr:ext cx="12996612" cy="9437270"/>
    <xdr:graphicFrame macro="">
      <xdr:nvGraphicFramePr>
        <xdr:cNvPr id="2" name="Chart 1">
          <a:extLst>
            <a:ext uri="{FF2B5EF4-FFF2-40B4-BE49-F238E27FC236}">
              <a16:creationId xmlns:a16="http://schemas.microsoft.com/office/drawing/2014/main" id="{BDAEE539-266D-4C99-91BA-061E532E7CC2}"/>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2"/>
  <sheetViews>
    <sheetView topLeftCell="A17" zoomScale="150" zoomScaleNormal="150" workbookViewId="0">
      <selection activeCell="M20" sqref="M20"/>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125</v>
      </c>
      <c r="B1" s="1"/>
      <c r="C1" s="2"/>
      <c r="D1"/>
    </row>
    <row r="2" spans="1:12" x14ac:dyDescent="0.35">
      <c r="A2" s="1"/>
      <c r="B2" s="1"/>
      <c r="C2" s="2"/>
      <c r="D2"/>
    </row>
    <row r="3" spans="1:12" x14ac:dyDescent="0.35">
      <c r="A3" s="1" t="s">
        <v>39</v>
      </c>
      <c r="B3" s="1"/>
      <c r="C3" s="2"/>
      <c r="D3"/>
    </row>
    <row r="4" spans="1:12" ht="164.5" customHeight="1" x14ac:dyDescent="0.35">
      <c r="A4" s="53" t="s">
        <v>118</v>
      </c>
      <c r="B4" s="53"/>
      <c r="C4" s="53"/>
      <c r="D4" s="53"/>
      <c r="E4" s="53"/>
      <c r="F4" s="53"/>
      <c r="G4" s="53"/>
      <c r="H4" s="53"/>
      <c r="I4" s="53"/>
      <c r="J4" s="53"/>
      <c r="K4" s="53"/>
      <c r="L4" s="53"/>
    </row>
    <row r="5" spans="1:12" ht="13.5" customHeight="1" x14ac:dyDescent="0.35">
      <c r="B5" s="16"/>
      <c r="C5" s="16"/>
      <c r="D5" s="16"/>
      <c r="E5" s="16"/>
      <c r="F5" s="16"/>
      <c r="G5" s="16"/>
      <c r="H5" s="16"/>
      <c r="I5" s="16"/>
      <c r="J5" s="16"/>
      <c r="K5" s="16"/>
      <c r="L5" s="16"/>
    </row>
    <row r="6" spans="1:12" ht="16.5" customHeight="1" x14ac:dyDescent="0.35">
      <c r="A6" s="57" t="s">
        <v>123</v>
      </c>
      <c r="B6" s="58"/>
      <c r="C6" s="58"/>
      <c r="D6" s="58"/>
      <c r="E6" s="58"/>
      <c r="F6" s="58"/>
      <c r="G6" s="58"/>
      <c r="H6" s="58"/>
      <c r="I6" s="58"/>
      <c r="J6" s="58"/>
      <c r="K6" s="58"/>
      <c r="L6" s="59"/>
    </row>
    <row r="7" spans="1:12" ht="16.5" customHeight="1" x14ac:dyDescent="0.35">
      <c r="A7" s="29">
        <v>1</v>
      </c>
      <c r="B7" s="54" t="s">
        <v>119</v>
      </c>
      <c r="C7" s="54"/>
      <c r="D7" s="54"/>
      <c r="E7" s="54"/>
      <c r="F7" s="54"/>
      <c r="G7" s="54"/>
      <c r="H7" s="54"/>
      <c r="I7" s="54"/>
      <c r="J7" s="54"/>
      <c r="K7" s="54"/>
      <c r="L7" s="55"/>
    </row>
    <row r="8" spans="1:12" ht="16.5" customHeight="1" x14ac:dyDescent="0.35">
      <c r="A8" s="29">
        <v>2</v>
      </c>
      <c r="B8" s="54" t="s">
        <v>99</v>
      </c>
      <c r="C8" s="54"/>
      <c r="D8" s="54"/>
      <c r="E8" s="54"/>
      <c r="F8" s="54"/>
      <c r="G8" s="54"/>
      <c r="H8" s="54"/>
      <c r="I8" s="54"/>
      <c r="J8" s="54"/>
      <c r="K8" s="54"/>
      <c r="L8" s="55"/>
    </row>
    <row r="9" spans="1:12" ht="16.5" customHeight="1" x14ac:dyDescent="0.35">
      <c r="A9" s="29">
        <v>3</v>
      </c>
      <c r="B9" s="54" t="s">
        <v>55</v>
      </c>
      <c r="C9" s="54"/>
      <c r="D9" s="54"/>
      <c r="E9" s="54"/>
      <c r="F9" s="54"/>
      <c r="G9" s="54"/>
      <c r="H9" s="54"/>
      <c r="I9" s="54"/>
      <c r="J9" s="54"/>
      <c r="K9" s="54"/>
      <c r="L9" s="55"/>
    </row>
    <row r="10" spans="1:12" ht="32.5" customHeight="1" x14ac:dyDescent="0.35">
      <c r="A10" s="29">
        <v>4</v>
      </c>
      <c r="B10" s="54" t="s">
        <v>100</v>
      </c>
      <c r="C10" s="54"/>
      <c r="D10" s="54"/>
      <c r="E10" s="54"/>
      <c r="F10" s="54"/>
      <c r="G10" s="54"/>
      <c r="H10" s="54"/>
      <c r="I10" s="54"/>
      <c r="J10" s="54"/>
      <c r="K10" s="54"/>
      <c r="L10" s="55"/>
    </row>
    <row r="11" spans="1:12" ht="16.5" customHeight="1" x14ac:dyDescent="0.35">
      <c r="A11" s="29">
        <v>5</v>
      </c>
      <c r="B11" s="54" t="s">
        <v>57</v>
      </c>
      <c r="C11" s="54"/>
      <c r="D11" s="54"/>
      <c r="E11" s="54"/>
      <c r="F11" s="54"/>
      <c r="G11" s="54"/>
      <c r="H11" s="54"/>
      <c r="I11" s="54"/>
      <c r="J11" s="54"/>
      <c r="K11" s="54"/>
      <c r="L11" s="55"/>
    </row>
    <row r="12" spans="1:12" ht="16.5" customHeight="1" x14ac:dyDescent="0.35">
      <c r="A12" s="29">
        <v>6</v>
      </c>
      <c r="B12" s="54" t="s">
        <v>58</v>
      </c>
      <c r="C12" s="54"/>
      <c r="D12" s="54"/>
      <c r="E12" s="54"/>
      <c r="F12" s="54"/>
      <c r="G12" s="54"/>
      <c r="H12" s="54"/>
      <c r="I12" s="54"/>
      <c r="J12" s="54"/>
      <c r="K12" s="54"/>
      <c r="L12" s="55"/>
    </row>
    <row r="13" spans="1:12" ht="32.5" customHeight="1" x14ac:dyDescent="0.35">
      <c r="A13" s="29">
        <v>7</v>
      </c>
      <c r="B13" s="54" t="s">
        <v>120</v>
      </c>
      <c r="C13" s="54"/>
      <c r="D13" s="54"/>
      <c r="E13" s="54"/>
      <c r="F13" s="54"/>
      <c r="G13" s="54"/>
      <c r="H13" s="54"/>
      <c r="I13" s="54"/>
      <c r="J13" s="54"/>
      <c r="K13" s="54"/>
      <c r="L13" s="55"/>
    </row>
    <row r="14" spans="1:12" ht="16.5" customHeight="1" x14ac:dyDescent="0.35">
      <c r="A14" s="29">
        <v>8</v>
      </c>
      <c r="B14" s="54" t="s">
        <v>121</v>
      </c>
      <c r="C14" s="54"/>
      <c r="D14" s="54"/>
      <c r="E14" s="54"/>
      <c r="F14" s="54"/>
      <c r="G14" s="54"/>
      <c r="H14" s="54"/>
      <c r="I14" s="54"/>
      <c r="J14" s="54"/>
      <c r="K14" s="54"/>
      <c r="L14" s="55"/>
    </row>
    <row r="15" spans="1:12" ht="16.5" customHeight="1" x14ac:dyDescent="0.35">
      <c r="A15" s="29">
        <v>9</v>
      </c>
      <c r="B15" s="54" t="s">
        <v>122</v>
      </c>
      <c r="C15" s="54"/>
      <c r="D15" s="54"/>
      <c r="E15" s="54"/>
      <c r="F15" s="54"/>
      <c r="G15" s="54"/>
      <c r="H15" s="54"/>
      <c r="I15" s="54"/>
      <c r="J15" s="54"/>
      <c r="K15" s="54"/>
      <c r="L15" s="55"/>
    </row>
    <row r="16" spans="1:12" ht="16.5" customHeight="1" x14ac:dyDescent="0.35">
      <c r="A16" s="29">
        <v>10</v>
      </c>
      <c r="B16" s="54" t="s">
        <v>59</v>
      </c>
      <c r="C16" s="54"/>
      <c r="D16" s="54"/>
      <c r="E16" s="54"/>
      <c r="F16" s="54"/>
      <c r="G16" s="54"/>
      <c r="H16" s="54"/>
      <c r="I16" s="54"/>
      <c r="J16" s="54"/>
      <c r="K16" s="54"/>
      <c r="L16" s="55"/>
    </row>
    <row r="17" spans="1:12" ht="16.5" customHeight="1" x14ac:dyDescent="0.35">
      <c r="A17" s="29">
        <v>11</v>
      </c>
      <c r="B17" s="60" t="s">
        <v>60</v>
      </c>
      <c r="C17" s="60"/>
      <c r="D17" s="60"/>
      <c r="E17" s="60"/>
      <c r="F17" s="60"/>
      <c r="G17" s="60"/>
      <c r="H17" s="60"/>
      <c r="I17" s="60"/>
      <c r="J17" s="60"/>
      <c r="K17" s="60"/>
      <c r="L17" s="61"/>
    </row>
    <row r="18" spans="1:12" ht="32" customHeight="1" x14ac:dyDescent="0.35">
      <c r="A18" s="29">
        <v>12</v>
      </c>
      <c r="B18" s="62" t="s">
        <v>108</v>
      </c>
      <c r="C18" s="62"/>
      <c r="D18" s="62"/>
      <c r="E18" s="62"/>
      <c r="F18" s="62"/>
      <c r="G18" s="62"/>
      <c r="H18" s="62"/>
      <c r="I18" s="62"/>
      <c r="J18" s="62"/>
      <c r="K18" s="62"/>
      <c r="L18" s="63"/>
    </row>
    <row r="19" spans="1:12" ht="16.5" customHeight="1" x14ac:dyDescent="0.35">
      <c r="B19" s="27"/>
      <c r="C19" s="27"/>
      <c r="D19" s="27"/>
      <c r="E19" s="27"/>
      <c r="F19" s="27"/>
      <c r="G19" s="27"/>
      <c r="H19" s="27"/>
      <c r="I19" s="27"/>
      <c r="J19" s="27"/>
      <c r="K19" s="27"/>
      <c r="L19" s="27"/>
    </row>
    <row r="20" spans="1:12" x14ac:dyDescent="0.35">
      <c r="A20" s="1" t="s">
        <v>101</v>
      </c>
    </row>
    <row r="21" spans="1:12" x14ac:dyDescent="0.35">
      <c r="B21" s="2" t="s">
        <v>102</v>
      </c>
      <c r="C21" t="s">
        <v>103</v>
      </c>
    </row>
    <row r="22" spans="1:12" x14ac:dyDescent="0.35">
      <c r="B22" s="2" t="s">
        <v>160</v>
      </c>
      <c r="C22" t="s">
        <v>167</v>
      </c>
    </row>
    <row r="23" spans="1:12" x14ac:dyDescent="0.35">
      <c r="B23" s="2" t="s">
        <v>161</v>
      </c>
      <c r="C23" t="s">
        <v>166</v>
      </c>
    </row>
    <row r="24" spans="1:12" x14ac:dyDescent="0.35">
      <c r="B24" s="2" t="s">
        <v>162</v>
      </c>
      <c r="C24" t="s">
        <v>165</v>
      </c>
    </row>
    <row r="25" spans="1:12" x14ac:dyDescent="0.35">
      <c r="B25" s="2" t="s">
        <v>163</v>
      </c>
      <c r="C25" t="s">
        <v>164</v>
      </c>
    </row>
    <row r="26" spans="1:12" x14ac:dyDescent="0.35">
      <c r="B26" s="2" t="s">
        <v>157</v>
      </c>
      <c r="C26" t="s">
        <v>158</v>
      </c>
    </row>
    <row r="27" spans="1:12" x14ac:dyDescent="0.35">
      <c r="B27" s="2" t="s">
        <v>104</v>
      </c>
      <c r="C27" t="s">
        <v>105</v>
      </c>
    </row>
    <row r="28" spans="1:12" x14ac:dyDescent="0.35">
      <c r="B28" s="2" t="s">
        <v>106</v>
      </c>
      <c r="C28" t="s">
        <v>107</v>
      </c>
    </row>
    <row r="31" spans="1:12" x14ac:dyDescent="0.35">
      <c r="A31" s="1" t="s">
        <v>51</v>
      </c>
    </row>
    <row r="32" spans="1:12" ht="30.5" customHeight="1" x14ac:dyDescent="0.35">
      <c r="A32" s="56" t="s">
        <v>124</v>
      </c>
      <c r="B32" s="56"/>
      <c r="C32" s="56"/>
      <c r="D32" s="56"/>
      <c r="E32" s="56"/>
      <c r="F32" s="56"/>
      <c r="G32" s="56"/>
      <c r="H32" s="56"/>
      <c r="I32" s="56"/>
      <c r="J32" s="56"/>
      <c r="K32" s="56"/>
      <c r="L32" s="56"/>
    </row>
  </sheetData>
  <mergeCells count="15">
    <mergeCell ref="A32:L32"/>
    <mergeCell ref="A6:L6"/>
    <mergeCell ref="B10:L10"/>
    <mergeCell ref="B7:L7"/>
    <mergeCell ref="B8:L8"/>
    <mergeCell ref="B14:L14"/>
    <mergeCell ref="B15:L15"/>
    <mergeCell ref="B16:L16"/>
    <mergeCell ref="B17:L17"/>
    <mergeCell ref="B18:L18"/>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R62"/>
  <sheetViews>
    <sheetView topLeftCell="A14" zoomScale="150" zoomScaleNormal="150" workbookViewId="0">
      <selection activeCell="C49" sqref="C49:G5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64"/>
      <c r="D5" s="64"/>
      <c r="E5" s="64"/>
      <c r="F5" s="64"/>
      <c r="G5" s="64"/>
      <c r="H5" s="64"/>
    </row>
    <row r="6" spans="1:11" x14ac:dyDescent="0.35">
      <c r="A6" s="17" t="s">
        <v>41</v>
      </c>
      <c r="B6" s="13"/>
      <c r="C6" s="64"/>
      <c r="D6" s="64"/>
      <c r="E6" s="64"/>
      <c r="F6" s="64"/>
      <c r="G6" s="64"/>
      <c r="H6" s="64"/>
    </row>
    <row r="7" spans="1:11" x14ac:dyDescent="0.35">
      <c r="A7" s="17" t="s">
        <v>42</v>
      </c>
      <c r="B7" s="13"/>
      <c r="C7" s="64"/>
      <c r="D7" s="64"/>
      <c r="E7" s="64"/>
      <c r="F7" s="64"/>
      <c r="G7" s="64"/>
      <c r="H7" s="64"/>
    </row>
    <row r="8" spans="1:11" x14ac:dyDescent="0.35">
      <c r="A8" s="17" t="s">
        <v>43</v>
      </c>
      <c r="B8" s="13"/>
      <c r="C8" s="64"/>
      <c r="D8" s="64"/>
      <c r="E8" s="64"/>
      <c r="F8" s="64"/>
      <c r="G8" s="64"/>
      <c r="H8" s="64"/>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c r="D22" s="12"/>
      <c r="E22" s="12"/>
      <c r="F22" s="12"/>
      <c r="G22" s="12"/>
      <c r="H22" s="12">
        <f t="shared" ref="H22:L22" si="0">G22</f>
        <v>0</v>
      </c>
      <c r="I22" s="12">
        <f t="shared" si="0"/>
        <v>0</v>
      </c>
      <c r="J22" s="12">
        <f t="shared" si="0"/>
        <v>0</v>
      </c>
      <c r="K22" s="12">
        <f t="shared" si="0"/>
        <v>0</v>
      </c>
      <c r="L22" s="12">
        <f t="shared" si="0"/>
        <v>0</v>
      </c>
    </row>
    <row r="23" spans="1:13" x14ac:dyDescent="0.35">
      <c r="A23" s="1" t="s">
        <v>138</v>
      </c>
      <c r="B23" s="1"/>
      <c r="C23" s="12" t="str">
        <f>IF(C$22&lt;&gt;"",0.8,"")</f>
        <v/>
      </c>
      <c r="D23" s="12" t="str">
        <f t="shared" ref="D23:L23" si="1">IF(D$22&lt;&gt;"",0.8,"")</f>
        <v/>
      </c>
      <c r="E23" s="12" t="str">
        <f t="shared" si="1"/>
        <v/>
      </c>
      <c r="F23" s="12" t="str">
        <f t="shared" si="1"/>
        <v/>
      </c>
      <c r="G23" s="12" t="str">
        <f t="shared" si="1"/>
        <v/>
      </c>
      <c r="H23" s="12">
        <f t="shared" si="1"/>
        <v>0.8</v>
      </c>
      <c r="I23" s="12">
        <f t="shared" si="1"/>
        <v>0.8</v>
      </c>
      <c r="J23" s="12">
        <f t="shared" si="1"/>
        <v>0.8</v>
      </c>
      <c r="K23" s="12">
        <f t="shared" si="1"/>
        <v>0.8</v>
      </c>
      <c r="L23" s="12">
        <f t="shared" si="1"/>
        <v>0.8</v>
      </c>
    </row>
    <row r="24" spans="1:13" x14ac:dyDescent="0.35">
      <c r="A24" s="1" t="s">
        <v>141</v>
      </c>
      <c r="B24" s="1"/>
      <c r="C24" s="15" t="str">
        <f>IF(C$22&lt;&gt;"",SUM(C25:C27),"")</f>
        <v/>
      </c>
      <c r="D24" s="15" t="str">
        <f>IF(D$22&lt;&gt;"",C57,"")</f>
        <v/>
      </c>
      <c r="E24" s="15" t="str">
        <f t="shared" ref="E24:L24" si="2">IF(E$22&lt;&gt;"",D57,"")</f>
        <v/>
      </c>
      <c r="F24" s="15" t="str">
        <f t="shared" si="2"/>
        <v/>
      </c>
      <c r="G24" s="15" t="str">
        <f t="shared" si="2"/>
        <v/>
      </c>
      <c r="H24" s="15" t="str">
        <f t="shared" si="2"/>
        <v/>
      </c>
      <c r="I24" s="15" t="e">
        <f t="shared" si="2"/>
        <v>#VALUE!</v>
      </c>
      <c r="J24" s="15" t="e">
        <f t="shared" si="2"/>
        <v>#VALUE!</v>
      </c>
      <c r="K24" s="15" t="e">
        <f t="shared" si="2"/>
        <v>#VALUE!</v>
      </c>
      <c r="L24" s="15" t="e">
        <f t="shared" si="2"/>
        <v>#VALUE!</v>
      </c>
    </row>
    <row r="25" spans="1:13" x14ac:dyDescent="0.35">
      <c r="A25" t="s">
        <v>133</v>
      </c>
      <c r="C25" s="15" t="str">
        <f>IF(C$22&lt;&gt;"",$B$19,"")</f>
        <v/>
      </c>
      <c r="D25" s="15" t="str">
        <f>IF(D22&lt;&gt;"",C54,"")</f>
        <v/>
      </c>
      <c r="E25" s="15" t="str">
        <f t="shared" ref="E25:L25" si="3">IF(E22&lt;&gt;"",D54,"")</f>
        <v/>
      </c>
      <c r="F25" s="15" t="str">
        <f t="shared" si="3"/>
        <v/>
      </c>
      <c r="G25" s="15" t="str">
        <f t="shared" si="3"/>
        <v/>
      </c>
      <c r="H25" s="15" t="str">
        <f t="shared" si="3"/>
        <v/>
      </c>
      <c r="I25" s="15" t="e">
        <f t="shared" si="3"/>
        <v>#VALUE!</v>
      </c>
      <c r="J25" s="15" t="e">
        <f t="shared" si="3"/>
        <v>#VALUE!</v>
      </c>
      <c r="K25" s="15" t="e">
        <f t="shared" si="3"/>
        <v>#VALUE!</v>
      </c>
      <c r="L25" s="15" t="e">
        <f t="shared" si="3"/>
        <v>#VALUE!</v>
      </c>
    </row>
    <row r="26" spans="1:13" x14ac:dyDescent="0.35">
      <c r="A26" t="s">
        <v>134</v>
      </c>
      <c r="C26" s="15" t="str">
        <f>IF(C$22&lt;&gt;"",$C$19,"")</f>
        <v/>
      </c>
      <c r="D26" s="15" t="str">
        <f>IF(D23&lt;&gt;"",C55,"")</f>
        <v/>
      </c>
      <c r="E26" s="15" t="str">
        <f t="shared" ref="E26:L27" si="4">IF(E23&lt;&gt;"",D55,"")</f>
        <v/>
      </c>
      <c r="F26" s="15" t="str">
        <f t="shared" si="4"/>
        <v/>
      </c>
      <c r="G26" s="15" t="str">
        <f t="shared" si="4"/>
        <v/>
      </c>
      <c r="H26" s="15" t="str">
        <f t="shared" si="4"/>
        <v/>
      </c>
      <c r="I26" s="15" t="e">
        <f t="shared" si="4"/>
        <v>#VALUE!</v>
      </c>
      <c r="J26" s="15" t="e">
        <f t="shared" si="4"/>
        <v>#VALUE!</v>
      </c>
      <c r="K26" s="15" t="e">
        <f t="shared" si="4"/>
        <v>#VALUE!</v>
      </c>
      <c r="L26" s="15" t="e">
        <f t="shared" si="4"/>
        <v>#VALUE!</v>
      </c>
    </row>
    <row r="27" spans="1:13" x14ac:dyDescent="0.35">
      <c r="A27" t="s">
        <v>32</v>
      </c>
      <c r="C27" s="15" t="str">
        <f>IF(C22&lt;&gt;"",0,"")</f>
        <v/>
      </c>
      <c r="D27" s="15" t="str">
        <f>IF(D24&lt;&gt;"",C56,"")</f>
        <v/>
      </c>
      <c r="E27" s="15" t="str">
        <f t="shared" si="4"/>
        <v/>
      </c>
      <c r="F27" s="15" t="str">
        <f t="shared" si="4"/>
        <v/>
      </c>
      <c r="G27" s="15" t="str">
        <f t="shared" si="4"/>
        <v/>
      </c>
      <c r="H27" s="15" t="str">
        <f t="shared" si="4"/>
        <v/>
      </c>
      <c r="I27" s="15" t="e">
        <f t="shared" si="4"/>
        <v>#VALUE!</v>
      </c>
      <c r="J27" s="15" t="e">
        <f t="shared" si="4"/>
        <v>#VALUE!</v>
      </c>
      <c r="K27" s="15" t="e">
        <f t="shared" si="4"/>
        <v>#VALUE!</v>
      </c>
      <c r="L27" s="15" t="e">
        <f t="shared" si="4"/>
        <v>#VALUE!</v>
      </c>
    </row>
    <row r="28" spans="1:13" x14ac:dyDescent="0.35">
      <c r="A28" s="1" t="s">
        <v>132</v>
      </c>
      <c r="C28"/>
    </row>
    <row r="29" spans="1:13" x14ac:dyDescent="0.35">
      <c r="A29" t="s">
        <v>130</v>
      </c>
      <c r="B29" s="37">
        <v>0.5</v>
      </c>
      <c r="C29" s="15" t="str">
        <f>C25</f>
        <v/>
      </c>
      <c r="D29" s="15" t="str">
        <f t="shared" ref="D29:L29" si="5">IF(D22&lt;&gt;"",$B29*D$24,"")</f>
        <v/>
      </c>
      <c r="E29" s="15" t="str">
        <f t="shared" si="5"/>
        <v/>
      </c>
      <c r="F29" s="15" t="str">
        <f t="shared" si="5"/>
        <v/>
      </c>
      <c r="G29" s="15" t="str">
        <f t="shared" si="5"/>
        <v/>
      </c>
      <c r="H29" s="15" t="e">
        <f t="shared" si="5"/>
        <v>#VALUE!</v>
      </c>
      <c r="I29" s="15" t="e">
        <f t="shared" si="5"/>
        <v>#VALUE!</v>
      </c>
      <c r="J29" s="15" t="e">
        <f t="shared" si="5"/>
        <v>#VALUE!</v>
      </c>
      <c r="K29" s="15" t="e">
        <f t="shared" si="5"/>
        <v>#VALUE!</v>
      </c>
      <c r="L29" s="15" t="e">
        <f t="shared" si="5"/>
        <v>#VALUE!</v>
      </c>
    </row>
    <row r="30" spans="1:13" x14ac:dyDescent="0.35">
      <c r="A30" t="s">
        <v>131</v>
      </c>
      <c r="B30" s="37">
        <f>1-B29</f>
        <v>0.5</v>
      </c>
      <c r="C30" s="15" t="str">
        <f>C26</f>
        <v/>
      </c>
      <c r="D30" s="15" t="str">
        <f t="shared" ref="D30:L30" si="6">IF(D23&lt;&gt;"",$B30*D$24,"")</f>
        <v/>
      </c>
      <c r="E30" s="15" t="str">
        <f t="shared" si="6"/>
        <v/>
      </c>
      <c r="F30" s="15" t="str">
        <f t="shared" si="6"/>
        <v/>
      </c>
      <c r="G30" s="15" t="str">
        <f t="shared" si="6"/>
        <v/>
      </c>
      <c r="H30" s="15" t="e">
        <f t="shared" si="6"/>
        <v>#VALUE!</v>
      </c>
      <c r="I30" s="15" t="e">
        <f t="shared" si="6"/>
        <v>#VALUE!</v>
      </c>
      <c r="J30" s="15" t="e">
        <f t="shared" si="6"/>
        <v>#VALUE!</v>
      </c>
      <c r="K30" s="15" t="e">
        <f t="shared" si="6"/>
        <v>#VALUE!</v>
      </c>
      <c r="L30" s="15" t="e">
        <f t="shared" si="6"/>
        <v>#VALUE!</v>
      </c>
    </row>
    <row r="31" spans="1:13" x14ac:dyDescent="0.35">
      <c r="A31" s="1" t="s">
        <v>136</v>
      </c>
      <c r="B31" s="1"/>
      <c r="C31" s="15" t="str">
        <f>IF(C$22&lt;&gt;"",VLOOKUP(C29*1000000,'Powell-Elevation-Area'!$B$5:$D$689,3)*$B$18/1000000 + VLOOKUP(C30*1000000,'Mead-Elevation-Area'!$B$5:$D$676,3)*$C$18/1000000,"")</f>
        <v/>
      </c>
      <c r="D31" s="15" t="str">
        <f>IF(D$22&lt;&gt;"",VLOOKUP(D29*1000000,'Powell-Elevation-Area'!$B$5:$D$689,3)*$B$18/1000000 + VLOOKUP(D30*1000000,'Mead-Elevation-Area'!$B$5:$D$676,3)*$C$18/1000000,"")</f>
        <v/>
      </c>
      <c r="E31" s="15" t="str">
        <f>IF(E$22&lt;&gt;"",VLOOKUP(E29*1000000,'Powell-Elevation-Area'!$B$5:$D$689,3)*$B$18/1000000 + VLOOKUP(E30*1000000,'Mead-Elevation-Area'!$B$5:$D$676,3)*$C$18/1000000,"")</f>
        <v/>
      </c>
      <c r="F31" s="15" t="str">
        <f>IF(F$22&lt;&gt;"",VLOOKUP(F29*1000000,'Powell-Elevation-Area'!$B$5:$D$689,3)*$B$18/1000000 + VLOOKUP(F30*1000000,'Mead-Elevation-Area'!$B$5:$D$676,3)*$C$18/1000000,"")</f>
        <v/>
      </c>
      <c r="G31" s="15" t="str">
        <f>IF(G$22&lt;&gt;"",VLOOKUP(G29*1000000,'Powell-Elevation-Area'!$B$5:$D$689,3)*$B$18/1000000 + VLOOKUP(G30*1000000,'Mead-Elevation-Area'!$B$5:$D$676,3)*$C$18/1000000,"")</f>
        <v/>
      </c>
      <c r="H31" s="15" t="e">
        <f>IF(H$22&lt;&gt;"",VLOOKUP(H29*1000000,'Powell-Elevation-Area'!$B$5:$D$689,3)*$B$18/1000000 + VLOOKUP(H30*1000000,'Mead-Elevation-Area'!$B$5:$D$676,3)*$C$18/1000000,"")</f>
        <v>#VALUE!</v>
      </c>
      <c r="I31" s="15" t="e">
        <f>IF(I$22&lt;&gt;"",VLOOKUP(I29*1000000,'Powell-Elevation-Area'!$B$5:$D$689,3)*$B$18/1000000 + VLOOKUP(I30*1000000,'Mead-Elevation-Area'!$B$5:$D$676,3)*$C$18/1000000,"")</f>
        <v>#VALUE!</v>
      </c>
      <c r="J31" s="15" t="e">
        <f>IF(J$22&lt;&gt;"",VLOOKUP(J29*1000000,'Powell-Elevation-Area'!$B$5:$D$689,3)*$B$18/1000000 + VLOOKUP(J30*1000000,'Mead-Elevation-Area'!$B$5:$D$676,3)*$C$18/1000000,"")</f>
        <v>#VALUE!</v>
      </c>
      <c r="K31" s="15" t="e">
        <f>IF(K$22&lt;&gt;"",VLOOKUP(K29*1000000,'Powell-Elevation-Area'!$B$5:$D$689,3)*$B$18/1000000 + VLOOKUP(K30*1000000,'Mead-Elevation-Area'!$B$5:$D$676,3)*$C$18/1000000,"")</f>
        <v>#VALUE!</v>
      </c>
      <c r="L31" s="15" t="e">
        <f>IF(L$22&lt;&gt;"",VLOOKUP(L29*1000000,'Powell-Elevation-Area'!$B$5:$D$689,3)*$B$18/1000000 + VLOOKUP(L30*1000000,'Mead-Elevation-Area'!$B$5:$D$676,3)*$C$18/1000000,"")</f>
        <v>#VALUE!</v>
      </c>
    </row>
    <row r="32" spans="1:13" x14ac:dyDescent="0.35">
      <c r="A32" t="s">
        <v>109</v>
      </c>
      <c r="B32" s="1"/>
      <c r="C32" s="15" t="str">
        <f>IF(C$22&lt;&gt;"",C$31*C25/C$24,"")</f>
        <v/>
      </c>
      <c r="D32" s="15" t="str">
        <f t="shared" ref="D32:L32" si="7">IF(D$22&lt;&gt;"",D$31*D25/D$24,"")</f>
        <v/>
      </c>
      <c r="E32" s="15" t="str">
        <f t="shared" si="7"/>
        <v/>
      </c>
      <c r="F32" s="15" t="str">
        <f t="shared" si="7"/>
        <v/>
      </c>
      <c r="G32" s="15" t="str">
        <f t="shared" si="7"/>
        <v/>
      </c>
      <c r="H32" s="15" t="e">
        <f t="shared" si="7"/>
        <v>#VALUE!</v>
      </c>
      <c r="I32" s="15" t="e">
        <f t="shared" si="7"/>
        <v>#VALUE!</v>
      </c>
      <c r="J32" s="15" t="e">
        <f t="shared" si="7"/>
        <v>#VALUE!</v>
      </c>
      <c r="K32" s="15" t="e">
        <f t="shared" si="7"/>
        <v>#VALUE!</v>
      </c>
      <c r="L32" s="15" t="e">
        <f t="shared" si="7"/>
        <v>#VALUE!</v>
      </c>
    </row>
    <row r="33" spans="1:13" x14ac:dyDescent="0.35">
      <c r="A33" t="s">
        <v>110</v>
      </c>
      <c r="B33" s="1"/>
      <c r="C33" s="15" t="str">
        <f>IF(C$22&lt;&gt;"",C$31*C26/C$24,"")</f>
        <v/>
      </c>
      <c r="D33" s="15" t="str">
        <f t="shared" ref="D33:L33" si="8">IF(D$22&lt;&gt;"",D$31*D26/D$24,"")</f>
        <v/>
      </c>
      <c r="E33" s="15" t="str">
        <f t="shared" si="8"/>
        <v/>
      </c>
      <c r="F33" s="15" t="str">
        <f t="shared" si="8"/>
        <v/>
      </c>
      <c r="G33" s="15" t="str">
        <f t="shared" si="8"/>
        <v/>
      </c>
      <c r="H33" s="15" t="e">
        <f t="shared" si="8"/>
        <v>#VALUE!</v>
      </c>
      <c r="I33" s="15" t="e">
        <f t="shared" si="8"/>
        <v>#VALUE!</v>
      </c>
      <c r="J33" s="15" t="e">
        <f t="shared" si="8"/>
        <v>#VALUE!</v>
      </c>
      <c r="K33" s="15" t="e">
        <f t="shared" si="8"/>
        <v>#VALUE!</v>
      </c>
      <c r="L33" s="15" t="e">
        <f t="shared" si="8"/>
        <v>#VALUE!</v>
      </c>
    </row>
    <row r="34" spans="1:13" x14ac:dyDescent="0.35">
      <c r="A34" t="s">
        <v>111</v>
      </c>
      <c r="B34" s="1"/>
      <c r="C34" s="15" t="str">
        <f>IF(C$22&lt;&gt;"",C$31*C27/C$24,"")</f>
        <v/>
      </c>
      <c r="D34" s="15" t="str">
        <f t="shared" ref="D34:L34" si="9">IF(D$22&lt;&gt;"",D$31*D27/D$24,"")</f>
        <v/>
      </c>
      <c r="E34" s="15" t="str">
        <f t="shared" si="9"/>
        <v/>
      </c>
      <c r="F34" s="15" t="str">
        <f t="shared" si="9"/>
        <v/>
      </c>
      <c r="G34" s="15" t="str">
        <f t="shared" si="9"/>
        <v/>
      </c>
      <c r="H34" s="15" t="e">
        <f t="shared" si="9"/>
        <v>#VALUE!</v>
      </c>
      <c r="I34" s="15" t="e">
        <f t="shared" si="9"/>
        <v>#VALUE!</v>
      </c>
      <c r="J34" s="15" t="e">
        <f t="shared" si="9"/>
        <v>#VALUE!</v>
      </c>
      <c r="K34" s="15" t="e">
        <f t="shared" si="9"/>
        <v>#VALUE!</v>
      </c>
      <c r="L34" s="15" t="e">
        <f t="shared" si="9"/>
        <v>#VALUE!</v>
      </c>
    </row>
    <row r="35" spans="1:13" x14ac:dyDescent="0.35">
      <c r="A35" s="1" t="s">
        <v>135</v>
      </c>
      <c r="B35" s="1"/>
      <c r="C35" s="26" t="str">
        <f>IF(C22&lt;&gt;"",1.5,"")</f>
        <v/>
      </c>
      <c r="D35" s="26" t="str">
        <f t="shared" ref="D35:L35" si="10">IF(D22&lt;&gt;"",1.5,"")</f>
        <v/>
      </c>
      <c r="E35" s="26" t="str">
        <f t="shared" si="10"/>
        <v/>
      </c>
      <c r="F35" s="26" t="str">
        <f t="shared" si="10"/>
        <v/>
      </c>
      <c r="G35" s="26" t="str">
        <f t="shared" si="10"/>
        <v/>
      </c>
      <c r="H35" s="26">
        <f t="shared" si="10"/>
        <v>1.5</v>
      </c>
      <c r="I35" s="26">
        <f t="shared" si="10"/>
        <v>1.5</v>
      </c>
      <c r="J35" s="26">
        <f t="shared" si="10"/>
        <v>1.5</v>
      </c>
      <c r="K35" s="26">
        <f t="shared" si="10"/>
        <v>1.5</v>
      </c>
      <c r="L35" s="26">
        <f t="shared" si="10"/>
        <v>1.5</v>
      </c>
    </row>
    <row r="36" spans="1:13" x14ac:dyDescent="0.35">
      <c r="A36" s="1" t="s">
        <v>150</v>
      </c>
      <c r="B36" s="1"/>
      <c r="C36" s="15" t="str">
        <f>IF(C$22&lt;&gt;"",C22-C35/2,"")</f>
        <v/>
      </c>
      <c r="D36" s="15" t="str">
        <f t="shared" ref="D36:L36" si="11">IF(D$22&lt;&gt;"",D22-D35/2,"")</f>
        <v/>
      </c>
      <c r="E36" s="15" t="str">
        <f t="shared" si="11"/>
        <v/>
      </c>
      <c r="F36" s="15" t="str">
        <f t="shared" si="11"/>
        <v/>
      </c>
      <c r="G36" s="15" t="str">
        <f t="shared" si="11"/>
        <v/>
      </c>
      <c r="H36" s="15">
        <f t="shared" si="11"/>
        <v>-0.75</v>
      </c>
      <c r="I36" s="15">
        <f t="shared" si="11"/>
        <v>-0.75</v>
      </c>
      <c r="J36" s="15">
        <f t="shared" si="11"/>
        <v>-0.75</v>
      </c>
      <c r="K36" s="15">
        <f t="shared" si="11"/>
        <v>-0.75</v>
      </c>
      <c r="L36" s="15">
        <f t="shared" si="11"/>
        <v>-0.75</v>
      </c>
    </row>
    <row r="37" spans="1:13" x14ac:dyDescent="0.35">
      <c r="A37" t="s">
        <v>0</v>
      </c>
      <c r="B37" s="25"/>
      <c r="C37" s="15" t="str">
        <f>IF(C22&lt;&gt;"",MAX(0,C36-C38),"")</f>
        <v/>
      </c>
      <c r="D37" s="15" t="str">
        <f t="shared" ref="D37:L37" si="12">IF(D22&lt;&gt;"",MAX(0,D36-D38),"")</f>
        <v/>
      </c>
      <c r="E37" s="15" t="str">
        <f t="shared" si="12"/>
        <v/>
      </c>
      <c r="F37" s="15" t="str">
        <f t="shared" si="12"/>
        <v/>
      </c>
      <c r="G37" s="15" t="str">
        <f t="shared" si="12"/>
        <v/>
      </c>
      <c r="H37" s="15">
        <f t="shared" si="12"/>
        <v>0</v>
      </c>
      <c r="I37" s="15">
        <f t="shared" si="12"/>
        <v>0</v>
      </c>
      <c r="J37" s="15">
        <f t="shared" si="12"/>
        <v>0</v>
      </c>
      <c r="K37" s="15">
        <f t="shared" si="12"/>
        <v>0</v>
      </c>
      <c r="L37" s="15">
        <f t="shared" si="12"/>
        <v>0</v>
      </c>
    </row>
    <row r="38" spans="1:13" x14ac:dyDescent="0.35">
      <c r="A38" t="s">
        <v>1</v>
      </c>
      <c r="B38" s="46">
        <v>7.5</v>
      </c>
      <c r="C38" s="15" t="str">
        <f>IF(C22&lt;&gt;"",IF(C36&gt;$B38,$B38,C36),"")</f>
        <v/>
      </c>
      <c r="D38" s="15" t="str">
        <f t="shared" ref="D38:L38" si="13">IF(D22&lt;&gt;"",IF(D36&gt;$B38,$B38,D36),"")</f>
        <v/>
      </c>
      <c r="E38" s="15" t="str">
        <f t="shared" si="13"/>
        <v/>
      </c>
      <c r="F38" s="15" t="str">
        <f t="shared" si="13"/>
        <v/>
      </c>
      <c r="G38" s="15" t="str">
        <f t="shared" si="13"/>
        <v/>
      </c>
      <c r="H38" s="15">
        <f t="shared" si="13"/>
        <v>-0.75</v>
      </c>
      <c r="I38" s="15">
        <f t="shared" si="13"/>
        <v>-0.75</v>
      </c>
      <c r="J38" s="15">
        <f t="shared" si="13"/>
        <v>-0.75</v>
      </c>
      <c r="K38" s="15">
        <f t="shared" si="13"/>
        <v>-0.75</v>
      </c>
      <c r="L38" s="15">
        <f t="shared" si="13"/>
        <v>-0.75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t="str">
        <f>IF(C$22&lt;&gt;"",C25+C37-C32-C40,"")</f>
        <v/>
      </c>
      <c r="D45" s="15" t="str">
        <f t="shared" ref="D45:L45" si="14">IF(D$22&lt;&gt;"",D25+D37-D32-D40,"")</f>
        <v/>
      </c>
      <c r="E45" s="15" t="str">
        <f t="shared" si="14"/>
        <v/>
      </c>
      <c r="F45" s="15" t="str">
        <f>IF(F$22&lt;&gt;"",F25+F37-F32-F40,"")</f>
        <v/>
      </c>
      <c r="G45" s="15" t="str">
        <f t="shared" si="14"/>
        <v/>
      </c>
      <c r="H45" s="15" t="e">
        <f t="shared" si="14"/>
        <v>#VALUE!</v>
      </c>
      <c r="I45" s="15" t="e">
        <f t="shared" si="14"/>
        <v>#VALUE!</v>
      </c>
      <c r="J45" s="15" t="e">
        <f t="shared" si="14"/>
        <v>#VALUE!</v>
      </c>
      <c r="K45" s="15" t="e">
        <f t="shared" si="14"/>
        <v>#VALUE!</v>
      </c>
      <c r="L45" s="15" t="e">
        <f t="shared" si="14"/>
        <v>#VALUE!</v>
      </c>
    </row>
    <row r="46" spans="1:13" x14ac:dyDescent="0.35">
      <c r="A46" t="s">
        <v>3</v>
      </c>
      <c r="C46" s="15" t="str">
        <f>IF(C$22&lt;&gt;"",C26+C38-C33+C40+C42+C23-C35/2,"")</f>
        <v/>
      </c>
      <c r="D46" s="15" t="str">
        <f t="shared" ref="D46:L46" si="15">IF(D$22&lt;&gt;"",D26+D38-D33+D40+D42+D23-D35/2,"")</f>
        <v/>
      </c>
      <c r="E46" s="15" t="str">
        <f t="shared" si="15"/>
        <v/>
      </c>
      <c r="F46" s="15" t="str">
        <f t="shared" si="15"/>
        <v/>
      </c>
      <c r="G46" s="15" t="str">
        <f t="shared" si="15"/>
        <v/>
      </c>
      <c r="H46" s="15" t="e">
        <f t="shared" si="15"/>
        <v>#VALUE!</v>
      </c>
      <c r="I46" s="15" t="e">
        <f t="shared" si="15"/>
        <v>#VALUE!</v>
      </c>
      <c r="J46" s="15" t="e">
        <f t="shared" si="15"/>
        <v>#VALUE!</v>
      </c>
      <c r="K46" s="15" t="e">
        <f t="shared" si="15"/>
        <v>#VALUE!</v>
      </c>
      <c r="L46" s="15" t="e">
        <f t="shared" si="15"/>
        <v>#VALUE!</v>
      </c>
    </row>
    <row r="47" spans="1:13" x14ac:dyDescent="0.35">
      <c r="A47" t="s">
        <v>4</v>
      </c>
      <c r="C47" s="15" t="str">
        <f>IF(C$22&lt;&gt;"",C27+C35-C34-C42,"")</f>
        <v/>
      </c>
      <c r="D47" s="15" t="str">
        <f t="shared" ref="D47:L47" si="16">IF(D$22&lt;&gt;"",D27+D35-D34-D42,"")</f>
        <v/>
      </c>
      <c r="E47" s="15" t="str">
        <f t="shared" si="16"/>
        <v/>
      </c>
      <c r="F47" s="15" t="str">
        <f t="shared" si="16"/>
        <v/>
      </c>
      <c r="G47" s="15" t="str">
        <f t="shared" si="16"/>
        <v/>
      </c>
      <c r="H47" s="15" t="e">
        <f t="shared" si="16"/>
        <v>#VALUE!</v>
      </c>
      <c r="I47" s="15" t="e">
        <f t="shared" si="16"/>
        <v>#VALUE!</v>
      </c>
      <c r="J47" s="15" t="e">
        <f t="shared" si="16"/>
        <v>#VALUE!</v>
      </c>
      <c r="K47" s="15" t="e">
        <f t="shared" si="16"/>
        <v>#VALUE!</v>
      </c>
      <c r="L47" s="15" t="e">
        <f t="shared" si="16"/>
        <v>#VALUE!</v>
      </c>
    </row>
    <row r="48" spans="1:13" x14ac:dyDescent="0.35">
      <c r="A48" s="1" t="s">
        <v>151</v>
      </c>
      <c r="B48" s="1"/>
      <c r="C48" s="30"/>
      <c r="D48" s="2"/>
      <c r="E48" s="2"/>
      <c r="F48" s="2"/>
      <c r="G48" s="2"/>
      <c r="H48" s="2"/>
      <c r="I48" s="2"/>
      <c r="J48" s="2"/>
      <c r="K48" s="2"/>
      <c r="L48" s="2"/>
    </row>
    <row r="49" spans="1:18" x14ac:dyDescent="0.35">
      <c r="A49" t="s">
        <v>152</v>
      </c>
      <c r="C49" s="45"/>
      <c r="D49" s="45"/>
      <c r="E49" s="45"/>
      <c r="F49" s="45"/>
      <c r="G49" s="45"/>
      <c r="H49" s="26">
        <v>2</v>
      </c>
      <c r="I49" s="26">
        <v>2</v>
      </c>
      <c r="J49" s="26">
        <v>2</v>
      </c>
      <c r="K49" s="26">
        <v>2</v>
      </c>
      <c r="L49" s="26">
        <v>2</v>
      </c>
      <c r="N49" s="1" t="s">
        <v>144</v>
      </c>
    </row>
    <row r="50" spans="1:18" x14ac:dyDescent="0.35">
      <c r="A50" t="s">
        <v>153</v>
      </c>
      <c r="C50" s="45"/>
      <c r="D50" s="45"/>
      <c r="E50" s="45"/>
      <c r="F50" s="45"/>
      <c r="G50" s="45"/>
      <c r="H50" s="45">
        <f t="shared" ref="H50:L50" si="17">G50</f>
        <v>0</v>
      </c>
      <c r="I50" s="45">
        <f t="shared" si="17"/>
        <v>0</v>
      </c>
      <c r="J50" s="45">
        <f t="shared" si="17"/>
        <v>0</v>
      </c>
      <c r="K50" s="45">
        <f t="shared" si="17"/>
        <v>0</v>
      </c>
      <c r="L50" s="45">
        <f t="shared" si="17"/>
        <v>0</v>
      </c>
      <c r="N50" s="39" t="s">
        <v>145</v>
      </c>
      <c r="O50" s="39" t="s">
        <v>146</v>
      </c>
      <c r="P50" s="40" t="s">
        <v>147</v>
      </c>
      <c r="Q50" s="40" t="s">
        <v>148</v>
      </c>
      <c r="R50" s="39" t="s">
        <v>149</v>
      </c>
    </row>
    <row r="51" spans="1:18" x14ac:dyDescent="0.35">
      <c r="A51" t="s">
        <v>154</v>
      </c>
      <c r="C51" s="12"/>
      <c r="D51" s="12"/>
      <c r="E51" s="12"/>
      <c r="F51" s="12"/>
      <c r="G51" s="12"/>
      <c r="H51" s="12">
        <f t="shared" ref="H51:L51" si="18">IF(H$22&lt;&gt;"",0.6,"")</f>
        <v>0.6</v>
      </c>
      <c r="I51" s="12">
        <f t="shared" si="18"/>
        <v>0.6</v>
      </c>
      <c r="J51" s="12">
        <f t="shared" si="18"/>
        <v>0.6</v>
      </c>
      <c r="K51" s="12">
        <f t="shared" si="18"/>
        <v>0.6</v>
      </c>
      <c r="L51" s="12">
        <f t="shared" si="18"/>
        <v>0.6</v>
      </c>
      <c r="N51" s="41">
        <v>1025</v>
      </c>
      <c r="O51" s="42">
        <v>5.981122</v>
      </c>
      <c r="P51" s="43">
        <f t="shared" ref="P51:P58" si="19">R51-Q51</f>
        <v>1.2</v>
      </c>
      <c r="Q51" s="44">
        <v>0.125</v>
      </c>
      <c r="R51" s="43">
        <v>1.325</v>
      </c>
    </row>
    <row r="52" spans="1:18" x14ac:dyDescent="0.35">
      <c r="A52" t="s">
        <v>155</v>
      </c>
      <c r="C52" s="45"/>
      <c r="D52" s="45"/>
      <c r="E52" s="45"/>
      <c r="F52" s="45"/>
      <c r="G52" s="45"/>
      <c r="H52" s="26">
        <v>1.5</v>
      </c>
      <c r="I52" s="26">
        <v>1.5</v>
      </c>
      <c r="J52" s="26">
        <v>1.5</v>
      </c>
      <c r="K52" s="26">
        <v>1.5</v>
      </c>
      <c r="L52" s="26">
        <v>1.5</v>
      </c>
      <c r="N52" s="41">
        <v>1030</v>
      </c>
      <c r="O52" s="42">
        <v>6.305377</v>
      </c>
      <c r="P52" s="43">
        <f t="shared" si="19"/>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9"/>
        <v>1.0669999999999999</v>
      </c>
      <c r="Q53" s="44">
        <v>7.0000000000000007E-2</v>
      </c>
      <c r="R53" s="43">
        <v>1.137</v>
      </c>
    </row>
    <row r="54" spans="1:18" x14ac:dyDescent="0.35">
      <c r="A54" t="s">
        <v>2</v>
      </c>
      <c r="C54" s="15" t="str">
        <f>IF(C$22&lt;&gt;"",C45-C49,"")</f>
        <v/>
      </c>
      <c r="D54" s="15" t="str">
        <f t="shared" ref="D54:L54" si="20">IF(D$22&lt;&gt;"",D45-D49,"")</f>
        <v/>
      </c>
      <c r="E54" s="15" t="str">
        <f t="shared" si="20"/>
        <v/>
      </c>
      <c r="F54" s="15" t="str">
        <f t="shared" si="20"/>
        <v/>
      </c>
      <c r="G54" s="15" t="str">
        <f t="shared" si="20"/>
        <v/>
      </c>
      <c r="H54" s="15" t="e">
        <f t="shared" si="20"/>
        <v>#VALUE!</v>
      </c>
      <c r="I54" s="15" t="e">
        <f t="shared" si="20"/>
        <v>#VALUE!</v>
      </c>
      <c r="J54" s="15" t="e">
        <f t="shared" si="20"/>
        <v>#VALUE!</v>
      </c>
      <c r="K54" s="15" t="e">
        <f t="shared" si="20"/>
        <v>#VALUE!</v>
      </c>
      <c r="L54" s="15" t="e">
        <f t="shared" si="20"/>
        <v>#VALUE!</v>
      </c>
      <c r="N54" s="41">
        <v>1040</v>
      </c>
      <c r="O54" s="42">
        <v>6.977665</v>
      </c>
      <c r="P54" s="43">
        <f t="shared" si="19"/>
        <v>1.0169999999999999</v>
      </c>
      <c r="Q54" s="44">
        <v>7.0000000000000007E-2</v>
      </c>
      <c r="R54" s="43">
        <v>1.087</v>
      </c>
    </row>
    <row r="55" spans="1:18" x14ac:dyDescent="0.35">
      <c r="A55" t="s">
        <v>3</v>
      </c>
      <c r="C55" s="15" t="str">
        <f>IF(C$22&lt;&gt;"",C46-C50-C51,"")</f>
        <v/>
      </c>
      <c r="D55" s="15" t="str">
        <f t="shared" ref="D55:L55" si="21">IF(D$22&lt;&gt;"",D46-D50-D51,"")</f>
        <v/>
      </c>
      <c r="E55" s="15" t="str">
        <f t="shared" si="21"/>
        <v/>
      </c>
      <c r="F55" s="15" t="str">
        <f t="shared" si="21"/>
        <v/>
      </c>
      <c r="G55" s="15" t="str">
        <f t="shared" si="21"/>
        <v/>
      </c>
      <c r="H55" s="15" t="e">
        <f t="shared" si="21"/>
        <v>#VALUE!</v>
      </c>
      <c r="I55" s="15" t="e">
        <f t="shared" si="21"/>
        <v>#VALUE!</v>
      </c>
      <c r="J55" s="15" t="e">
        <f t="shared" si="21"/>
        <v>#VALUE!</v>
      </c>
      <c r="K55" s="15" t="e">
        <f t="shared" si="21"/>
        <v>#VALUE!</v>
      </c>
      <c r="L55" s="15" t="e">
        <f t="shared" si="21"/>
        <v>#VALUE!</v>
      </c>
      <c r="N55" s="41">
        <v>1045</v>
      </c>
      <c r="O55" s="42">
        <v>7.3260519999999998</v>
      </c>
      <c r="P55" s="43">
        <f t="shared" si="19"/>
        <v>0.96699999999999986</v>
      </c>
      <c r="Q55" s="44">
        <v>7.0000000000000007E-2</v>
      </c>
      <c r="R55" s="43">
        <v>1.0369999999999999</v>
      </c>
    </row>
    <row r="56" spans="1:18" x14ac:dyDescent="0.35">
      <c r="A56" t="s">
        <v>4</v>
      </c>
      <c r="C56" s="15" t="str">
        <f>IF(C$22&lt;&gt;"",C47-C52,"")</f>
        <v/>
      </c>
      <c r="D56" s="15" t="str">
        <f t="shared" ref="D56:L56" si="22">IF(D$22&lt;&gt;"",D47-D52,"")</f>
        <v/>
      </c>
      <c r="E56" s="15" t="str">
        <f t="shared" si="22"/>
        <v/>
      </c>
      <c r="F56" s="15" t="str">
        <f t="shared" si="22"/>
        <v/>
      </c>
      <c r="G56" s="15" t="str">
        <f t="shared" si="22"/>
        <v/>
      </c>
      <c r="H56" s="15" t="e">
        <f t="shared" si="22"/>
        <v>#VALUE!</v>
      </c>
      <c r="I56" s="15" t="e">
        <f t="shared" si="22"/>
        <v>#VALUE!</v>
      </c>
      <c r="J56" s="15" t="e">
        <f t="shared" si="22"/>
        <v>#VALUE!</v>
      </c>
      <c r="K56" s="15" t="e">
        <f t="shared" si="22"/>
        <v>#VALUE!</v>
      </c>
      <c r="L56" s="15" t="e">
        <f t="shared" si="22"/>
        <v>#VALUE!</v>
      </c>
      <c r="N56" s="41">
        <v>1050</v>
      </c>
      <c r="O56" s="42">
        <v>7.6828779999999997</v>
      </c>
      <c r="P56" s="43">
        <f t="shared" si="19"/>
        <v>0.71700000000000008</v>
      </c>
      <c r="Q56" s="44">
        <v>7.0000000000000007E-2</v>
      </c>
      <c r="R56" s="43">
        <v>0.78700000000000003</v>
      </c>
    </row>
    <row r="57" spans="1:18" x14ac:dyDescent="0.35">
      <c r="A57" s="1" t="s">
        <v>140</v>
      </c>
      <c r="B57" s="1"/>
      <c r="C57" s="15" t="str">
        <f>IF(C$22&lt;&gt;"",SUM(C54:C56),"")</f>
        <v/>
      </c>
      <c r="D57" s="15" t="str">
        <f t="shared" ref="D57:L57" si="23">IF(D$22&lt;&gt;"",SUM(D54:D56),"")</f>
        <v/>
      </c>
      <c r="E57" s="15" t="str">
        <f t="shared" si="23"/>
        <v/>
      </c>
      <c r="F57" s="15" t="str">
        <f t="shared" si="23"/>
        <v/>
      </c>
      <c r="G57" s="15" t="str">
        <f t="shared" si="23"/>
        <v/>
      </c>
      <c r="H57" s="15" t="e">
        <f t="shared" si="23"/>
        <v>#VALUE!</v>
      </c>
      <c r="I57" s="15" t="e">
        <f t="shared" si="23"/>
        <v>#VALUE!</v>
      </c>
      <c r="J57" s="15" t="e">
        <f t="shared" si="23"/>
        <v>#VALUE!</v>
      </c>
      <c r="K57" s="15" t="e">
        <f t="shared" si="23"/>
        <v>#VALUE!</v>
      </c>
      <c r="L57" s="15" t="e">
        <f t="shared" si="23"/>
        <v>#VALUE!</v>
      </c>
      <c r="N57" s="41">
        <v>1075</v>
      </c>
      <c r="O57" s="42">
        <v>9.6009879999900001</v>
      </c>
      <c r="P57" s="43">
        <f t="shared" si="19"/>
        <v>0.63300000000000001</v>
      </c>
      <c r="Q57" s="44">
        <v>0.05</v>
      </c>
      <c r="R57" s="43">
        <v>0.68300000000000005</v>
      </c>
    </row>
    <row r="58" spans="1:18" x14ac:dyDescent="0.35">
      <c r="N58" s="41">
        <v>1090</v>
      </c>
      <c r="O58" s="42">
        <v>10.857008</v>
      </c>
      <c r="P58" s="43">
        <f t="shared" si="19"/>
        <v>0.3</v>
      </c>
      <c r="Q58" s="40"/>
      <c r="R58" s="43">
        <v>0.3</v>
      </c>
    </row>
    <row r="59" spans="1:18" x14ac:dyDescent="0.35">
      <c r="A59" s="1" t="s">
        <v>142</v>
      </c>
      <c r="C59" s="12" t="str">
        <f>IF(C$22&lt;&gt;"",0.2,"")</f>
        <v/>
      </c>
      <c r="D59" s="12" t="str">
        <f t="shared" ref="D59:L59" si="24">IF(D$22&lt;&gt;"",0.2,"")</f>
        <v/>
      </c>
      <c r="E59" s="12" t="str">
        <f t="shared" si="24"/>
        <v/>
      </c>
      <c r="F59" s="12" t="str">
        <f t="shared" si="24"/>
        <v/>
      </c>
      <c r="G59" s="12" t="str">
        <f t="shared" si="24"/>
        <v/>
      </c>
      <c r="H59" s="12">
        <f t="shared" si="24"/>
        <v>0.2</v>
      </c>
      <c r="I59" s="12">
        <f t="shared" si="24"/>
        <v>0.2</v>
      </c>
      <c r="J59" s="12">
        <f t="shared" si="24"/>
        <v>0.2</v>
      </c>
      <c r="K59" s="12">
        <f t="shared" si="24"/>
        <v>0.2</v>
      </c>
      <c r="L59" s="12">
        <f t="shared" si="24"/>
        <v>0.2</v>
      </c>
    </row>
    <row r="60" spans="1:18" x14ac:dyDescent="0.35">
      <c r="A60" t="s">
        <v>143</v>
      </c>
      <c r="C60" s="15" t="str">
        <f>IF(C$22&lt;&gt;"",C50+C59,"")</f>
        <v/>
      </c>
      <c r="D60" s="15" t="str">
        <f t="shared" ref="D60:L60" si="25">IF(D$22&lt;&gt;"",D50+D59,"")</f>
        <v/>
      </c>
      <c r="E60" s="15" t="str">
        <f t="shared" si="25"/>
        <v/>
      </c>
      <c r="F60" s="15" t="str">
        <f t="shared" si="25"/>
        <v/>
      </c>
      <c r="G60" s="15" t="str">
        <f t="shared" si="25"/>
        <v/>
      </c>
      <c r="H60" s="15">
        <f t="shared" si="25"/>
        <v>0.2</v>
      </c>
      <c r="I60" s="15">
        <f t="shared" si="25"/>
        <v>0.2</v>
      </c>
      <c r="J60" s="15">
        <f t="shared" si="25"/>
        <v>0.2</v>
      </c>
      <c r="K60" s="15">
        <f t="shared" si="25"/>
        <v>0.2</v>
      </c>
      <c r="L60" s="15">
        <f t="shared" si="25"/>
        <v>0.2</v>
      </c>
    </row>
    <row r="62" spans="1:18" x14ac:dyDescent="0.35">
      <c r="D62" s="19"/>
    </row>
  </sheetData>
  <mergeCells count="4">
    <mergeCell ref="C5:H5"/>
    <mergeCell ref="C6:H6"/>
    <mergeCell ref="C7:H7"/>
    <mergeCell ref="C8:H8"/>
  </mergeCells>
  <conditionalFormatting sqref="C49:L49">
    <cfRule type="cellIs" dxfId="112" priority="44" operator="greaterThan">
      <formula>$C$45</formula>
    </cfRule>
  </conditionalFormatting>
  <conditionalFormatting sqref="C49:F49">
    <cfRule type="cellIs" dxfId="111" priority="43" operator="greaterThan">
      <formula>$C$45</formula>
    </cfRule>
  </conditionalFormatting>
  <conditionalFormatting sqref="E49:F49">
    <cfRule type="cellIs" dxfId="110" priority="42" operator="greaterThan">
      <formula>$E$45</formula>
    </cfRule>
  </conditionalFormatting>
  <conditionalFormatting sqref="D49:F49">
    <cfRule type="cellIs" dxfId="109" priority="41" operator="greaterThan">
      <formula>$D$45</formula>
    </cfRule>
  </conditionalFormatting>
  <conditionalFormatting sqref="F49">
    <cfRule type="cellIs" dxfId="108" priority="40" operator="greaterThan">
      <formula>$F$45</formula>
    </cfRule>
  </conditionalFormatting>
  <conditionalFormatting sqref="G49">
    <cfRule type="cellIs" dxfId="107" priority="39" operator="greaterThan">
      <formula>$G$45</formula>
    </cfRule>
  </conditionalFormatting>
  <conditionalFormatting sqref="H49">
    <cfRule type="cellIs" dxfId="106" priority="38" operator="greaterThan">
      <formula>$H$45</formula>
    </cfRule>
  </conditionalFormatting>
  <conditionalFormatting sqref="I49">
    <cfRule type="cellIs" dxfId="105" priority="37" operator="greaterThan">
      <formula>$I$45</formula>
    </cfRule>
  </conditionalFormatting>
  <conditionalFormatting sqref="J49">
    <cfRule type="cellIs" dxfId="104" priority="36" operator="greaterThan">
      <formula>$J$45</formula>
    </cfRule>
  </conditionalFormatting>
  <conditionalFormatting sqref="K49">
    <cfRule type="cellIs" dxfId="103" priority="35" operator="greaterThan">
      <formula>$K$45</formula>
    </cfRule>
  </conditionalFormatting>
  <conditionalFormatting sqref="L49">
    <cfRule type="cellIs" dxfId="102" priority="34" operator="greaterThan">
      <formula>$L$45</formula>
    </cfRule>
  </conditionalFormatting>
  <conditionalFormatting sqref="H50:L50">
    <cfRule type="cellIs" dxfId="101" priority="32" operator="greaterThan">
      <formula>$D$46</formula>
    </cfRule>
  </conditionalFormatting>
  <conditionalFormatting sqref="H50">
    <cfRule type="cellIs" dxfId="100" priority="27" operator="greaterThan">
      <formula>$H$46</formula>
    </cfRule>
  </conditionalFormatting>
  <conditionalFormatting sqref="I50">
    <cfRule type="cellIs" dxfId="99" priority="26" operator="greaterThan">
      <formula>$I$46</formula>
    </cfRule>
  </conditionalFormatting>
  <conditionalFormatting sqref="J50">
    <cfRule type="cellIs" dxfId="98" priority="25" operator="greaterThan">
      <formula>$J$46</formula>
    </cfRule>
  </conditionalFormatting>
  <conditionalFormatting sqref="K50">
    <cfRule type="cellIs" dxfId="97" priority="24" operator="greaterThan">
      <formula>$K$46</formula>
    </cfRule>
  </conditionalFormatting>
  <conditionalFormatting sqref="L50">
    <cfRule type="cellIs" dxfId="96" priority="23" operator="greaterThan">
      <formula>$L$46</formula>
    </cfRule>
  </conditionalFormatting>
  <conditionalFormatting sqref="H52">
    <cfRule type="cellIs" dxfId="95" priority="17" operator="greaterThan">
      <formula>$H$47</formula>
    </cfRule>
  </conditionalFormatting>
  <conditionalFormatting sqref="I52">
    <cfRule type="cellIs" dxfId="94" priority="16" operator="greaterThan">
      <formula>$I$47</formula>
    </cfRule>
  </conditionalFormatting>
  <conditionalFormatting sqref="J52">
    <cfRule type="cellIs" dxfId="93" priority="15" operator="greaterThan">
      <formula>$J$47</formula>
    </cfRule>
  </conditionalFormatting>
  <conditionalFormatting sqref="K52">
    <cfRule type="cellIs" dxfId="92" priority="14" operator="greaterThan">
      <formula>$K$47</formula>
    </cfRule>
  </conditionalFormatting>
  <conditionalFormatting sqref="L52">
    <cfRule type="cellIs" dxfId="91" priority="13" operator="greaterThan">
      <formula>$L$47</formula>
    </cfRule>
  </conditionalFormatting>
  <conditionalFormatting sqref="C50:G50">
    <cfRule type="cellIs" dxfId="90" priority="12" operator="greaterThan">
      <formula>$C$45</formula>
    </cfRule>
  </conditionalFormatting>
  <conditionalFormatting sqref="C50:F50">
    <cfRule type="cellIs" dxfId="89" priority="11" operator="greaterThan">
      <formula>$C$45</formula>
    </cfRule>
  </conditionalFormatting>
  <conditionalFormatting sqref="E50:F50">
    <cfRule type="cellIs" dxfId="88" priority="10" operator="greaterThan">
      <formula>$E$45</formula>
    </cfRule>
  </conditionalFormatting>
  <conditionalFormatting sqref="D50:F50">
    <cfRule type="cellIs" dxfId="87" priority="9" operator="greaterThan">
      <formula>$D$45</formula>
    </cfRule>
  </conditionalFormatting>
  <conditionalFormatting sqref="F50">
    <cfRule type="cellIs" dxfId="86" priority="8" operator="greaterThan">
      <formula>$F$45</formula>
    </cfRule>
  </conditionalFormatting>
  <conditionalFormatting sqref="G50">
    <cfRule type="cellIs" dxfId="85" priority="7" operator="greaterThan">
      <formula>$G$45</formula>
    </cfRule>
  </conditionalFormatting>
  <conditionalFormatting sqref="C52:G52">
    <cfRule type="cellIs" dxfId="84" priority="6" operator="greaterThan">
      <formula>$C$45</formula>
    </cfRule>
  </conditionalFormatting>
  <conditionalFormatting sqref="C52:F52">
    <cfRule type="cellIs" dxfId="83" priority="5" operator="greaterThan">
      <formula>$C$45</formula>
    </cfRule>
  </conditionalFormatting>
  <conditionalFormatting sqref="E52:F52">
    <cfRule type="cellIs" dxfId="82" priority="4" operator="greaterThan">
      <formula>$E$45</formula>
    </cfRule>
  </conditionalFormatting>
  <conditionalFormatting sqref="D52:F52">
    <cfRule type="cellIs" dxfId="81" priority="3" operator="greaterThan">
      <formula>$D$45</formula>
    </cfRule>
  </conditionalFormatting>
  <conditionalFormatting sqref="F52">
    <cfRule type="cellIs" dxfId="80" priority="2" operator="greaterThan">
      <formula>$F$45</formula>
    </cfRule>
  </conditionalFormatting>
  <conditionalFormatting sqref="G52">
    <cfRule type="cellIs" dxfId="79" priority="1" operator="greaterThan">
      <formula>$G$45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BD1F0-C024-4B0C-A52B-7568661161E6}">
  <dimension ref="A1:R62"/>
  <sheetViews>
    <sheetView topLeftCell="A25" zoomScale="150" zoomScaleNormal="150" workbookViewId="0">
      <selection activeCell="H32" sqref="H1:L1048576"/>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4"/>
      <c r="D5" s="64"/>
      <c r="E5" s="64"/>
      <c r="F5" s="64"/>
      <c r="G5" s="64"/>
      <c r="H5" s="64"/>
    </row>
    <row r="6" spans="1:11" x14ac:dyDescent="0.35">
      <c r="A6" s="17" t="s">
        <v>41</v>
      </c>
      <c r="B6" s="50"/>
      <c r="C6" s="64"/>
      <c r="D6" s="64"/>
      <c r="E6" s="64"/>
      <c r="F6" s="64"/>
      <c r="G6" s="64"/>
      <c r="H6" s="64"/>
    </row>
    <row r="7" spans="1:11" x14ac:dyDescent="0.35">
      <c r="A7" s="17" t="s">
        <v>42</v>
      </c>
      <c r="B7" s="50"/>
      <c r="C7" s="64"/>
      <c r="D7" s="64"/>
      <c r="E7" s="64"/>
      <c r="F7" s="64"/>
      <c r="G7" s="64"/>
      <c r="H7" s="64"/>
    </row>
    <row r="8" spans="1:11" x14ac:dyDescent="0.35">
      <c r="A8" s="17" t="s">
        <v>43</v>
      </c>
      <c r="B8" s="50"/>
      <c r="C8" s="64"/>
      <c r="D8" s="64"/>
      <c r="E8" s="64"/>
      <c r="F8" s="64"/>
      <c r="G8" s="64"/>
      <c r="H8" s="64"/>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138</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141</v>
      </c>
      <c r="B24" s="1"/>
      <c r="C24" s="15">
        <f>IF(C$22&lt;&gt;"",SUM(C25:C27),"")</f>
        <v>21.1</v>
      </c>
      <c r="D24" s="15">
        <f>IF(D$22&lt;&gt;"",C57,"")</f>
        <v>19.261102320000028</v>
      </c>
      <c r="E24" s="15">
        <f t="shared" ref="E24:L24" si="3">IF(E$22&lt;&gt;"",D57,"")</f>
        <v>17.8774425660006</v>
      </c>
      <c r="F24" s="15">
        <f t="shared" si="3"/>
        <v>16.935148643500622</v>
      </c>
      <c r="G24" s="15">
        <f t="shared" si="3"/>
        <v>16.222536955001196</v>
      </c>
      <c r="H24" s="15">
        <f t="shared" si="3"/>
        <v>15.532489937502369</v>
      </c>
      <c r="I24" s="15">
        <f t="shared" si="3"/>
        <v>15.583530117402967</v>
      </c>
      <c r="J24" s="15">
        <f t="shared" si="3"/>
        <v>15.633484297302365</v>
      </c>
      <c r="K24" s="15">
        <f t="shared" si="3"/>
        <v>15.682181429801767</v>
      </c>
      <c r="L24" s="15">
        <f t="shared" si="3"/>
        <v>15.728535572202338</v>
      </c>
    </row>
    <row r="25" spans="1:13" x14ac:dyDescent="0.35">
      <c r="A25" t="s">
        <v>133</v>
      </c>
      <c r="C25" s="15">
        <f>IF(C$22&lt;&gt;"",$B$19,"")</f>
        <v>11</v>
      </c>
      <c r="D25" s="15">
        <f>IF(D22&lt;&gt;"",C54,"")</f>
        <v>9.0422571336493043</v>
      </c>
      <c r="E25" s="15">
        <f t="shared" ref="E25:L27" si="4">IF(E22&lt;&gt;"",D54,"")</f>
        <v>7.6634520548331819</v>
      </c>
      <c r="F25" s="15">
        <f t="shared" si="4"/>
        <v>6.7418099968023153</v>
      </c>
      <c r="G25" s="15">
        <f t="shared" si="4"/>
        <v>6.4602708271803406</v>
      </c>
      <c r="H25" s="15">
        <f t="shared" si="4"/>
        <v>6.1875989313758</v>
      </c>
      <c r="I25" s="15">
        <f t="shared" si="4"/>
        <v>6.6332080356705205</v>
      </c>
      <c r="J25" s="15">
        <f t="shared" si="4"/>
        <v>7.0551047884565037</v>
      </c>
      <c r="K25" s="15">
        <f t="shared" si="4"/>
        <v>7.4545735699081455</v>
      </c>
      <c r="L25" s="15">
        <f t="shared" si="4"/>
        <v>7.8323643052138578</v>
      </c>
    </row>
    <row r="26" spans="1:13" x14ac:dyDescent="0.35">
      <c r="A26" t="s">
        <v>134</v>
      </c>
      <c r="C26" s="15">
        <f>IF(C$22&lt;&gt;"",$C$19,"")</f>
        <v>10.1</v>
      </c>
      <c r="D26" s="15">
        <f>IF(D23&lt;&gt;"",C55,"")</f>
        <v>10.218845186350725</v>
      </c>
      <c r="E26" s="15">
        <f t="shared" si="4"/>
        <v>10.213990511167419</v>
      </c>
      <c r="F26" s="15">
        <f t="shared" si="4"/>
        <v>10.193338646698306</v>
      </c>
      <c r="G26" s="15">
        <f t="shared" si="4"/>
        <v>9.7622661278208565</v>
      </c>
      <c r="H26" s="15">
        <f t="shared" si="4"/>
        <v>9.3448910061265682</v>
      </c>
      <c r="I26" s="15">
        <f t="shared" si="4"/>
        <v>8.9503220817324465</v>
      </c>
      <c r="J26" s="15">
        <f t="shared" si="4"/>
        <v>8.5783795088458614</v>
      </c>
      <c r="K26" s="15">
        <f t="shared" si="4"/>
        <v>8.227607859893622</v>
      </c>
      <c r="L26" s="15">
        <f t="shared" si="4"/>
        <v>7.89617126698848</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132</v>
      </c>
      <c r="C28"/>
    </row>
    <row r="29" spans="1:13" x14ac:dyDescent="0.35">
      <c r="A29" t="s">
        <v>130</v>
      </c>
      <c r="B29" s="37">
        <v>0.5</v>
      </c>
      <c r="C29" s="15">
        <f>C25</f>
        <v>11</v>
      </c>
      <c r="D29" s="15">
        <f t="shared" ref="D29:L30" si="5">IF(D22&lt;&gt;"",$B29*D$24,"")</f>
        <v>9.6305511600000138</v>
      </c>
      <c r="E29" s="15">
        <f t="shared" si="5"/>
        <v>8.9387212830002998</v>
      </c>
      <c r="F29" s="15">
        <f t="shared" si="5"/>
        <v>8.4675743217503108</v>
      </c>
      <c r="G29" s="15">
        <f t="shared" si="5"/>
        <v>8.1112684775005981</v>
      </c>
      <c r="H29" s="15">
        <f t="shared" si="5"/>
        <v>7.7662449687511845</v>
      </c>
      <c r="I29" s="15">
        <f t="shared" si="5"/>
        <v>7.7917650587014835</v>
      </c>
      <c r="J29" s="15">
        <f t="shared" si="5"/>
        <v>7.8167421486511826</v>
      </c>
      <c r="K29" s="15">
        <f t="shared" si="5"/>
        <v>7.8410907149008837</v>
      </c>
      <c r="L29" s="15">
        <f t="shared" si="5"/>
        <v>7.8642677861011689</v>
      </c>
    </row>
    <row r="30" spans="1:13" x14ac:dyDescent="0.35">
      <c r="A30" t="s">
        <v>131</v>
      </c>
      <c r="B30" s="37">
        <f>1-B29</f>
        <v>0.5</v>
      </c>
      <c r="C30" s="15">
        <f>C26</f>
        <v>10.1</v>
      </c>
      <c r="D30" s="15">
        <f t="shared" si="5"/>
        <v>9.6305511600000138</v>
      </c>
      <c r="E30" s="15">
        <f t="shared" si="5"/>
        <v>8.9387212830002998</v>
      </c>
      <c r="F30" s="15">
        <f t="shared" si="5"/>
        <v>8.4675743217503108</v>
      </c>
      <c r="G30" s="15">
        <f t="shared" si="5"/>
        <v>8.1112684775005981</v>
      </c>
      <c r="H30" s="15">
        <f t="shared" si="5"/>
        <v>7.7662449687511845</v>
      </c>
      <c r="I30" s="15">
        <f t="shared" si="5"/>
        <v>7.7917650587014835</v>
      </c>
      <c r="J30" s="15">
        <f t="shared" si="5"/>
        <v>7.8167421486511826</v>
      </c>
      <c r="K30" s="15">
        <f t="shared" si="5"/>
        <v>7.8410907149008837</v>
      </c>
      <c r="L30" s="15">
        <f t="shared" si="5"/>
        <v>7.8642677861011689</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0.96665975399942705</v>
      </c>
      <c r="E31" s="15">
        <f>IF(E$22&lt;&gt;"",VLOOKUP(E29*1000000,'Powell-Elevation-Area'!$B$5:$D$689,3)*$B$18/1000000 + VLOOKUP(E30*1000000,'Mead-Elevation-Area'!$B$5:$D$676,3)*$C$18/1000000,"")</f>
        <v>0.925293922499973</v>
      </c>
      <c r="F31" s="15">
        <f>IF(F$22&lt;&gt;"",VLOOKUP(F29*1000000,'Powell-Elevation-Area'!$B$5:$D$689,3)*$B$18/1000000 + VLOOKUP(F30*1000000,'Mead-Elevation-Area'!$B$5:$D$676,3)*$C$18/1000000,"")</f>
        <v>0.89561168849942696</v>
      </c>
      <c r="G31" s="15">
        <f>IF(G$22&lt;&gt;"",VLOOKUP(G29*1000000,'Powell-Elevation-Area'!$B$5:$D$689,3)*$B$18/1000000 + VLOOKUP(G30*1000000,'Mead-Elevation-Area'!$B$5:$D$676,3)*$C$18/1000000,"")</f>
        <v>0.87304701749882696</v>
      </c>
      <c r="H31" s="15">
        <f>IF(H$22&lt;&gt;"",VLOOKUP(H29*1000000,'Powell-Elevation-Area'!$B$5:$D$689,3)*$B$18/1000000 + VLOOKUP(H30*1000000,'Mead-Elevation-Area'!$B$5:$D$676,3)*$C$18/1000000,"")</f>
        <v>0.85195982009939997</v>
      </c>
      <c r="I31" s="15">
        <f>IF(I$22&lt;&gt;"",VLOOKUP(I29*1000000,'Powell-Elevation-Area'!$B$5:$D$689,3)*$B$18/1000000 + VLOOKUP(I30*1000000,'Mead-Elevation-Area'!$B$5:$D$676,3)*$C$18/1000000,"")</f>
        <v>0.85304582010059993</v>
      </c>
      <c r="J31" s="15">
        <f>IF(J$22&lt;&gt;"",VLOOKUP(J29*1000000,'Powell-Elevation-Area'!$B$5:$D$689,3)*$B$18/1000000 + VLOOKUP(J30*1000000,'Mead-Elevation-Area'!$B$5:$D$676,3)*$C$18/1000000,"")</f>
        <v>0.85430286750060003</v>
      </c>
      <c r="K31" s="15">
        <f>IF(K$22&lt;&gt;"",VLOOKUP(K29*1000000,'Powell-Elevation-Area'!$B$5:$D$689,3)*$B$18/1000000 + VLOOKUP(K30*1000000,'Mead-Elevation-Area'!$B$5:$D$676,3)*$C$18/1000000,"")</f>
        <v>0.85664585759942702</v>
      </c>
      <c r="L31" s="15">
        <f>IF(L$22&lt;&gt;"",VLOOKUP(L29*1000000,'Powell-Elevation-Area'!$B$5:$D$689,3)*$B$18/1000000 + VLOOKUP(L30*1000000,'Mead-Elevation-Area'!$B$5:$D$676,3)*$C$18/1000000,"")</f>
        <v>0.85664585759942702</v>
      </c>
    </row>
    <row r="32" spans="1:13" x14ac:dyDescent="0.35">
      <c r="A32" t="s">
        <v>109</v>
      </c>
      <c r="B32" s="1"/>
      <c r="C32" s="15">
        <f>IF(C$22&lt;&gt;"",C$31*C25/C$24,"")</f>
        <v>0.5327428663506969</v>
      </c>
      <c r="D32" s="15">
        <f t="shared" ref="D32:L34" si="6">IF(D$22&lt;&gt;"",D$31*D25/D$24,"")</f>
        <v>0.45380507881612187</v>
      </c>
      <c r="E32" s="15">
        <f t="shared" si="6"/>
        <v>0.39664205803086539</v>
      </c>
      <c r="F32" s="15">
        <f t="shared" si="6"/>
        <v>0.35653916962197557</v>
      </c>
      <c r="G32" s="15">
        <f t="shared" si="6"/>
        <v>0.34767189580454005</v>
      </c>
      <c r="H32" s="15">
        <f t="shared" si="6"/>
        <v>0.33939089570527925</v>
      </c>
      <c r="I32" s="15">
        <f t="shared" si="6"/>
        <v>0.36310324721401699</v>
      </c>
      <c r="J32" s="15">
        <f t="shared" si="6"/>
        <v>0.38553121854835831</v>
      </c>
      <c r="K32" s="15">
        <f t="shared" si="6"/>
        <v>0.40720926469428737</v>
      </c>
      <c r="L32" s="15">
        <f t="shared" si="6"/>
        <v>0.42658532362854812</v>
      </c>
    </row>
    <row r="33" spans="1:13" x14ac:dyDescent="0.35">
      <c r="A33" t="s">
        <v>110</v>
      </c>
      <c r="B33" s="1"/>
      <c r="C33" s="15">
        <f>IF(C$22&lt;&gt;"",C$31*C26/C$24,"")</f>
        <v>0.48915481364927621</v>
      </c>
      <c r="D33" s="15">
        <f t="shared" si="6"/>
        <v>0.51285467518330519</v>
      </c>
      <c r="E33" s="15">
        <f t="shared" si="6"/>
        <v>0.52865186446910761</v>
      </c>
      <c r="F33" s="15">
        <f t="shared" si="6"/>
        <v>0.53907251887745133</v>
      </c>
      <c r="G33" s="15">
        <f t="shared" si="6"/>
        <v>0.52537512169428702</v>
      </c>
      <c r="H33" s="15">
        <f t="shared" si="6"/>
        <v>0.51256892439412072</v>
      </c>
      <c r="I33" s="15">
        <f t="shared" si="6"/>
        <v>0.48994257288658294</v>
      </c>
      <c r="J33" s="15">
        <f t="shared" si="6"/>
        <v>0.46877164895224177</v>
      </c>
      <c r="K33" s="15">
        <f t="shared" si="6"/>
        <v>0.44943659290513965</v>
      </c>
      <c r="L33" s="15">
        <f t="shared" si="6"/>
        <v>0.4300605339708789</v>
      </c>
    </row>
    <row r="34" spans="1:13" x14ac:dyDescent="0.35">
      <c r="A34" t="s">
        <v>111</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135</v>
      </c>
      <c r="B35" s="1"/>
      <c r="C35" s="45">
        <f>IF(C22&lt;&gt;"",1.5-IF(C$26&lt;$O$51,$Q$51,IF(C$26&lt;=$O$58,VLOOKUP(C$26,$O$51:$Q$58,3),0)),"")</f>
        <v>1.45</v>
      </c>
      <c r="D35" s="45">
        <f t="shared" ref="D35:L35" si="7">IF(D22&lt;&gt;"",1.5-IF(D$26&lt;$O$51,$Q$51,IF(D$26&lt;=$O$58,VLOOKUP(D$26,$O$51:$Q$58,3),0)),"")</f>
        <v>1.45</v>
      </c>
      <c r="E35" s="45">
        <f t="shared" si="7"/>
        <v>1.45</v>
      </c>
      <c r="F35" s="45">
        <f t="shared" si="7"/>
        <v>1.45</v>
      </c>
      <c r="G35" s="45">
        <f t="shared" si="7"/>
        <v>1.45</v>
      </c>
      <c r="H35" s="45">
        <f t="shared" si="7"/>
        <v>1.43</v>
      </c>
      <c r="I35" s="45">
        <f t="shared" si="7"/>
        <v>1.43</v>
      </c>
      <c r="J35" s="45">
        <f t="shared" si="7"/>
        <v>1.43</v>
      </c>
      <c r="K35" s="45">
        <f t="shared" si="7"/>
        <v>1.43</v>
      </c>
      <c r="L35" s="45">
        <f t="shared" si="7"/>
        <v>1.43</v>
      </c>
    </row>
    <row r="36" spans="1:13" x14ac:dyDescent="0.35">
      <c r="A36" s="1" t="s">
        <v>150</v>
      </c>
      <c r="B36" s="1"/>
      <c r="C36" s="15">
        <f>IF(C$22&lt;&gt;"",C22-C35/2,"")</f>
        <v>10.275</v>
      </c>
      <c r="D36" s="15">
        <f t="shared" ref="D36:L36" si="8">IF(D$22&lt;&gt;"",D22-D35/2,"")</f>
        <v>10.275</v>
      </c>
      <c r="E36" s="15">
        <f t="shared" si="8"/>
        <v>10.275</v>
      </c>
      <c r="F36" s="15">
        <f t="shared" si="8"/>
        <v>10.275</v>
      </c>
      <c r="G36" s="15">
        <f t="shared" si="8"/>
        <v>10.275</v>
      </c>
      <c r="H36" s="15">
        <f t="shared" si="8"/>
        <v>10.285</v>
      </c>
      <c r="I36" s="15">
        <f t="shared" si="8"/>
        <v>10.285</v>
      </c>
      <c r="J36" s="15">
        <f t="shared" si="8"/>
        <v>10.285</v>
      </c>
      <c r="K36" s="15">
        <f t="shared" si="8"/>
        <v>10.285</v>
      </c>
      <c r="L36" s="15">
        <f t="shared" si="8"/>
        <v>10.285</v>
      </c>
    </row>
    <row r="37" spans="1:13" x14ac:dyDescent="0.35">
      <c r="A37" t="s">
        <v>0</v>
      </c>
      <c r="B37" s="25"/>
      <c r="C37" s="15">
        <f>IF(C22&lt;&gt;"",MAX(0,C36-C38),"")</f>
        <v>2.7750000000000004</v>
      </c>
      <c r="D37" s="15">
        <f t="shared" ref="D37:L37" si="9">IF(D22&lt;&gt;"",MAX(0,D36-D38),"")</f>
        <v>2.7750000000000004</v>
      </c>
      <c r="E37" s="15">
        <f t="shared" si="9"/>
        <v>2.7750000000000004</v>
      </c>
      <c r="F37" s="15">
        <f t="shared" si="9"/>
        <v>2.7750000000000004</v>
      </c>
      <c r="G37" s="15">
        <f t="shared" si="9"/>
        <v>2.7750000000000004</v>
      </c>
      <c r="H37" s="15">
        <f t="shared" si="9"/>
        <v>2.7850000000000001</v>
      </c>
      <c r="I37" s="15">
        <f t="shared" si="9"/>
        <v>2.7850000000000001</v>
      </c>
      <c r="J37" s="15">
        <f t="shared" si="9"/>
        <v>2.7850000000000001</v>
      </c>
      <c r="K37" s="15">
        <f t="shared" si="9"/>
        <v>2.7850000000000001</v>
      </c>
      <c r="L37" s="15">
        <f t="shared" si="9"/>
        <v>2.7850000000000001</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114</v>
      </c>
      <c r="C39"/>
    </row>
    <row r="40" spans="1:13" x14ac:dyDescent="0.35">
      <c r="A40" s="33" t="s">
        <v>112</v>
      </c>
      <c r="B40" s="1"/>
      <c r="C40" s="26">
        <v>0.5</v>
      </c>
      <c r="D40" s="26">
        <v>0.4</v>
      </c>
      <c r="E40" s="26">
        <v>0.4</v>
      </c>
      <c r="F40" s="26"/>
      <c r="G40" s="26"/>
      <c r="H40" s="26"/>
      <c r="I40" s="26"/>
      <c r="J40" s="26"/>
      <c r="K40" s="26"/>
      <c r="L40" s="26"/>
    </row>
    <row r="41" spans="1:13" x14ac:dyDescent="0.35">
      <c r="A41" s="33" t="s">
        <v>113</v>
      </c>
      <c r="B41" s="1"/>
      <c r="C41" s="32">
        <f>350*C40</f>
        <v>175</v>
      </c>
      <c r="D41" s="32">
        <f>350*D40</f>
        <v>140</v>
      </c>
      <c r="E41" s="32">
        <f t="shared" ref="E41:G41" si="11">350*E40</f>
        <v>140</v>
      </c>
      <c r="F41" s="32">
        <f t="shared" si="11"/>
        <v>0</v>
      </c>
      <c r="G41" s="32">
        <f t="shared" si="11"/>
        <v>0</v>
      </c>
      <c r="H41" s="32"/>
      <c r="I41" s="32"/>
      <c r="J41" s="32"/>
      <c r="K41" s="32"/>
      <c r="L41" s="32"/>
      <c r="M41" s="34">
        <f>SUM(C41:L41)</f>
        <v>455</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12.742257133649304</v>
      </c>
      <c r="D45" s="15">
        <f t="shared" ref="D45:L45" si="12">IF(D$22&lt;&gt;"",D25+D37-D32-D40,"")</f>
        <v>10.963452054833182</v>
      </c>
      <c r="E45" s="15">
        <f t="shared" si="12"/>
        <v>9.6418099968023157</v>
      </c>
      <c r="F45" s="15">
        <f>IF(F$22&lt;&gt;"",F25+F37-F32-F40,"")</f>
        <v>9.1602708271803408</v>
      </c>
      <c r="G45" s="15">
        <f t="shared" si="12"/>
        <v>8.8875989313758001</v>
      </c>
      <c r="H45" s="15">
        <f t="shared" si="12"/>
        <v>8.6332080356705205</v>
      </c>
      <c r="I45" s="15">
        <f t="shared" si="12"/>
        <v>9.0551047884565037</v>
      </c>
      <c r="J45" s="15">
        <f t="shared" si="12"/>
        <v>9.4545735699081455</v>
      </c>
      <c r="K45" s="15">
        <f t="shared" si="12"/>
        <v>9.8323643052138578</v>
      </c>
      <c r="L45" s="15">
        <f t="shared" si="12"/>
        <v>10.190778981585311</v>
      </c>
    </row>
    <row r="46" spans="1:13" x14ac:dyDescent="0.35">
      <c r="A46" t="s">
        <v>3</v>
      </c>
      <c r="C46" s="15">
        <f>IF(C$22&lt;&gt;"",C26+C38-C33+C40+C42+C23-C35/2,"")</f>
        <v>17.685845186350726</v>
      </c>
      <c r="D46" s="15">
        <f t="shared" ref="D46:L46" si="13">IF(D$22&lt;&gt;"",D26+D38-D33+D40+D42+D23-D35/2,"")</f>
        <v>17.680990511167419</v>
      </c>
      <c r="E46" s="15">
        <f t="shared" si="13"/>
        <v>17.660338646698307</v>
      </c>
      <c r="F46" s="15">
        <f t="shared" si="13"/>
        <v>17.229266127820857</v>
      </c>
      <c r="G46" s="15">
        <f t="shared" si="13"/>
        <v>16.811891006126569</v>
      </c>
      <c r="H46" s="15">
        <f t="shared" si="13"/>
        <v>16.417322081732447</v>
      </c>
      <c r="I46" s="15">
        <f t="shared" si="13"/>
        <v>16.045379508845862</v>
      </c>
      <c r="J46" s="15">
        <f t="shared" si="13"/>
        <v>15.694607859893623</v>
      </c>
      <c r="K46" s="15">
        <f t="shared" si="13"/>
        <v>15.363171266988481</v>
      </c>
      <c r="L46" s="15">
        <f t="shared" si="13"/>
        <v>15.051110733017602</v>
      </c>
    </row>
    <row r="47" spans="1:13" x14ac:dyDescent="0.35">
      <c r="A47" t="s">
        <v>4</v>
      </c>
      <c r="C47" s="15">
        <f>IF(C$22&lt;&gt;"",C27+C35-C34-C42,"")</f>
        <v>1.45</v>
      </c>
      <c r="D47" s="15">
        <f t="shared" ref="D47:L47" si="14">IF(D$22&lt;&gt;"",D27+D35-D34-D42,"")</f>
        <v>1.45</v>
      </c>
      <c r="E47" s="15">
        <f t="shared" si="14"/>
        <v>1.45</v>
      </c>
      <c r="F47" s="15">
        <f t="shared" si="14"/>
        <v>1.45</v>
      </c>
      <c r="G47" s="15">
        <f t="shared" si="14"/>
        <v>1.45</v>
      </c>
      <c r="H47" s="15">
        <f t="shared" si="14"/>
        <v>1.43</v>
      </c>
      <c r="I47" s="15">
        <f t="shared" si="14"/>
        <v>1.43</v>
      </c>
      <c r="J47" s="15">
        <f t="shared" si="14"/>
        <v>1.43</v>
      </c>
      <c r="K47" s="15">
        <f t="shared" si="14"/>
        <v>1.43</v>
      </c>
      <c r="L47" s="15">
        <f t="shared" si="14"/>
        <v>1.43</v>
      </c>
    </row>
    <row r="48" spans="1:13" x14ac:dyDescent="0.35">
      <c r="A48" s="1" t="s">
        <v>151</v>
      </c>
      <c r="B48" s="1"/>
      <c r="C48" s="30"/>
      <c r="D48" s="2"/>
      <c r="E48" s="2"/>
      <c r="F48" s="2"/>
      <c r="G48" s="2"/>
      <c r="H48" s="2"/>
      <c r="I48" s="2"/>
      <c r="J48" s="2"/>
      <c r="K48" s="2"/>
      <c r="L48" s="2"/>
    </row>
    <row r="49" spans="1:18" x14ac:dyDescent="0.35">
      <c r="A49" t="s">
        <v>152</v>
      </c>
      <c r="C49" s="45">
        <v>3.7</v>
      </c>
      <c r="D49" s="45">
        <v>3.3</v>
      </c>
      <c r="E49" s="45">
        <v>2.9</v>
      </c>
      <c r="F49" s="45">
        <v>2.7</v>
      </c>
      <c r="G49" s="45">
        <v>2.7</v>
      </c>
      <c r="H49" s="26">
        <v>2</v>
      </c>
      <c r="I49" s="26">
        <v>2</v>
      </c>
      <c r="J49" s="26">
        <v>2</v>
      </c>
      <c r="K49" s="26">
        <v>2</v>
      </c>
      <c r="L49" s="26">
        <v>2</v>
      </c>
      <c r="N49" s="1" t="s">
        <v>144</v>
      </c>
    </row>
    <row r="50" spans="1:18" x14ac:dyDescent="0.35">
      <c r="A50" t="s">
        <v>153</v>
      </c>
      <c r="C50" s="45">
        <f>7.5-IF(C26&lt;$O$51,$P$51,IF(C26&lt;=$O$58,VLOOKUP(C26,$O$51:$P$58,2),0))</f>
        <v>6.867</v>
      </c>
      <c r="D50" s="45">
        <f>C50</f>
        <v>6.867</v>
      </c>
      <c r="E50" s="45">
        <f t="shared" ref="E50:L50" si="15">D50</f>
        <v>6.867</v>
      </c>
      <c r="F50" s="45">
        <f t="shared" si="15"/>
        <v>6.867</v>
      </c>
      <c r="G50" s="45">
        <f t="shared" si="15"/>
        <v>6.867</v>
      </c>
      <c r="H50" s="45">
        <f t="shared" si="15"/>
        <v>6.867</v>
      </c>
      <c r="I50" s="45">
        <f t="shared" si="15"/>
        <v>6.867</v>
      </c>
      <c r="J50" s="45">
        <f t="shared" si="15"/>
        <v>6.867</v>
      </c>
      <c r="K50" s="45">
        <f t="shared" si="15"/>
        <v>6.867</v>
      </c>
      <c r="L50" s="45">
        <f t="shared" si="15"/>
        <v>6.867</v>
      </c>
      <c r="N50" s="39" t="s">
        <v>145</v>
      </c>
      <c r="O50" s="39" t="s">
        <v>146</v>
      </c>
      <c r="P50" s="40" t="s">
        <v>147</v>
      </c>
      <c r="Q50" s="40" t="s">
        <v>148</v>
      </c>
      <c r="R50" s="39" t="s">
        <v>149</v>
      </c>
    </row>
    <row r="51" spans="1:18" x14ac:dyDescent="0.35">
      <c r="A51" t="s">
        <v>154</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 t="shared" ref="P51:P58" si="17">R51-Q51</f>
        <v>1.2</v>
      </c>
      <c r="Q51" s="44">
        <v>0.125</v>
      </c>
      <c r="R51" s="43">
        <v>1.325</v>
      </c>
    </row>
    <row r="52" spans="1:18" x14ac:dyDescent="0.35">
      <c r="A52" t="s">
        <v>155</v>
      </c>
      <c r="C52" s="45">
        <f>IF(C22&lt;&gt;"",C35,"")</f>
        <v>1.45</v>
      </c>
      <c r="D52" s="45">
        <f t="shared" ref="D52:L52" si="18">IF(D22&lt;&gt;"",D35,"")</f>
        <v>1.45</v>
      </c>
      <c r="E52" s="45">
        <f t="shared" si="18"/>
        <v>1.45</v>
      </c>
      <c r="F52" s="45">
        <f t="shared" si="18"/>
        <v>1.45</v>
      </c>
      <c r="G52" s="45">
        <f t="shared" si="18"/>
        <v>1.45</v>
      </c>
      <c r="H52" s="45">
        <f t="shared" si="18"/>
        <v>1.43</v>
      </c>
      <c r="I52" s="45">
        <f t="shared" si="18"/>
        <v>1.43</v>
      </c>
      <c r="J52" s="45">
        <f t="shared" si="18"/>
        <v>1.43</v>
      </c>
      <c r="K52" s="45">
        <f t="shared" si="18"/>
        <v>1.43</v>
      </c>
      <c r="L52" s="45">
        <f t="shared" si="18"/>
        <v>1.43</v>
      </c>
      <c r="N52" s="41">
        <v>1030</v>
      </c>
      <c r="O52" s="42">
        <v>6.305377</v>
      </c>
      <c r="P52" s="43">
        <f t="shared" si="17"/>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7"/>
        <v>1.0669999999999999</v>
      </c>
      <c r="Q53" s="44">
        <v>7.0000000000000007E-2</v>
      </c>
      <c r="R53" s="43">
        <v>1.137</v>
      </c>
    </row>
    <row r="54" spans="1:18" x14ac:dyDescent="0.35">
      <c r="A54" t="s">
        <v>2</v>
      </c>
      <c r="C54" s="15">
        <f>IF(C$22&lt;&gt;"",C45-C49,"")</f>
        <v>9.0422571336493043</v>
      </c>
      <c r="D54" s="15">
        <f t="shared" ref="D54:L54" si="19">IF(D$22&lt;&gt;"",D45-D49,"")</f>
        <v>7.6634520548331819</v>
      </c>
      <c r="E54" s="15">
        <f t="shared" si="19"/>
        <v>6.7418099968023153</v>
      </c>
      <c r="F54" s="15">
        <f t="shared" si="19"/>
        <v>6.4602708271803406</v>
      </c>
      <c r="G54" s="15">
        <f t="shared" si="19"/>
        <v>6.1875989313758</v>
      </c>
      <c r="H54" s="15">
        <f t="shared" si="19"/>
        <v>6.6332080356705205</v>
      </c>
      <c r="I54" s="15">
        <f t="shared" si="19"/>
        <v>7.0551047884565037</v>
      </c>
      <c r="J54" s="15">
        <f t="shared" si="19"/>
        <v>7.4545735699081455</v>
      </c>
      <c r="K54" s="15">
        <f t="shared" si="19"/>
        <v>7.8323643052138578</v>
      </c>
      <c r="L54" s="15">
        <f t="shared" si="19"/>
        <v>8.1907789815853107</v>
      </c>
      <c r="N54" s="41">
        <v>1040</v>
      </c>
      <c r="O54" s="42">
        <v>6.977665</v>
      </c>
      <c r="P54" s="43">
        <f t="shared" si="17"/>
        <v>1.0169999999999999</v>
      </c>
      <c r="Q54" s="44">
        <v>7.0000000000000007E-2</v>
      </c>
      <c r="R54" s="43">
        <v>1.087</v>
      </c>
    </row>
    <row r="55" spans="1:18" x14ac:dyDescent="0.35">
      <c r="A55" t="s">
        <v>3</v>
      </c>
      <c r="C55" s="15">
        <f>IF(C$22&lt;&gt;"",C46-C50-C51,"")</f>
        <v>10.218845186350725</v>
      </c>
      <c r="D55" s="15">
        <f t="shared" ref="D55:L55" si="20">IF(D$22&lt;&gt;"",D46-D50-D51,"")</f>
        <v>10.213990511167419</v>
      </c>
      <c r="E55" s="15">
        <f t="shared" si="20"/>
        <v>10.193338646698306</v>
      </c>
      <c r="F55" s="15">
        <f t="shared" si="20"/>
        <v>9.7622661278208565</v>
      </c>
      <c r="G55" s="15">
        <f t="shared" si="20"/>
        <v>9.3448910061265682</v>
      </c>
      <c r="H55" s="15">
        <f t="shared" si="20"/>
        <v>8.9503220817324465</v>
      </c>
      <c r="I55" s="15">
        <f t="shared" si="20"/>
        <v>8.5783795088458614</v>
      </c>
      <c r="J55" s="15">
        <f t="shared" si="20"/>
        <v>8.227607859893622</v>
      </c>
      <c r="K55" s="15">
        <f t="shared" si="20"/>
        <v>7.89617126698848</v>
      </c>
      <c r="L55" s="15">
        <f t="shared" si="20"/>
        <v>7.5841107330176012</v>
      </c>
      <c r="N55" s="41">
        <v>1045</v>
      </c>
      <c r="O55" s="42">
        <v>7.3260519999999998</v>
      </c>
      <c r="P55" s="43">
        <f t="shared" si="17"/>
        <v>0.96699999999999986</v>
      </c>
      <c r="Q55" s="44">
        <v>7.0000000000000007E-2</v>
      </c>
      <c r="R55" s="43">
        <v>1.0369999999999999</v>
      </c>
    </row>
    <row r="56" spans="1:18" x14ac:dyDescent="0.35">
      <c r="A56" t="s">
        <v>4</v>
      </c>
      <c r="C56" s="15">
        <f>IF(C$22&lt;&gt;"",C47-C52,"")</f>
        <v>0</v>
      </c>
      <c r="D56" s="15">
        <f t="shared" ref="D56:L56" si="21">IF(D$22&lt;&gt;"",D47-D52,"")</f>
        <v>0</v>
      </c>
      <c r="E56" s="15">
        <f t="shared" si="21"/>
        <v>0</v>
      </c>
      <c r="F56" s="15">
        <f t="shared" si="21"/>
        <v>0</v>
      </c>
      <c r="G56" s="15">
        <f t="shared" si="21"/>
        <v>0</v>
      </c>
      <c r="H56" s="15">
        <f t="shared" si="21"/>
        <v>0</v>
      </c>
      <c r="I56" s="15">
        <f t="shared" si="21"/>
        <v>0</v>
      </c>
      <c r="J56" s="15">
        <f t="shared" si="21"/>
        <v>0</v>
      </c>
      <c r="K56" s="15">
        <f t="shared" si="21"/>
        <v>0</v>
      </c>
      <c r="L56" s="15">
        <f t="shared" si="21"/>
        <v>0</v>
      </c>
      <c r="N56" s="41">
        <v>1050</v>
      </c>
      <c r="O56" s="42">
        <v>7.6828779999999997</v>
      </c>
      <c r="P56" s="43">
        <f t="shared" si="17"/>
        <v>0.71700000000000008</v>
      </c>
      <c r="Q56" s="44">
        <v>7.0000000000000007E-2</v>
      </c>
      <c r="R56" s="43">
        <v>0.78700000000000003</v>
      </c>
    </row>
    <row r="57" spans="1:18" x14ac:dyDescent="0.35">
      <c r="A57" s="1" t="s">
        <v>140</v>
      </c>
      <c r="B57" s="1"/>
      <c r="C57" s="15">
        <f>IF(C$22&lt;&gt;"",SUM(C54:C56),"")</f>
        <v>19.261102320000028</v>
      </c>
      <c r="D57" s="15">
        <f t="shared" ref="D57:L57" si="22">IF(D$22&lt;&gt;"",SUM(D54:D56),"")</f>
        <v>17.8774425660006</v>
      </c>
      <c r="E57" s="15">
        <f t="shared" si="22"/>
        <v>16.935148643500622</v>
      </c>
      <c r="F57" s="15">
        <f t="shared" si="22"/>
        <v>16.222536955001196</v>
      </c>
      <c r="G57" s="15">
        <f t="shared" si="22"/>
        <v>15.532489937502369</v>
      </c>
      <c r="H57" s="15">
        <f t="shared" si="22"/>
        <v>15.583530117402967</v>
      </c>
      <c r="I57" s="15">
        <f t="shared" si="22"/>
        <v>15.633484297302365</v>
      </c>
      <c r="J57" s="15">
        <f t="shared" si="22"/>
        <v>15.682181429801767</v>
      </c>
      <c r="K57" s="15">
        <f t="shared" si="22"/>
        <v>15.728535572202338</v>
      </c>
      <c r="L57" s="15">
        <f t="shared" si="22"/>
        <v>15.774889714602912</v>
      </c>
      <c r="N57" s="41">
        <v>1075</v>
      </c>
      <c r="O57" s="42">
        <v>9.6009879999900001</v>
      </c>
      <c r="P57" s="43">
        <f t="shared" si="17"/>
        <v>0.63300000000000001</v>
      </c>
      <c r="Q57" s="44">
        <v>0.05</v>
      </c>
      <c r="R57" s="43">
        <v>0.68300000000000005</v>
      </c>
    </row>
    <row r="58" spans="1:18" x14ac:dyDescent="0.35">
      <c r="N58" s="41">
        <v>1090</v>
      </c>
      <c r="O58" s="42">
        <v>10.857008</v>
      </c>
      <c r="P58" s="43">
        <f t="shared" si="17"/>
        <v>0.3</v>
      </c>
      <c r="Q58" s="40"/>
      <c r="R58" s="43">
        <v>0.3</v>
      </c>
    </row>
    <row r="59" spans="1:18" x14ac:dyDescent="0.35">
      <c r="A59" s="1" t="s">
        <v>142</v>
      </c>
      <c r="C59" s="12">
        <f>IF(C$22&lt;&gt;"",0.2,"")</f>
        <v>0.2</v>
      </c>
      <c r="D59" s="12">
        <f t="shared" ref="D59:L59" si="23">IF(D$22&lt;&gt;"",0.2,"")</f>
        <v>0.2</v>
      </c>
      <c r="E59" s="12">
        <f t="shared" si="23"/>
        <v>0.2</v>
      </c>
      <c r="F59" s="12">
        <f t="shared" si="23"/>
        <v>0.2</v>
      </c>
      <c r="G59" s="12">
        <f t="shared" si="23"/>
        <v>0.2</v>
      </c>
      <c r="H59" s="12">
        <f t="shared" si="23"/>
        <v>0.2</v>
      </c>
      <c r="I59" s="12">
        <f t="shared" si="23"/>
        <v>0.2</v>
      </c>
      <c r="J59" s="12">
        <f t="shared" si="23"/>
        <v>0.2</v>
      </c>
      <c r="K59" s="12">
        <f t="shared" si="23"/>
        <v>0.2</v>
      </c>
      <c r="L59" s="12">
        <f t="shared" si="23"/>
        <v>0.2</v>
      </c>
    </row>
    <row r="60" spans="1:18" x14ac:dyDescent="0.35">
      <c r="A60" t="s">
        <v>143</v>
      </c>
      <c r="C60" s="15">
        <f>IF(C$22&lt;&gt;"",C50+C59,"")</f>
        <v>7.0670000000000002</v>
      </c>
      <c r="D60" s="15">
        <f t="shared" ref="D60:L60" si="24">IF(D$22&lt;&gt;"",D50+D59,"")</f>
        <v>7.0670000000000002</v>
      </c>
      <c r="E60" s="15">
        <f t="shared" si="24"/>
        <v>7.0670000000000002</v>
      </c>
      <c r="F60" s="15">
        <f t="shared" si="24"/>
        <v>7.0670000000000002</v>
      </c>
      <c r="G60" s="15">
        <f t="shared" si="24"/>
        <v>7.0670000000000002</v>
      </c>
      <c r="H60" s="15">
        <f t="shared" si="24"/>
        <v>7.0670000000000002</v>
      </c>
      <c r="I60" s="15">
        <f t="shared" si="24"/>
        <v>7.0670000000000002</v>
      </c>
      <c r="J60" s="15">
        <f t="shared" si="24"/>
        <v>7.0670000000000002</v>
      </c>
      <c r="K60" s="15">
        <f t="shared" si="24"/>
        <v>7.0670000000000002</v>
      </c>
      <c r="L60" s="15">
        <f t="shared" si="24"/>
        <v>7.0670000000000002</v>
      </c>
    </row>
    <row r="62" spans="1:18" x14ac:dyDescent="0.35">
      <c r="D62" s="19"/>
    </row>
  </sheetData>
  <mergeCells count="4">
    <mergeCell ref="C5:H5"/>
    <mergeCell ref="C6:H6"/>
    <mergeCell ref="C7:H7"/>
    <mergeCell ref="C8:H8"/>
  </mergeCells>
  <conditionalFormatting sqref="C49:L49">
    <cfRule type="cellIs" dxfId="78" priority="32" operator="greaterThan">
      <formula>$C$45</formula>
    </cfRule>
  </conditionalFormatting>
  <conditionalFormatting sqref="C49:F49">
    <cfRule type="cellIs" dxfId="77" priority="31" operator="greaterThan">
      <formula>$C$45</formula>
    </cfRule>
  </conditionalFormatting>
  <conditionalFormatting sqref="E49:F49">
    <cfRule type="cellIs" dxfId="76" priority="30" operator="greaterThan">
      <formula>$E$45</formula>
    </cfRule>
  </conditionalFormatting>
  <conditionalFormatting sqref="D49:F49">
    <cfRule type="cellIs" dxfId="75" priority="29" operator="greaterThan">
      <formula>$D$45</formula>
    </cfRule>
  </conditionalFormatting>
  <conditionalFormatting sqref="F49">
    <cfRule type="cellIs" dxfId="74" priority="28" operator="greaterThan">
      <formula>$F$45</formula>
    </cfRule>
  </conditionalFormatting>
  <conditionalFormatting sqref="G49">
    <cfRule type="cellIs" dxfId="73" priority="27" operator="greaterThan">
      <formula>$G$45</formula>
    </cfRule>
  </conditionalFormatting>
  <conditionalFormatting sqref="H49">
    <cfRule type="cellIs" dxfId="72" priority="26" operator="greaterThan">
      <formula>$H$45</formula>
    </cfRule>
  </conditionalFormatting>
  <conditionalFormatting sqref="I49">
    <cfRule type="cellIs" dxfId="71" priority="25" operator="greaterThan">
      <formula>$I$45</formula>
    </cfRule>
  </conditionalFormatting>
  <conditionalFormatting sqref="J49">
    <cfRule type="cellIs" dxfId="70" priority="24" operator="greaterThan">
      <formula>$J$45</formula>
    </cfRule>
  </conditionalFormatting>
  <conditionalFormatting sqref="K49">
    <cfRule type="cellIs" dxfId="69" priority="23" operator="greaterThan">
      <formula>$K$45</formula>
    </cfRule>
  </conditionalFormatting>
  <conditionalFormatting sqref="L49">
    <cfRule type="cellIs" dxfId="68" priority="22" operator="greaterThan">
      <formula>$L$45</formula>
    </cfRule>
  </conditionalFormatting>
  <conditionalFormatting sqref="C50">
    <cfRule type="cellIs" dxfId="67" priority="21" operator="greaterThan">
      <formula>$C$46</formula>
    </cfRule>
  </conditionalFormatting>
  <conditionalFormatting sqref="D50:L50">
    <cfRule type="cellIs" dxfId="66" priority="20" operator="greaterThan">
      <formula>$D$46</formula>
    </cfRule>
  </conditionalFormatting>
  <conditionalFormatting sqref="E50">
    <cfRule type="cellIs" dxfId="65" priority="19" operator="greaterThan">
      <formula>$E$46</formula>
    </cfRule>
  </conditionalFormatting>
  <conditionalFormatting sqref="F50">
    <cfRule type="cellIs" dxfId="64" priority="18" operator="greaterThan">
      <formula>$F$46</formula>
    </cfRule>
  </conditionalFormatting>
  <conditionalFormatting sqref="G50">
    <cfRule type="cellIs" dxfId="63" priority="16" operator="greaterThan">
      <formula>$G$46</formula>
    </cfRule>
    <cfRule type="cellIs" dxfId="62" priority="17" operator="greaterThan">
      <formula>$G$46</formula>
    </cfRule>
  </conditionalFormatting>
  <conditionalFormatting sqref="H50">
    <cfRule type="cellIs" dxfId="61" priority="15" operator="greaterThan">
      <formula>$H$46</formula>
    </cfRule>
  </conditionalFormatting>
  <conditionalFormatting sqref="I50">
    <cfRule type="cellIs" dxfId="60" priority="14" operator="greaterThan">
      <formula>$I$46</formula>
    </cfRule>
  </conditionalFormatting>
  <conditionalFormatting sqref="J50">
    <cfRule type="cellIs" dxfId="59" priority="13" operator="greaterThan">
      <formula>$J$46</formula>
    </cfRule>
  </conditionalFormatting>
  <conditionalFormatting sqref="K50">
    <cfRule type="cellIs" dxfId="58" priority="12" operator="greaterThan">
      <formula>$K$46</formula>
    </cfRule>
  </conditionalFormatting>
  <conditionalFormatting sqref="L50">
    <cfRule type="cellIs" dxfId="57" priority="11" operator="greaterThan">
      <formula>$L$46</formula>
    </cfRule>
  </conditionalFormatting>
  <conditionalFormatting sqref="C52:L52">
    <cfRule type="cellIs" dxfId="56" priority="10" operator="greaterThan">
      <formula>$C$47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878AF-96FE-424D-B802-94EDCA32030C}">
  <dimension ref="A1:R62"/>
  <sheetViews>
    <sheetView topLeftCell="A25" zoomScale="150" zoomScaleNormal="150" workbookViewId="0">
      <selection activeCell="C52" sqref="C5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4"/>
      <c r="D5" s="64"/>
      <c r="E5" s="64"/>
      <c r="F5" s="64"/>
      <c r="G5" s="64"/>
      <c r="H5" s="64"/>
    </row>
    <row r="6" spans="1:11" x14ac:dyDescent="0.35">
      <c r="A6" s="17" t="s">
        <v>41</v>
      </c>
      <c r="B6" s="50"/>
      <c r="C6" s="64"/>
      <c r="D6" s="64"/>
      <c r="E6" s="64"/>
      <c r="F6" s="64"/>
      <c r="G6" s="64"/>
      <c r="H6" s="64"/>
    </row>
    <row r="7" spans="1:11" x14ac:dyDescent="0.35">
      <c r="A7" s="17" t="s">
        <v>42</v>
      </c>
      <c r="B7" s="50"/>
      <c r="C7" s="64"/>
      <c r="D7" s="64"/>
      <c r="E7" s="64"/>
      <c r="F7" s="64"/>
      <c r="G7" s="64"/>
      <c r="H7" s="64"/>
    </row>
    <row r="8" spans="1:11" x14ac:dyDescent="0.35">
      <c r="A8" s="17" t="s">
        <v>43</v>
      </c>
      <c r="B8" s="50"/>
      <c r="C8" s="64"/>
      <c r="D8" s="64"/>
      <c r="E8" s="64"/>
      <c r="F8" s="64"/>
      <c r="G8" s="64"/>
      <c r="H8" s="64"/>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159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138</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141</v>
      </c>
      <c r="B24" s="1"/>
      <c r="C24" s="15">
        <f>IF(C$22&lt;&gt;"",SUM(C25:C27),"")</f>
        <v>21.1</v>
      </c>
      <c r="D24" s="15">
        <f>IF(D$22&lt;&gt;"",C57,"")</f>
        <v>18.761102320000028</v>
      </c>
      <c r="E24" s="15">
        <f t="shared" ref="E24:L24" si="3">IF(E$22&lt;&gt;"",D57,"")</f>
        <v>16.491893682999432</v>
      </c>
      <c r="F24" s="15">
        <f t="shared" si="3"/>
        <v>15.136878165046278</v>
      </c>
      <c r="G24" s="15">
        <f t="shared" si="3"/>
        <v>14.838480690719893</v>
      </c>
      <c r="H24" s="15">
        <f t="shared" si="3"/>
        <v>14.552221895882846</v>
      </c>
      <c r="I24" s="15">
        <f t="shared" si="3"/>
        <v>14.719200338282249</v>
      </c>
      <c r="J24" s="15">
        <f t="shared" si="3"/>
        <v>14.881642743182251</v>
      </c>
      <c r="K24" s="15">
        <f t="shared" si="3"/>
        <v>15.038535110582826</v>
      </c>
      <c r="L24" s="15">
        <f t="shared" si="3"/>
        <v>15.189634393082255</v>
      </c>
    </row>
    <row r="25" spans="1:13" x14ac:dyDescent="0.35">
      <c r="A25" t="s">
        <v>133</v>
      </c>
      <c r="C25" s="15">
        <f>IF(C$22&lt;&gt;"",$B$19,"")</f>
        <v>11</v>
      </c>
      <c r="D25" s="15">
        <f>IF(D22&lt;&gt;"",C54,"")</f>
        <v>9.0422571336493043</v>
      </c>
      <c r="E25" s="15">
        <f t="shared" ref="E25:L27" si="4">IF(E22&lt;&gt;"",D54,"")</f>
        <v>7.1583227281020116</v>
      </c>
      <c r="F25" s="15">
        <f t="shared" si="4"/>
        <v>6.1</v>
      </c>
      <c r="G25" s="15">
        <f t="shared" si="4"/>
        <v>6.1</v>
      </c>
      <c r="H25" s="15">
        <f t="shared" si="4"/>
        <v>6.1</v>
      </c>
      <c r="I25" s="15">
        <f t="shared" si="4"/>
        <v>6.5412633845777961</v>
      </c>
      <c r="J25" s="15">
        <f t="shared" si="4"/>
        <v>6.9598271461039474</v>
      </c>
      <c r="K25" s="15">
        <f t="shared" si="4"/>
        <v>7.3566034979989432</v>
      </c>
      <c r="L25" s="15">
        <f t="shared" si="4"/>
        <v>7.7326946450337939</v>
      </c>
    </row>
    <row r="26" spans="1:13" x14ac:dyDescent="0.35">
      <c r="A26" t="s">
        <v>134</v>
      </c>
      <c r="C26" s="15">
        <f>IF(C$22&lt;&gt;"",$C$19,"")</f>
        <v>10.1</v>
      </c>
      <c r="D26" s="15">
        <f>IF(D23&lt;&gt;"",C55,"")</f>
        <v>9.718845186350725</v>
      </c>
      <c r="E26" s="15">
        <f t="shared" si="4"/>
        <v>9.3335709548974197</v>
      </c>
      <c r="F26" s="15">
        <f t="shared" si="4"/>
        <v>9.0368781650462786</v>
      </c>
      <c r="G26" s="15">
        <f t="shared" si="4"/>
        <v>8.7384806907198929</v>
      </c>
      <c r="H26" s="15">
        <f t="shared" si="4"/>
        <v>8.4522218958828468</v>
      </c>
      <c r="I26" s="15">
        <f t="shared" si="4"/>
        <v>8.1779369537044531</v>
      </c>
      <c r="J26" s="15">
        <f t="shared" si="4"/>
        <v>7.9218155970783037</v>
      </c>
      <c r="K26" s="15">
        <f t="shared" si="4"/>
        <v>7.6819316125838828</v>
      </c>
      <c r="L26" s="15">
        <f t="shared" si="4"/>
        <v>7.4569397480484607</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132</v>
      </c>
      <c r="C28"/>
    </row>
    <row r="29" spans="1:13" x14ac:dyDescent="0.35">
      <c r="A29" t="s">
        <v>130</v>
      </c>
      <c r="B29" s="37">
        <v>0.5</v>
      </c>
      <c r="C29" s="15">
        <f>C25</f>
        <v>11</v>
      </c>
      <c r="D29" s="15">
        <f t="shared" ref="D29:L30" si="5">IF(D22&lt;&gt;"",$B29*D$24,"")</f>
        <v>9.3805511600000138</v>
      </c>
      <c r="E29" s="15">
        <f t="shared" si="5"/>
        <v>8.2459468414997161</v>
      </c>
      <c r="F29" s="15">
        <f t="shared" si="5"/>
        <v>7.5684390825231391</v>
      </c>
      <c r="G29" s="15">
        <f t="shared" si="5"/>
        <v>7.4192403453599463</v>
      </c>
      <c r="H29" s="15">
        <f t="shared" si="5"/>
        <v>7.2761109479414232</v>
      </c>
      <c r="I29" s="15">
        <f t="shared" si="5"/>
        <v>7.3596001691411246</v>
      </c>
      <c r="J29" s="15">
        <f t="shared" si="5"/>
        <v>7.4408213715911256</v>
      </c>
      <c r="K29" s="15">
        <f t="shared" si="5"/>
        <v>7.519267555291413</v>
      </c>
      <c r="L29" s="15">
        <f t="shared" si="5"/>
        <v>7.5948171965411273</v>
      </c>
    </row>
    <row r="30" spans="1:13" x14ac:dyDescent="0.35">
      <c r="A30" t="s">
        <v>131</v>
      </c>
      <c r="B30" s="37">
        <f>1-B29</f>
        <v>0.5</v>
      </c>
      <c r="C30" s="15">
        <f>C26</f>
        <v>10.1</v>
      </c>
      <c r="D30" s="15">
        <f t="shared" si="5"/>
        <v>9.3805511600000138</v>
      </c>
      <c r="E30" s="15">
        <f t="shared" si="5"/>
        <v>8.2459468414997161</v>
      </c>
      <c r="F30" s="15">
        <f t="shared" si="5"/>
        <v>7.5684390825231391</v>
      </c>
      <c r="G30" s="15">
        <f t="shared" si="5"/>
        <v>7.4192403453599463</v>
      </c>
      <c r="H30" s="15">
        <f t="shared" si="5"/>
        <v>7.2761109479414232</v>
      </c>
      <c r="I30" s="15">
        <f t="shared" si="5"/>
        <v>7.3596001691411246</v>
      </c>
      <c r="J30" s="15">
        <f t="shared" si="5"/>
        <v>7.4408213715911256</v>
      </c>
      <c r="K30" s="15">
        <f t="shared" si="5"/>
        <v>7.519267555291413</v>
      </c>
      <c r="L30" s="15">
        <f t="shared" si="5"/>
        <v>7.5948171965411273</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0.95220863700059999</v>
      </c>
      <c r="E31" s="15">
        <f>IF(E$22&lt;&gt;"",VLOOKUP(E29*1000000,'Powell-Elevation-Area'!$B$5:$D$689,3)*$B$18/1000000 + VLOOKUP(E30*1000000,'Mead-Elevation-Area'!$B$5:$D$676,3)*$C$18/1000000,"")</f>
        <v>0.88116204509999996</v>
      </c>
      <c r="F31" s="15">
        <f>IF(F$22&lt;&gt;"",VLOOKUP(F29*1000000,'Powell-Elevation-Area'!$B$5:$D$689,3)*$B$18/1000000 + VLOOKUP(F30*1000000,'Mead-Elevation-Area'!$B$5:$D$676,3)*$C$18/1000000,"")</f>
        <v>0.8381717076006</v>
      </c>
      <c r="G31" s="15">
        <f>IF(G$22&lt;&gt;"",VLOOKUP(G29*1000000,'Powell-Elevation-Area'!$B$5:$D$689,3)*$B$18/1000000 + VLOOKUP(G30*1000000,'Mead-Elevation-Area'!$B$5:$D$676,3)*$C$18/1000000,"")</f>
        <v>0.82909363259882696</v>
      </c>
      <c r="H31" s="15">
        <f>IF(H$22&lt;&gt;"",VLOOKUP(H29*1000000,'Powell-Elevation-Area'!$B$5:$D$689,3)*$B$18/1000000 + VLOOKUP(H30*1000000,'Mead-Elevation-Area'!$B$5:$D$676,3)*$C$18/1000000,"")</f>
        <v>0.82002155760060003</v>
      </c>
      <c r="I31" s="15">
        <f>IF(I$22&lt;&gt;"",VLOOKUP(I29*1000000,'Powell-Elevation-Area'!$B$5:$D$689,3)*$B$18/1000000 + VLOOKUP(I30*1000000,'Mead-Elevation-Area'!$B$5:$D$676,3)*$C$18/1000000,"")</f>
        <v>0.82455759509999993</v>
      </c>
      <c r="J31" s="15">
        <f>IF(J$22&lt;&gt;"",VLOOKUP(J29*1000000,'Powell-Elevation-Area'!$B$5:$D$689,3)*$B$18/1000000 + VLOOKUP(J30*1000000,'Mead-Elevation-Area'!$B$5:$D$676,3)*$C$18/1000000,"")</f>
        <v>0.83010763259942699</v>
      </c>
      <c r="K31" s="15">
        <f>IF(K$22&lt;&gt;"",VLOOKUP(K29*1000000,'Powell-Elevation-Area'!$B$5:$D$689,3)*$B$18/1000000 + VLOOKUP(K30*1000000,'Mead-Elevation-Area'!$B$5:$D$676,3)*$C$18/1000000,"")</f>
        <v>0.83590071750057304</v>
      </c>
      <c r="L31" s="15">
        <f>IF(L$22&lt;&gt;"",VLOOKUP(L29*1000000,'Powell-Elevation-Area'!$B$5:$D$689,3)*$B$18/1000000 + VLOOKUP(L30*1000000,'Mead-Elevation-Area'!$B$5:$D$676,3)*$C$18/1000000,"")</f>
        <v>0.84044275499999999</v>
      </c>
    </row>
    <row r="32" spans="1:13" x14ac:dyDescent="0.35">
      <c r="A32" t="s">
        <v>109</v>
      </c>
      <c r="B32" s="1"/>
      <c r="C32" s="15">
        <f>IF(C$22&lt;&gt;"",C$31*C25/C$24,"")</f>
        <v>0.5327428663506969</v>
      </c>
      <c r="D32" s="15">
        <f t="shared" ref="D32:L34" si="6">IF(D$22&lt;&gt;"",D$31*D25/D$24,"")</f>
        <v>0.45893440554729326</v>
      </c>
      <c r="E32" s="15">
        <f t="shared" si="6"/>
        <v>0.38246925524886044</v>
      </c>
      <c r="F32" s="15">
        <f t="shared" si="6"/>
        <v>0.33777423327421147</v>
      </c>
      <c r="G32" s="15">
        <f t="shared" si="6"/>
        <v>0.34083483776178164</v>
      </c>
      <c r="H32" s="15">
        <f t="shared" si="6"/>
        <v>0.34373661542220413</v>
      </c>
      <c r="I32" s="15">
        <f t="shared" si="6"/>
        <v>0.36643623847384904</v>
      </c>
      <c r="J32" s="15">
        <f t="shared" si="6"/>
        <v>0.38822364810500409</v>
      </c>
      <c r="K32" s="15">
        <f t="shared" si="6"/>
        <v>0.40890885296514889</v>
      </c>
      <c r="L32" s="15">
        <f t="shared" si="6"/>
        <v>0.42785013930326771</v>
      </c>
    </row>
    <row r="33" spans="1:13" x14ac:dyDescent="0.35">
      <c r="A33" t="s">
        <v>110</v>
      </c>
      <c r="B33" s="1"/>
      <c r="C33" s="15">
        <f>IF(C$22&lt;&gt;"",C$31*C26/C$24,"")</f>
        <v>0.48915481364927621</v>
      </c>
      <c r="D33" s="15">
        <f t="shared" si="6"/>
        <v>0.4932742314533069</v>
      </c>
      <c r="E33" s="15">
        <f t="shared" si="6"/>
        <v>0.49869278985113941</v>
      </c>
      <c r="F33" s="15">
        <f t="shared" si="6"/>
        <v>0.50039747432638848</v>
      </c>
      <c r="G33" s="15">
        <f t="shared" si="6"/>
        <v>0.48825879483704526</v>
      </c>
      <c r="H33" s="15">
        <f t="shared" si="6"/>
        <v>0.4762849421783959</v>
      </c>
      <c r="I33" s="15">
        <f t="shared" si="6"/>
        <v>0.45812135662615089</v>
      </c>
      <c r="J33" s="15">
        <f t="shared" si="6"/>
        <v>0.44188398449442284</v>
      </c>
      <c r="K33" s="15">
        <f t="shared" si="6"/>
        <v>0.42699186453542415</v>
      </c>
      <c r="L33" s="15">
        <f t="shared" si="6"/>
        <v>0.41259261569673228</v>
      </c>
    </row>
    <row r="34" spans="1:13" x14ac:dyDescent="0.35">
      <c r="A34" t="s">
        <v>111</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135</v>
      </c>
      <c r="B35" s="1"/>
      <c r="C35" s="45">
        <f>IF(C22&lt;&gt;"",1.5-IF(C$26&lt;$O$51,$Q$51,IF(C$26&lt;=$O$58,VLOOKUP(C$26,$O$51:$Q$58,3),0)),"")</f>
        <v>1.45</v>
      </c>
      <c r="D35" s="45">
        <f t="shared" ref="D35:L35" si="7">IF(D22&lt;&gt;"",1.5-IF(D$26&lt;$O$51,$Q$51,IF(D$26&lt;=$O$58,VLOOKUP(D$26,$O$51:$Q$58,3),0)),"")</f>
        <v>1.45</v>
      </c>
      <c r="E35" s="45">
        <f t="shared" si="7"/>
        <v>1.43</v>
      </c>
      <c r="F35" s="45">
        <f t="shared" si="7"/>
        <v>1.43</v>
      </c>
      <c r="G35" s="45">
        <f t="shared" si="7"/>
        <v>1.43</v>
      </c>
      <c r="H35" s="45">
        <f t="shared" si="7"/>
        <v>1.43</v>
      </c>
      <c r="I35" s="45">
        <f t="shared" si="7"/>
        <v>1.43</v>
      </c>
      <c r="J35" s="45">
        <f t="shared" si="7"/>
        <v>1.43</v>
      </c>
      <c r="K35" s="45">
        <f t="shared" si="7"/>
        <v>1.43</v>
      </c>
      <c r="L35" s="45">
        <f t="shared" si="7"/>
        <v>1.43</v>
      </c>
    </row>
    <row r="36" spans="1:13" x14ac:dyDescent="0.35">
      <c r="A36" s="1" t="s">
        <v>150</v>
      </c>
      <c r="B36" s="1"/>
      <c r="C36" s="15">
        <f>IF(C$22&lt;&gt;"",C22-C35/2,"")</f>
        <v>10.275</v>
      </c>
      <c r="D36" s="15">
        <f t="shared" ref="D36:L36" si="8">IF(D$22&lt;&gt;"",D22-D35/2,"")</f>
        <v>10.275</v>
      </c>
      <c r="E36" s="15">
        <f t="shared" si="8"/>
        <v>10.285</v>
      </c>
      <c r="F36" s="15">
        <f t="shared" si="8"/>
        <v>10.285</v>
      </c>
      <c r="G36" s="15">
        <f t="shared" si="8"/>
        <v>10.285</v>
      </c>
      <c r="H36" s="15">
        <f t="shared" si="8"/>
        <v>10.285</v>
      </c>
      <c r="I36" s="15">
        <f t="shared" si="8"/>
        <v>10.285</v>
      </c>
      <c r="J36" s="15">
        <f t="shared" si="8"/>
        <v>10.285</v>
      </c>
      <c r="K36" s="15">
        <f t="shared" si="8"/>
        <v>10.285</v>
      </c>
      <c r="L36" s="15">
        <f t="shared" si="8"/>
        <v>10.285</v>
      </c>
    </row>
    <row r="37" spans="1:13" x14ac:dyDescent="0.35">
      <c r="A37" t="s">
        <v>0</v>
      </c>
      <c r="B37" s="25"/>
      <c r="C37" s="15">
        <f>IF(C22&lt;&gt;"",MAX(0,C36-C38),"")</f>
        <v>2.7750000000000004</v>
      </c>
      <c r="D37" s="15">
        <f t="shared" ref="D37:L37" si="9">IF(D22&lt;&gt;"",MAX(0,D36-D38),"")</f>
        <v>2.7750000000000004</v>
      </c>
      <c r="E37" s="15">
        <f t="shared" si="9"/>
        <v>2.7850000000000001</v>
      </c>
      <c r="F37" s="15">
        <f t="shared" si="9"/>
        <v>2.7850000000000001</v>
      </c>
      <c r="G37" s="15">
        <f t="shared" si="9"/>
        <v>2.7850000000000001</v>
      </c>
      <c r="H37" s="15">
        <f t="shared" si="9"/>
        <v>2.7850000000000001</v>
      </c>
      <c r="I37" s="15">
        <f t="shared" si="9"/>
        <v>2.7850000000000001</v>
      </c>
      <c r="J37" s="15">
        <f t="shared" si="9"/>
        <v>2.7850000000000001</v>
      </c>
      <c r="K37" s="15">
        <f t="shared" si="9"/>
        <v>2.7850000000000001</v>
      </c>
      <c r="L37" s="15">
        <f t="shared" si="9"/>
        <v>2.7850000000000001</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13.242257133649304</v>
      </c>
      <c r="D45" s="15">
        <f t="shared" ref="D45:L45" si="11">IF(D$22&lt;&gt;"",D25+D37-D32-D40,"")</f>
        <v>11.358322728102012</v>
      </c>
      <c r="E45" s="15">
        <f t="shared" si="11"/>
        <v>9.5608534728531502</v>
      </c>
      <c r="F45" s="15">
        <f>IF(F$22&lt;&gt;"",F25+F37-F32-F40,"")</f>
        <v>8.5472257667257878</v>
      </c>
      <c r="G45" s="15">
        <f t="shared" si="11"/>
        <v>8.5441651622382189</v>
      </c>
      <c r="H45" s="15">
        <f t="shared" si="11"/>
        <v>8.5412633845777961</v>
      </c>
      <c r="I45" s="15">
        <f t="shared" si="11"/>
        <v>8.9598271461039474</v>
      </c>
      <c r="J45" s="15">
        <f t="shared" si="11"/>
        <v>9.3566034979989432</v>
      </c>
      <c r="K45" s="15">
        <f t="shared" si="11"/>
        <v>9.7326946450337939</v>
      </c>
      <c r="L45" s="15">
        <f t="shared" si="11"/>
        <v>10.089844505730527</v>
      </c>
    </row>
    <row r="46" spans="1:13" x14ac:dyDescent="0.35">
      <c r="A46" t="s">
        <v>3</v>
      </c>
      <c r="C46" s="15">
        <f>IF(C$22&lt;&gt;"",C26+C38-C33+C40+C42+C23-C35/2,"")</f>
        <v>17.185845186350726</v>
      </c>
      <c r="D46" s="15">
        <f t="shared" ref="D46:L46" si="12">IF(D$22&lt;&gt;"",D26+D38-D33+D40+D42+D23-D35/2,"")</f>
        <v>16.80057095489742</v>
      </c>
      <c r="E46" s="15">
        <f t="shared" si="12"/>
        <v>16.419878165046278</v>
      </c>
      <c r="F46" s="15">
        <f t="shared" si="12"/>
        <v>16.121480690719892</v>
      </c>
      <c r="G46" s="15">
        <f t="shared" si="12"/>
        <v>15.835221895882846</v>
      </c>
      <c r="H46" s="15">
        <f t="shared" si="12"/>
        <v>15.560936953704452</v>
      </c>
      <c r="I46" s="15">
        <f t="shared" si="12"/>
        <v>15.304815597078303</v>
      </c>
      <c r="J46" s="15">
        <f t="shared" si="12"/>
        <v>15.064931612583882</v>
      </c>
      <c r="K46" s="15">
        <f t="shared" si="12"/>
        <v>14.83993974804846</v>
      </c>
      <c r="L46" s="15">
        <f t="shared" si="12"/>
        <v>14.629347132351729</v>
      </c>
    </row>
    <row r="47" spans="1:13" x14ac:dyDescent="0.35">
      <c r="A47" t="s">
        <v>4</v>
      </c>
      <c r="C47" s="15">
        <f>IF(C$22&lt;&gt;"",C27+C35-C34-C42,"")</f>
        <v>1.45</v>
      </c>
      <c r="D47" s="15">
        <f t="shared" ref="D47:L47" si="13">IF(D$22&lt;&gt;"",D27+D35-D34-D42,"")</f>
        <v>1.45</v>
      </c>
      <c r="E47" s="15">
        <f t="shared" si="13"/>
        <v>1.43</v>
      </c>
      <c r="F47" s="15">
        <f t="shared" si="13"/>
        <v>1.43</v>
      </c>
      <c r="G47" s="15">
        <f t="shared" si="13"/>
        <v>1.43</v>
      </c>
      <c r="H47" s="15">
        <f t="shared" si="13"/>
        <v>1.43</v>
      </c>
      <c r="I47" s="15">
        <f t="shared" si="13"/>
        <v>1.43</v>
      </c>
      <c r="J47" s="15">
        <f t="shared" si="13"/>
        <v>1.43</v>
      </c>
      <c r="K47" s="15">
        <f t="shared" si="13"/>
        <v>1.43</v>
      </c>
      <c r="L47" s="15">
        <f t="shared" si="13"/>
        <v>1.43</v>
      </c>
    </row>
    <row r="48" spans="1:13" x14ac:dyDescent="0.35">
      <c r="A48" s="1" t="s">
        <v>151</v>
      </c>
      <c r="B48" s="1"/>
      <c r="C48" s="30"/>
      <c r="D48" s="2"/>
      <c r="E48" s="2"/>
      <c r="F48" s="2"/>
      <c r="G48" s="2"/>
      <c r="H48" s="2"/>
      <c r="I48" s="2"/>
      <c r="J48" s="2"/>
      <c r="K48" s="2"/>
      <c r="L48" s="2"/>
    </row>
    <row r="49" spans="1:18" x14ac:dyDescent="0.35">
      <c r="A49" t="s">
        <v>152</v>
      </c>
      <c r="C49" s="45">
        <f>IF(C45&gt;6.1+4.2,4.2,MAX(C45-6.1,0))</f>
        <v>4.2</v>
      </c>
      <c r="D49" s="45">
        <f t="shared" ref="D49:G49" si="14">IF(D45&gt;6.1+4.2,4.2,MAX(D45-6.1,0))</f>
        <v>4.2</v>
      </c>
      <c r="E49" s="45">
        <f t="shared" si="14"/>
        <v>3.4608534728531506</v>
      </c>
      <c r="F49" s="45">
        <f t="shared" si="14"/>
        <v>2.4472257667257882</v>
      </c>
      <c r="G49" s="45">
        <f t="shared" si="14"/>
        <v>2.4441651622382192</v>
      </c>
      <c r="H49" s="45">
        <v>2</v>
      </c>
      <c r="I49" s="45">
        <v>2</v>
      </c>
      <c r="J49" s="45">
        <v>2</v>
      </c>
      <c r="K49" s="45">
        <v>2</v>
      </c>
      <c r="L49" s="45">
        <v>2</v>
      </c>
      <c r="M49" s="51"/>
      <c r="N49" s="1" t="s">
        <v>144</v>
      </c>
    </row>
    <row r="50" spans="1:18" x14ac:dyDescent="0.35">
      <c r="A50" t="s">
        <v>153</v>
      </c>
      <c r="C50" s="45">
        <f>7.5-IF(C26&lt;$O$51,$P$51,IF(C26&lt;=$O$58,VLOOKUP(C26,$O$51:$P$58,2),0))</f>
        <v>6.867</v>
      </c>
      <c r="D50" s="45">
        <f t="shared" ref="D50:G50" si="15">7.5-IF(D26&lt;$O$51,$P$51,IF(D26&lt;=$O$58,VLOOKUP(D26,$O$51:$P$58,2),0))</f>
        <v>6.867</v>
      </c>
      <c r="E50" s="45">
        <f t="shared" si="15"/>
        <v>6.7829999999999995</v>
      </c>
      <c r="F50" s="45">
        <f t="shared" si="15"/>
        <v>6.7829999999999995</v>
      </c>
      <c r="G50" s="45">
        <f t="shared" si="15"/>
        <v>6.7829999999999995</v>
      </c>
      <c r="H50" s="45">
        <f t="shared" ref="H50:L50" si="16">G50</f>
        <v>6.7829999999999995</v>
      </c>
      <c r="I50" s="45">
        <f t="shared" si="16"/>
        <v>6.7829999999999995</v>
      </c>
      <c r="J50" s="45">
        <f t="shared" si="16"/>
        <v>6.7829999999999995</v>
      </c>
      <c r="K50" s="45">
        <f t="shared" si="16"/>
        <v>6.7829999999999995</v>
      </c>
      <c r="L50" s="45">
        <f t="shared" si="16"/>
        <v>6.7829999999999995</v>
      </c>
      <c r="N50" s="39" t="s">
        <v>145</v>
      </c>
      <c r="O50" s="39" t="s">
        <v>146</v>
      </c>
      <c r="P50" s="40" t="s">
        <v>147</v>
      </c>
      <c r="Q50" s="40" t="s">
        <v>148</v>
      </c>
      <c r="R50" s="39" t="s">
        <v>149</v>
      </c>
    </row>
    <row r="51" spans="1:18" x14ac:dyDescent="0.35">
      <c r="A51" t="s">
        <v>154</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155</v>
      </c>
      <c r="C52" s="45">
        <f>IF(C22&lt;&gt;"",C35,"")</f>
        <v>1.45</v>
      </c>
      <c r="D52" s="45">
        <f t="shared" ref="D52:L52" si="19">IF(D22&lt;&gt;"",D35,"")</f>
        <v>1.45</v>
      </c>
      <c r="E52" s="45">
        <f t="shared" si="19"/>
        <v>1.43</v>
      </c>
      <c r="F52" s="45">
        <f t="shared" si="19"/>
        <v>1.43</v>
      </c>
      <c r="G52" s="45">
        <f t="shared" si="19"/>
        <v>1.43</v>
      </c>
      <c r="H52" s="45">
        <f t="shared" si="19"/>
        <v>1.43</v>
      </c>
      <c r="I52" s="45">
        <f t="shared" si="19"/>
        <v>1.43</v>
      </c>
      <c r="J52" s="45">
        <f t="shared" si="19"/>
        <v>1.43</v>
      </c>
      <c r="K52" s="45">
        <f t="shared" si="19"/>
        <v>1.43</v>
      </c>
      <c r="L52" s="45">
        <f t="shared" si="19"/>
        <v>1.43</v>
      </c>
      <c r="N52" s="41">
        <v>1030</v>
      </c>
      <c r="O52" s="42">
        <v>6.305377</v>
      </c>
      <c r="P52" s="43">
        <f t="shared" si="18"/>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9.0422571336493043</v>
      </c>
      <c r="D54" s="15">
        <f t="shared" ref="D54:L54" si="20">IF(D$22&lt;&gt;"",D45-D49,"")</f>
        <v>7.1583227281020116</v>
      </c>
      <c r="E54" s="15">
        <f t="shared" si="20"/>
        <v>6.1</v>
      </c>
      <c r="F54" s="15">
        <f t="shared" si="20"/>
        <v>6.1</v>
      </c>
      <c r="G54" s="15">
        <f t="shared" si="20"/>
        <v>6.1</v>
      </c>
      <c r="H54" s="15">
        <f t="shared" si="20"/>
        <v>6.5412633845777961</v>
      </c>
      <c r="I54" s="15">
        <f t="shared" si="20"/>
        <v>6.9598271461039474</v>
      </c>
      <c r="J54" s="15">
        <f t="shared" si="20"/>
        <v>7.3566034979989432</v>
      </c>
      <c r="K54" s="15">
        <f t="shared" si="20"/>
        <v>7.7326946450337939</v>
      </c>
      <c r="L54" s="15">
        <f t="shared" si="20"/>
        <v>8.089844505730527</v>
      </c>
      <c r="N54" s="41">
        <v>1040</v>
      </c>
      <c r="O54" s="42">
        <v>6.977665</v>
      </c>
      <c r="P54" s="43">
        <f t="shared" si="18"/>
        <v>1.0169999999999999</v>
      </c>
      <c r="Q54" s="44">
        <v>7.0000000000000007E-2</v>
      </c>
      <c r="R54" s="43">
        <v>1.087</v>
      </c>
    </row>
    <row r="55" spans="1:18" x14ac:dyDescent="0.35">
      <c r="A55" t="s">
        <v>3</v>
      </c>
      <c r="C55" s="15">
        <f>IF(C$22&lt;&gt;"",C46-C50-C51,"")</f>
        <v>9.718845186350725</v>
      </c>
      <c r="D55" s="15">
        <f t="shared" ref="D55:L55" si="21">IF(D$22&lt;&gt;"",D46-D50-D51,"")</f>
        <v>9.3335709548974197</v>
      </c>
      <c r="E55" s="15">
        <f t="shared" si="21"/>
        <v>9.0368781650462786</v>
      </c>
      <c r="F55" s="15">
        <f t="shared" si="21"/>
        <v>8.7384806907198929</v>
      </c>
      <c r="G55" s="15">
        <f t="shared" si="21"/>
        <v>8.4522218958828468</v>
      </c>
      <c r="H55" s="15">
        <f t="shared" si="21"/>
        <v>8.1779369537044531</v>
      </c>
      <c r="I55" s="15">
        <f t="shared" si="21"/>
        <v>7.9218155970783037</v>
      </c>
      <c r="J55" s="15">
        <f t="shared" si="21"/>
        <v>7.6819316125838828</v>
      </c>
      <c r="K55" s="15">
        <f t="shared" si="21"/>
        <v>7.4569397480484607</v>
      </c>
      <c r="L55" s="15">
        <f t="shared" si="21"/>
        <v>7.2463471323517297</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8"/>
        <v>0.71700000000000008</v>
      </c>
      <c r="Q56" s="44">
        <v>7.0000000000000007E-2</v>
      </c>
      <c r="R56" s="43">
        <v>0.78700000000000003</v>
      </c>
    </row>
    <row r="57" spans="1:18" x14ac:dyDescent="0.35">
      <c r="A57" s="1" t="s">
        <v>140</v>
      </c>
      <c r="B57" s="1"/>
      <c r="C57" s="15">
        <f>IF(C$22&lt;&gt;"",SUM(C54:C56),"")</f>
        <v>18.761102320000028</v>
      </c>
      <c r="D57" s="15">
        <f t="shared" ref="D57:L57" si="23">IF(D$22&lt;&gt;"",SUM(D54:D56),"")</f>
        <v>16.491893682999432</v>
      </c>
      <c r="E57" s="15">
        <f t="shared" si="23"/>
        <v>15.136878165046278</v>
      </c>
      <c r="F57" s="15">
        <f t="shared" si="23"/>
        <v>14.838480690719893</v>
      </c>
      <c r="G57" s="15">
        <f t="shared" si="23"/>
        <v>14.552221895882846</v>
      </c>
      <c r="H57" s="15">
        <f t="shared" si="23"/>
        <v>14.719200338282249</v>
      </c>
      <c r="I57" s="15">
        <f t="shared" si="23"/>
        <v>14.881642743182251</v>
      </c>
      <c r="J57" s="15">
        <f t="shared" si="23"/>
        <v>15.038535110582826</v>
      </c>
      <c r="K57" s="15">
        <f t="shared" si="23"/>
        <v>15.189634393082255</v>
      </c>
      <c r="L57" s="15">
        <f t="shared" si="23"/>
        <v>15.336191638082257</v>
      </c>
      <c r="N57" s="41">
        <v>1075</v>
      </c>
      <c r="O57" s="42">
        <v>9.6009879999900001</v>
      </c>
      <c r="P57" s="43">
        <f t="shared" si="18"/>
        <v>0.63300000000000001</v>
      </c>
      <c r="Q57" s="44">
        <v>0.05</v>
      </c>
      <c r="R57" s="43">
        <v>0.68300000000000005</v>
      </c>
    </row>
    <row r="58" spans="1:18" x14ac:dyDescent="0.35">
      <c r="N58" s="41">
        <v>1090</v>
      </c>
      <c r="O58" s="42">
        <v>10.857008</v>
      </c>
      <c r="P58" s="43">
        <f t="shared" si="18"/>
        <v>0.3</v>
      </c>
      <c r="Q58" s="40"/>
      <c r="R58" s="43">
        <v>0.3</v>
      </c>
    </row>
    <row r="59" spans="1:18" x14ac:dyDescent="0.35">
      <c r="A59" s="1" t="s">
        <v>142</v>
      </c>
      <c r="C59" s="12">
        <f>IF(C$22&lt;&gt;"",0.2,"")</f>
        <v>0.2</v>
      </c>
      <c r="D59" s="12">
        <f t="shared" ref="D59:L59" si="24">IF(D$22&lt;&gt;"",0.2,"")</f>
        <v>0.2</v>
      </c>
      <c r="E59" s="12">
        <f t="shared" si="24"/>
        <v>0.2</v>
      </c>
      <c r="F59" s="12">
        <f t="shared" si="24"/>
        <v>0.2</v>
      </c>
      <c r="G59" s="12">
        <f t="shared" si="24"/>
        <v>0.2</v>
      </c>
      <c r="H59" s="12">
        <f t="shared" si="24"/>
        <v>0.2</v>
      </c>
      <c r="I59" s="12">
        <f t="shared" si="24"/>
        <v>0.2</v>
      </c>
      <c r="J59" s="12">
        <f t="shared" si="24"/>
        <v>0.2</v>
      </c>
      <c r="K59" s="12">
        <f t="shared" si="24"/>
        <v>0.2</v>
      </c>
      <c r="L59" s="12">
        <f t="shared" si="24"/>
        <v>0.2</v>
      </c>
    </row>
    <row r="60" spans="1:18" x14ac:dyDescent="0.35">
      <c r="A60" t="s">
        <v>143</v>
      </c>
      <c r="C60" s="15">
        <f>IF(C$22&lt;&gt;"",C50+C59,"")</f>
        <v>7.0670000000000002</v>
      </c>
      <c r="D60" s="15">
        <f t="shared" ref="D60:L60" si="25">IF(D$22&lt;&gt;"",D50+D59,"")</f>
        <v>7.0670000000000002</v>
      </c>
      <c r="E60" s="15">
        <f t="shared" si="25"/>
        <v>6.9829999999999997</v>
      </c>
      <c r="F60" s="15">
        <f t="shared" si="25"/>
        <v>6.9829999999999997</v>
      </c>
      <c r="G60" s="15">
        <f t="shared" si="25"/>
        <v>6.9829999999999997</v>
      </c>
      <c r="H60" s="15">
        <f t="shared" si="25"/>
        <v>6.9829999999999997</v>
      </c>
      <c r="I60" s="15">
        <f t="shared" si="25"/>
        <v>6.9829999999999997</v>
      </c>
      <c r="J60" s="15">
        <f t="shared" si="25"/>
        <v>6.9829999999999997</v>
      </c>
      <c r="K60" s="15">
        <f t="shared" si="25"/>
        <v>6.9829999999999997</v>
      </c>
      <c r="L60" s="15">
        <f t="shared" si="25"/>
        <v>6.9829999999999997</v>
      </c>
    </row>
    <row r="62" spans="1:18" x14ac:dyDescent="0.35">
      <c r="D62" s="19"/>
    </row>
  </sheetData>
  <mergeCells count="4">
    <mergeCell ref="C5:H5"/>
    <mergeCell ref="C6:H6"/>
    <mergeCell ref="C7:H7"/>
    <mergeCell ref="C8:H8"/>
  </mergeCells>
  <conditionalFormatting sqref="H49:L49">
    <cfRule type="cellIs" dxfId="46" priority="33" operator="greaterThan">
      <formula>$C$45</formula>
    </cfRule>
  </conditionalFormatting>
  <conditionalFormatting sqref="H49">
    <cfRule type="cellIs" dxfId="45" priority="27" operator="greaterThan">
      <formula>$H$45</formula>
    </cfRule>
  </conditionalFormatting>
  <conditionalFormatting sqref="I49">
    <cfRule type="cellIs" dxfId="44" priority="26" operator="greaterThan">
      <formula>$I$45</formula>
    </cfRule>
  </conditionalFormatting>
  <conditionalFormatting sqref="J49">
    <cfRule type="cellIs" dxfId="43" priority="25" operator="greaterThan">
      <formula>$J$45</formula>
    </cfRule>
  </conditionalFormatting>
  <conditionalFormatting sqref="K49">
    <cfRule type="cellIs" dxfId="42" priority="24" operator="greaterThan">
      <formula>$K$45</formula>
    </cfRule>
  </conditionalFormatting>
  <conditionalFormatting sqref="L49">
    <cfRule type="cellIs" dxfId="41" priority="23" operator="greaterThan">
      <formula>$L$45</formula>
    </cfRule>
  </conditionalFormatting>
  <conditionalFormatting sqref="H50:L50">
    <cfRule type="cellIs" dxfId="40" priority="21" operator="greaterThan">
      <formula>$D$46</formula>
    </cfRule>
  </conditionalFormatting>
  <conditionalFormatting sqref="H50">
    <cfRule type="cellIs" dxfId="39" priority="16" operator="greaterThan">
      <formula>$H$46</formula>
    </cfRule>
  </conditionalFormatting>
  <conditionalFormatting sqref="I50">
    <cfRule type="cellIs" dxfId="38" priority="15" operator="greaterThan">
      <formula>$I$46</formula>
    </cfRule>
  </conditionalFormatting>
  <conditionalFormatting sqref="J50">
    <cfRule type="cellIs" dxfId="37" priority="14" operator="greaterThan">
      <formula>$J$46</formula>
    </cfRule>
  </conditionalFormatting>
  <conditionalFormatting sqref="K50">
    <cfRule type="cellIs" dxfId="36" priority="13" operator="greaterThan">
      <formula>$K$46</formula>
    </cfRule>
  </conditionalFormatting>
  <conditionalFormatting sqref="L50">
    <cfRule type="cellIs" dxfId="35" priority="12" operator="greaterThan">
      <formula>$L$46</formula>
    </cfRule>
  </conditionalFormatting>
  <conditionalFormatting sqref="C52:L52">
    <cfRule type="cellIs" dxfId="34" priority="11" operator="greaterThan">
      <formula>$C$47</formula>
    </cfRule>
  </conditionalFormatting>
  <conditionalFormatting sqref="C49:G49">
    <cfRule type="cellIs" dxfId="24" priority="1" operator="greaterThan">
      <formula>$C$45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R62"/>
  <sheetViews>
    <sheetView topLeftCell="A24" zoomScale="150" zoomScaleNormal="150" workbookViewId="0">
      <selection activeCell="C35" sqref="C35"/>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c r="C5" s="64"/>
      <c r="D5" s="64"/>
      <c r="E5" s="64"/>
      <c r="F5" s="64"/>
      <c r="G5" s="64"/>
      <c r="H5" s="64"/>
    </row>
    <row r="6" spans="1:11" x14ac:dyDescent="0.35">
      <c r="A6" s="17" t="s">
        <v>41</v>
      </c>
      <c r="B6" s="36"/>
      <c r="C6" s="64"/>
      <c r="D6" s="64"/>
      <c r="E6" s="64"/>
      <c r="F6" s="64"/>
      <c r="G6" s="64"/>
      <c r="H6" s="64"/>
    </row>
    <row r="7" spans="1:11" x14ac:dyDescent="0.35">
      <c r="A7" s="17" t="s">
        <v>42</v>
      </c>
      <c r="B7" s="36"/>
      <c r="C7" s="64"/>
      <c r="D7" s="64"/>
      <c r="E7" s="64"/>
      <c r="F7" s="64"/>
      <c r="G7" s="64"/>
      <c r="H7" s="64"/>
    </row>
    <row r="8" spans="1:11" x14ac:dyDescent="0.35">
      <c r="A8" s="17" t="s">
        <v>43</v>
      </c>
      <c r="B8" s="36"/>
      <c r="C8" s="64"/>
      <c r="D8" s="64"/>
      <c r="E8" s="64"/>
      <c r="F8" s="64"/>
      <c r="G8" s="64"/>
      <c r="H8" s="64"/>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48" t="s">
        <v>36</v>
      </c>
      <c r="B21" s="48" t="s">
        <v>50</v>
      </c>
      <c r="C21" s="49" t="s">
        <v>6</v>
      </c>
      <c r="D21" s="49" t="s">
        <v>7</v>
      </c>
      <c r="E21" s="49" t="s">
        <v>8</v>
      </c>
      <c r="F21" s="49" t="s">
        <v>9</v>
      </c>
      <c r="G21" s="49" t="s">
        <v>10</v>
      </c>
      <c r="H21" s="49" t="s">
        <v>11</v>
      </c>
      <c r="I21" s="49" t="s">
        <v>12</v>
      </c>
      <c r="J21" s="49" t="s">
        <v>13</v>
      </c>
      <c r="K21" s="49" t="s">
        <v>37</v>
      </c>
      <c r="L21" s="49" t="s">
        <v>38</v>
      </c>
      <c r="M21" s="49" t="s">
        <v>117</v>
      </c>
    </row>
    <row r="22" spans="1:13" x14ac:dyDescent="0.35">
      <c r="A22" s="1" t="s">
        <v>46</v>
      </c>
      <c r="B22" s="1"/>
      <c r="C22" s="47">
        <v>12.4</v>
      </c>
      <c r="D22" s="47">
        <v>12.4</v>
      </c>
      <c r="E22" s="47">
        <v>12.4</v>
      </c>
      <c r="F22" s="47">
        <v>12.4</v>
      </c>
      <c r="G22" s="47">
        <v>12.4</v>
      </c>
      <c r="H22" s="47">
        <v>12.4</v>
      </c>
      <c r="I22" s="47">
        <v>12.4</v>
      </c>
      <c r="J22" s="47">
        <v>12.4</v>
      </c>
      <c r="K22" s="47">
        <v>12.4</v>
      </c>
      <c r="L22" s="47">
        <v>12.4</v>
      </c>
    </row>
    <row r="23" spans="1:13" x14ac:dyDescent="0.35">
      <c r="A23" s="1" t="s">
        <v>138</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3" x14ac:dyDescent="0.35">
      <c r="A24" s="1" t="s">
        <v>141</v>
      </c>
      <c r="B24" s="1"/>
      <c r="C24" s="15">
        <f>IF(C$22&lt;&gt;"",SUM(C25:C27),"")</f>
        <v>21.1</v>
      </c>
      <c r="D24" s="15">
        <f>IF(D$22&lt;&gt;"",C57,"")</f>
        <v>20.161102320000026</v>
      </c>
      <c r="E24" s="15">
        <f t="shared" ref="E24:L24" si="1">IF(E$22&lt;&gt;"",D57,"")</f>
        <v>19.251005839999458</v>
      </c>
      <c r="F24" s="15">
        <f t="shared" si="1"/>
        <v>18.471346086000029</v>
      </c>
      <c r="G24" s="15">
        <f t="shared" si="1"/>
        <v>17.714356007500029</v>
      </c>
      <c r="H24" s="15">
        <f t="shared" si="1"/>
        <v>16.981009124001204</v>
      </c>
      <c r="I24" s="15">
        <f t="shared" si="1"/>
        <v>16.271009916001205</v>
      </c>
      <c r="J24" s="15">
        <f t="shared" si="1"/>
        <v>15.582619908400638</v>
      </c>
      <c r="K24" s="15">
        <f t="shared" si="1"/>
        <v>14.917660088301236</v>
      </c>
      <c r="L24" s="15">
        <f t="shared" si="1"/>
        <v>14.273295408301813</v>
      </c>
    </row>
    <row r="25" spans="1:13" x14ac:dyDescent="0.35">
      <c r="A25" t="s">
        <v>133</v>
      </c>
      <c r="C25" s="15">
        <f>IF(C$22&lt;&gt;"",$B$19,"")</f>
        <v>11</v>
      </c>
      <c r="D25" s="15">
        <f>IF(D22&lt;&gt;"",C54,"")</f>
        <v>10.442257133649303</v>
      </c>
      <c r="E25" s="15">
        <f t="shared" ref="E25:L25" si="2">IF(E22&lt;&gt;"",D54,"")</f>
        <v>9.9028919646178117</v>
      </c>
      <c r="F25" s="15">
        <f t="shared" si="2"/>
        <v>9.3906334218714242</v>
      </c>
      <c r="G25" s="15">
        <f t="shared" si="2"/>
        <v>8.8957190323188442</v>
      </c>
      <c r="H25" s="15">
        <f t="shared" si="2"/>
        <v>8.4185431968321076</v>
      </c>
      <c r="I25" s="15">
        <f t="shared" si="2"/>
        <v>7.9588448561782004</v>
      </c>
      <c r="J25" s="15">
        <f t="shared" si="2"/>
        <v>7.5156542708912957</v>
      </c>
      <c r="K25" s="15">
        <f t="shared" si="2"/>
        <v>7.0897454828828073</v>
      </c>
      <c r="L25" s="15">
        <f t="shared" si="2"/>
        <v>6.6796323116639114</v>
      </c>
    </row>
    <row r="26" spans="1:13" x14ac:dyDescent="0.35">
      <c r="A26" t="s">
        <v>134</v>
      </c>
      <c r="C26" s="15">
        <f>IF(C$22&lt;&gt;"",$C$19,"")</f>
        <v>10.1</v>
      </c>
      <c r="D26" s="15">
        <f>IF(D23&lt;&gt;"",C55,"")</f>
        <v>9.718845186350725</v>
      </c>
      <c r="E26" s="15">
        <f t="shared" ref="E26:L27" si="3">IF(E23&lt;&gt;"",D55,"")</f>
        <v>9.3481138753816442</v>
      </c>
      <c r="F26" s="15">
        <f t="shared" si="3"/>
        <v>9.0807126641286047</v>
      </c>
      <c r="G26" s="15">
        <f t="shared" si="3"/>
        <v>8.8186369751811853</v>
      </c>
      <c r="H26" s="15">
        <f t="shared" si="3"/>
        <v>8.5624659271690966</v>
      </c>
      <c r="I26" s="15">
        <f t="shared" si="3"/>
        <v>8.3121650598230055</v>
      </c>
      <c r="J26" s="15">
        <f t="shared" si="3"/>
        <v>8.066965637509341</v>
      </c>
      <c r="K26" s="15">
        <f t="shared" si="3"/>
        <v>7.8279146054184299</v>
      </c>
      <c r="L26" s="15">
        <f t="shared" si="3"/>
        <v>7.5936630966379006</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x14ac:dyDescent="0.35">
      <c r="A28" s="1" t="s">
        <v>132</v>
      </c>
      <c r="C28"/>
    </row>
    <row r="29" spans="1:13" x14ac:dyDescent="0.35">
      <c r="A29" t="s">
        <v>130</v>
      </c>
      <c r="B29" s="37">
        <v>0.5</v>
      </c>
      <c r="C29" s="15">
        <f>C25</f>
        <v>11</v>
      </c>
      <c r="D29" s="15">
        <f t="shared" ref="D29:L30" si="4">IF(D22&lt;&gt;"",$B29*D$24,"")</f>
        <v>10.080551160000013</v>
      </c>
      <c r="E29" s="15">
        <f t="shared" si="4"/>
        <v>9.6255029199997288</v>
      </c>
      <c r="F29" s="15">
        <f t="shared" si="4"/>
        <v>9.2356730430000145</v>
      </c>
      <c r="G29" s="15">
        <f t="shared" si="4"/>
        <v>8.8571780037500147</v>
      </c>
      <c r="H29" s="15">
        <f t="shared" si="4"/>
        <v>8.4905045620006021</v>
      </c>
      <c r="I29" s="15">
        <f t="shared" si="4"/>
        <v>8.1355049580006025</v>
      </c>
      <c r="J29" s="15">
        <f t="shared" si="4"/>
        <v>7.7913099542003188</v>
      </c>
      <c r="K29" s="15">
        <f t="shared" si="4"/>
        <v>7.4588300441506181</v>
      </c>
      <c r="L29" s="15">
        <f t="shared" si="4"/>
        <v>7.1366477041509064</v>
      </c>
    </row>
    <row r="30" spans="1:13" x14ac:dyDescent="0.35">
      <c r="A30" t="s">
        <v>131</v>
      </c>
      <c r="B30" s="37">
        <f>1-B29</f>
        <v>0.5</v>
      </c>
      <c r="C30" s="15">
        <f>C26</f>
        <v>10.1</v>
      </c>
      <c r="D30" s="15">
        <f t="shared" si="4"/>
        <v>10.080551160000013</v>
      </c>
      <c r="E30" s="15">
        <f t="shared" si="4"/>
        <v>9.6255029199997288</v>
      </c>
      <c r="F30" s="15">
        <f t="shared" si="4"/>
        <v>9.2356730430000145</v>
      </c>
      <c r="G30" s="15">
        <f t="shared" si="4"/>
        <v>8.8571780037500147</v>
      </c>
      <c r="H30" s="15">
        <f t="shared" si="4"/>
        <v>8.4905045620006021</v>
      </c>
      <c r="I30" s="15">
        <f t="shared" si="4"/>
        <v>8.1355049580006025</v>
      </c>
      <c r="J30" s="15">
        <f t="shared" si="4"/>
        <v>7.7913099542003188</v>
      </c>
      <c r="K30" s="15">
        <f t="shared" si="4"/>
        <v>7.4588300441506181</v>
      </c>
      <c r="L30" s="15">
        <f t="shared" si="4"/>
        <v>7.1366477041509064</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0.99309648000057305</v>
      </c>
      <c r="E31" s="15">
        <f>IF(E$22&lt;&gt;"",VLOOKUP(E29*1000000,'Powell-Elevation-Area'!$B$5:$D$689,3)*$B$18/1000000 + VLOOKUP(E30*1000000,'Mead-Elevation-Area'!$B$5:$D$676,3)*$C$18/1000000,"")</f>
        <v>0.96665975399942705</v>
      </c>
      <c r="F31" s="15">
        <f>IF(F$22&lt;&gt;"",VLOOKUP(F29*1000000,'Powell-Elevation-Area'!$B$5:$D$689,3)*$B$18/1000000 + VLOOKUP(F30*1000000,'Mead-Elevation-Area'!$B$5:$D$676,3)*$C$18/1000000,"")</f>
        <v>0.94399007849999994</v>
      </c>
      <c r="G31" s="15">
        <f>IF(G$22&lt;&gt;"",VLOOKUP(G29*1000000,'Powell-Elevation-Area'!$B$5:$D$689,3)*$B$18/1000000 + VLOOKUP(G30*1000000,'Mead-Elevation-Area'!$B$5:$D$676,3)*$C$18/1000000,"")</f>
        <v>0.92034688349882698</v>
      </c>
      <c r="H31" s="15">
        <f>IF(H$22&lt;&gt;"",VLOOKUP(H29*1000000,'Powell-Elevation-Area'!$B$5:$D$689,3)*$B$18/1000000 + VLOOKUP(H30*1000000,'Mead-Elevation-Area'!$B$5:$D$676,3)*$C$18/1000000,"")</f>
        <v>0.89699920799999999</v>
      </c>
      <c r="I31" s="15">
        <f>IF(I$22&lt;&gt;"",VLOOKUP(I29*1000000,'Powell-Elevation-Area'!$B$5:$D$689,3)*$B$18/1000000 + VLOOKUP(I30*1000000,'Mead-Elevation-Area'!$B$5:$D$676,3)*$C$18/1000000,"")</f>
        <v>0.87539000760057295</v>
      </c>
      <c r="J31" s="15">
        <f>IF(J$22&lt;&gt;"",VLOOKUP(J29*1000000,'Powell-Elevation-Area'!$B$5:$D$689,3)*$B$18/1000000 + VLOOKUP(J30*1000000,'Mead-Elevation-Area'!$B$5:$D$676,3)*$C$18/1000000,"")</f>
        <v>0.85195982009939997</v>
      </c>
      <c r="K31" s="15">
        <f>IF(K$22&lt;&gt;"",VLOOKUP(K29*1000000,'Powell-Elevation-Area'!$B$5:$D$689,3)*$B$18/1000000 + VLOOKUP(K30*1000000,'Mead-Elevation-Area'!$B$5:$D$676,3)*$C$18/1000000,"")</f>
        <v>0.83136467999942698</v>
      </c>
      <c r="L31" s="15">
        <f>IF(L$22&lt;&gt;"",VLOOKUP(L29*1000000,'Powell-Elevation-Area'!$B$5:$D$689,3)*$B$18/1000000 + VLOOKUP(L30*1000000,'Mead-Elevation-Area'!$B$5:$D$676,3)*$C$18/1000000,"")</f>
        <v>0.81094348260060001</v>
      </c>
    </row>
    <row r="32" spans="1:13" x14ac:dyDescent="0.35">
      <c r="A32" t="s">
        <v>109</v>
      </c>
      <c r="B32" s="1"/>
      <c r="C32" s="15">
        <f>IF(C$22&lt;&gt;"",C$31*C25/C$24,"")</f>
        <v>0.5327428663506969</v>
      </c>
      <c r="D32" s="15">
        <f t="shared" ref="D32:L32" si="5">IF(D$22&lt;&gt;"",D$31*D25/D$24,"")</f>
        <v>0.51436516903149088</v>
      </c>
      <c r="E32" s="15">
        <f t="shared" si="5"/>
        <v>0.49725854274638909</v>
      </c>
      <c r="F32" s="15">
        <f t="shared" si="5"/>
        <v>0.47991438955257931</v>
      </c>
      <c r="G32" s="15">
        <f t="shared" si="5"/>
        <v>0.46217583548673835</v>
      </c>
      <c r="H32" s="15">
        <f t="shared" si="5"/>
        <v>0.4446983406539069</v>
      </c>
      <c r="I32" s="15">
        <f t="shared" si="5"/>
        <v>0.42819058528690651</v>
      </c>
      <c r="J32" s="15">
        <f t="shared" si="5"/>
        <v>0.41090878800848757</v>
      </c>
      <c r="K32" s="15">
        <f t="shared" si="5"/>
        <v>0.39511317121889533</v>
      </c>
      <c r="L32" s="15">
        <f t="shared" si="5"/>
        <v>0.37950621313152666</v>
      </c>
    </row>
    <row r="33" spans="1:13" x14ac:dyDescent="0.35">
      <c r="A33" t="s">
        <v>110</v>
      </c>
      <c r="B33" s="1"/>
      <c r="C33" s="15">
        <f>IF(C$22&lt;&gt;"",C$31*C26/C$24,"")</f>
        <v>0.48915481364927621</v>
      </c>
      <c r="D33" s="15">
        <f t="shared" ref="D33:L33" si="6">IF(D$22&lt;&gt;"",D$31*D26/D$24,"")</f>
        <v>0.47873131096908228</v>
      </c>
      <c r="E33" s="15">
        <f t="shared" si="6"/>
        <v>0.46940121125303785</v>
      </c>
      <c r="F33" s="15">
        <f t="shared" si="6"/>
        <v>0.46407568894742063</v>
      </c>
      <c r="G33" s="15">
        <f t="shared" si="6"/>
        <v>0.45817104801208858</v>
      </c>
      <c r="H33" s="15">
        <f t="shared" si="6"/>
        <v>0.45230086734609315</v>
      </c>
      <c r="I33" s="15">
        <f t="shared" si="6"/>
        <v>0.44719942231366644</v>
      </c>
      <c r="J33" s="15">
        <f t="shared" si="6"/>
        <v>0.44105103209091234</v>
      </c>
      <c r="K33" s="15">
        <f t="shared" si="6"/>
        <v>0.4362515087805317</v>
      </c>
      <c r="L33" s="15">
        <f t="shared" si="6"/>
        <v>0.43143726946907329</v>
      </c>
    </row>
    <row r="34" spans="1:13" x14ac:dyDescent="0.35">
      <c r="A34" t="s">
        <v>111</v>
      </c>
      <c r="B34" s="1"/>
      <c r="C34" s="15">
        <f>IF(C$22&lt;&gt;"",C$31*C27/C$24,"")</f>
        <v>0</v>
      </c>
      <c r="D34" s="15">
        <f t="shared" ref="D34:L34" si="7">IF(D$22&lt;&gt;"",D$31*D27/D$24,"")</f>
        <v>0</v>
      </c>
      <c r="E34" s="15">
        <f t="shared" si="7"/>
        <v>0</v>
      </c>
      <c r="F34" s="15">
        <f t="shared" si="7"/>
        <v>0</v>
      </c>
      <c r="G34" s="15">
        <f t="shared" si="7"/>
        <v>0</v>
      </c>
      <c r="H34" s="15">
        <f t="shared" si="7"/>
        <v>0</v>
      </c>
      <c r="I34" s="15">
        <f t="shared" si="7"/>
        <v>0</v>
      </c>
      <c r="J34" s="15">
        <f t="shared" si="7"/>
        <v>0</v>
      </c>
      <c r="K34" s="15">
        <f t="shared" si="7"/>
        <v>0</v>
      </c>
      <c r="L34" s="15">
        <f t="shared" si="7"/>
        <v>0</v>
      </c>
    </row>
    <row r="35" spans="1:13" x14ac:dyDescent="0.35">
      <c r="A35" s="1" t="s">
        <v>135</v>
      </c>
      <c r="B35" s="1"/>
      <c r="C35" s="45">
        <f>IF(C22&lt;&gt;"",1.5-IF(C$26&lt;$O$51,$Q$51,IF(C$26&lt;=$O$58,VLOOKUP(C$26,$O$51:$Q$58,3),0)),"")</f>
        <v>1.45</v>
      </c>
      <c r="D35" s="45">
        <f t="shared" ref="D35:L35" si="8">IF(D22&lt;&gt;"",1.5-IF(D$26&lt;$O$51,$Q$51,IF(D$26&lt;=$O$58,VLOOKUP(D$26,$O$51:$Q$58,3),0)),"")</f>
        <v>1.45</v>
      </c>
      <c r="E35" s="45">
        <f t="shared" si="8"/>
        <v>1.43</v>
      </c>
      <c r="F35" s="45">
        <f t="shared" si="8"/>
        <v>1.43</v>
      </c>
      <c r="G35" s="45">
        <f t="shared" si="8"/>
        <v>1.43</v>
      </c>
      <c r="H35" s="45">
        <f t="shared" si="8"/>
        <v>1.43</v>
      </c>
      <c r="I35" s="45">
        <f t="shared" si="8"/>
        <v>1.43</v>
      </c>
      <c r="J35" s="45">
        <f t="shared" si="8"/>
        <v>1.43</v>
      </c>
      <c r="K35" s="45">
        <f t="shared" si="8"/>
        <v>1.43</v>
      </c>
      <c r="L35" s="45">
        <f t="shared" si="8"/>
        <v>1.43</v>
      </c>
    </row>
    <row r="36" spans="1:13" x14ac:dyDescent="0.35">
      <c r="A36" s="1" t="s">
        <v>150</v>
      </c>
      <c r="B36" s="1"/>
      <c r="C36" s="15">
        <f>IF(C$22&lt;&gt;"",C22-C35/2,"")</f>
        <v>11.675000000000001</v>
      </c>
      <c r="D36" s="15">
        <f t="shared" ref="D36:L36" si="9">IF(D$22&lt;&gt;"",D22-D35/2,"")</f>
        <v>11.675000000000001</v>
      </c>
      <c r="E36" s="15">
        <f t="shared" si="9"/>
        <v>11.685</v>
      </c>
      <c r="F36" s="15">
        <f t="shared" si="9"/>
        <v>11.685</v>
      </c>
      <c r="G36" s="15">
        <f t="shared" si="9"/>
        <v>11.685</v>
      </c>
      <c r="H36" s="15">
        <f t="shared" si="9"/>
        <v>11.685</v>
      </c>
      <c r="I36" s="15">
        <f t="shared" si="9"/>
        <v>11.685</v>
      </c>
      <c r="J36" s="15">
        <f t="shared" si="9"/>
        <v>11.685</v>
      </c>
      <c r="K36" s="15">
        <f t="shared" si="9"/>
        <v>11.685</v>
      </c>
      <c r="L36" s="15">
        <f t="shared" si="9"/>
        <v>11.685</v>
      </c>
    </row>
    <row r="37" spans="1:13" x14ac:dyDescent="0.35">
      <c r="A37" t="s">
        <v>0</v>
      </c>
      <c r="B37" s="25"/>
      <c r="C37" s="15">
        <f>IF(C21&lt;&gt;"",MAX(0,C36-C38),"")</f>
        <v>4.1750000000000007</v>
      </c>
      <c r="D37" s="15">
        <f t="shared" ref="D37:L37" si="10">IF(D21&lt;&gt;"",MAX(0,D36-D38),"")</f>
        <v>4.1750000000000007</v>
      </c>
      <c r="E37" s="15">
        <f t="shared" si="10"/>
        <v>4.1850000000000005</v>
      </c>
      <c r="F37" s="15">
        <f t="shared" si="10"/>
        <v>4.1850000000000005</v>
      </c>
      <c r="G37" s="15">
        <f t="shared" si="10"/>
        <v>4.1850000000000005</v>
      </c>
      <c r="H37" s="15">
        <f t="shared" si="10"/>
        <v>4.1850000000000005</v>
      </c>
      <c r="I37" s="15">
        <f t="shared" si="10"/>
        <v>4.1850000000000005</v>
      </c>
      <c r="J37" s="15">
        <f t="shared" si="10"/>
        <v>4.1850000000000005</v>
      </c>
      <c r="K37" s="15">
        <f t="shared" si="10"/>
        <v>4.1850000000000005</v>
      </c>
      <c r="L37" s="15">
        <f t="shared" si="10"/>
        <v>4.1850000000000005</v>
      </c>
    </row>
    <row r="38" spans="1:13" x14ac:dyDescent="0.35">
      <c r="A38" t="s">
        <v>1</v>
      </c>
      <c r="B38" s="46">
        <v>7.5</v>
      </c>
      <c r="C38" s="15">
        <f>IF(C22&lt;&gt;"",IF(C36&gt;$B38,$B38,C36),"")</f>
        <v>7.5</v>
      </c>
      <c r="D38" s="15">
        <f t="shared" ref="D38:L38" si="11">IF(D22&lt;&gt;"",IF(D36&gt;$B38,$B38,D36),"")</f>
        <v>7.5</v>
      </c>
      <c r="E38" s="15">
        <f t="shared" si="11"/>
        <v>7.5</v>
      </c>
      <c r="F38" s="15">
        <f t="shared" si="11"/>
        <v>7.5</v>
      </c>
      <c r="G38" s="15">
        <f t="shared" si="11"/>
        <v>7.5</v>
      </c>
      <c r="H38" s="15">
        <f t="shared" si="11"/>
        <v>7.5</v>
      </c>
      <c r="I38" s="15">
        <f t="shared" si="11"/>
        <v>7.5</v>
      </c>
      <c r="J38" s="15">
        <f t="shared" si="11"/>
        <v>7.5</v>
      </c>
      <c r="K38" s="15">
        <f t="shared" si="11"/>
        <v>7.5</v>
      </c>
      <c r="L38" s="15">
        <f t="shared" si="11"/>
        <v>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14.642257133649304</v>
      </c>
      <c r="D45" s="15">
        <f t="shared" ref="D45:L45" si="12">IF(D$22&lt;&gt;"",D25+D37-D32-D40,"")</f>
        <v>14.102891964617813</v>
      </c>
      <c r="E45" s="15">
        <f t="shared" si="12"/>
        <v>13.590633421871424</v>
      </c>
      <c r="F45" s="15">
        <f t="shared" si="12"/>
        <v>13.095719032318845</v>
      </c>
      <c r="G45" s="15">
        <f t="shared" si="12"/>
        <v>12.618543196832107</v>
      </c>
      <c r="H45" s="15">
        <f t="shared" si="12"/>
        <v>12.158844856178201</v>
      </c>
      <c r="I45" s="15">
        <f t="shared" si="12"/>
        <v>11.715654270891296</v>
      </c>
      <c r="J45" s="15">
        <f t="shared" si="12"/>
        <v>11.289745482882807</v>
      </c>
      <c r="K45" s="15">
        <f t="shared" si="12"/>
        <v>10.879632311663912</v>
      </c>
      <c r="L45" s="15">
        <f t="shared" si="12"/>
        <v>10.485126098532385</v>
      </c>
    </row>
    <row r="46" spans="1:13" x14ac:dyDescent="0.35">
      <c r="A46" t="s">
        <v>3</v>
      </c>
      <c r="C46" s="15">
        <f>IF(C$22&lt;&gt;"",C26+C38-C33+C40+C42+C23-C35/2,"")</f>
        <v>17.185845186350726</v>
      </c>
      <c r="D46" s="15">
        <f t="shared" ref="D46:L46" si="13">IF(D$22&lt;&gt;"",D26+D38-D33+D40+D42+D23-D35/2,"")</f>
        <v>16.815113875381645</v>
      </c>
      <c r="E46" s="15">
        <f t="shared" si="13"/>
        <v>16.463712664128604</v>
      </c>
      <c r="F46" s="15">
        <f t="shared" si="13"/>
        <v>16.201636975181184</v>
      </c>
      <c r="G46" s="15">
        <f t="shared" si="13"/>
        <v>15.945465927169096</v>
      </c>
      <c r="H46" s="15">
        <f t="shared" si="13"/>
        <v>15.695165059823005</v>
      </c>
      <c r="I46" s="15">
        <f t="shared" si="13"/>
        <v>15.44996563750934</v>
      </c>
      <c r="J46" s="15">
        <f t="shared" si="13"/>
        <v>15.210914605418429</v>
      </c>
      <c r="K46" s="15">
        <f t="shared" si="13"/>
        <v>14.9766630966379</v>
      </c>
      <c r="L46" s="15">
        <f t="shared" si="13"/>
        <v>14.747225827168828</v>
      </c>
    </row>
    <row r="47" spans="1:13" x14ac:dyDescent="0.35">
      <c r="A47" t="s">
        <v>4</v>
      </c>
      <c r="C47" s="15">
        <f>IF(C$22&lt;&gt;"",C27+C35-C34-C42,"")</f>
        <v>1.45</v>
      </c>
      <c r="D47" s="15">
        <f t="shared" ref="D47:L47" si="14">IF(D$22&lt;&gt;"",D27+D35-D34-D42,"")</f>
        <v>1.45</v>
      </c>
      <c r="E47" s="15">
        <f t="shared" si="14"/>
        <v>1.43</v>
      </c>
      <c r="F47" s="15">
        <f t="shared" si="14"/>
        <v>1.43</v>
      </c>
      <c r="G47" s="15">
        <f t="shared" si="14"/>
        <v>1.43</v>
      </c>
      <c r="H47" s="15">
        <f t="shared" si="14"/>
        <v>1.43</v>
      </c>
      <c r="I47" s="15">
        <f t="shared" si="14"/>
        <v>1.43</v>
      </c>
      <c r="J47" s="15">
        <f t="shared" si="14"/>
        <v>1.43</v>
      </c>
      <c r="K47" s="15">
        <f t="shared" si="14"/>
        <v>1.43</v>
      </c>
      <c r="L47" s="15">
        <f t="shared" si="14"/>
        <v>1.43</v>
      </c>
    </row>
    <row r="48" spans="1:13" x14ac:dyDescent="0.35">
      <c r="A48" s="1" t="s">
        <v>151</v>
      </c>
      <c r="B48" s="1"/>
      <c r="C48" s="30"/>
      <c r="D48" s="2"/>
      <c r="E48" s="2"/>
      <c r="F48" s="2"/>
      <c r="G48" s="2"/>
      <c r="H48" s="2"/>
      <c r="I48" s="2"/>
      <c r="J48" s="2"/>
      <c r="K48" s="2"/>
      <c r="L48" s="2"/>
    </row>
    <row r="49" spans="1:18" x14ac:dyDescent="0.35">
      <c r="A49" t="s">
        <v>152</v>
      </c>
      <c r="C49" s="26">
        <v>4.2</v>
      </c>
      <c r="D49" s="26">
        <f>C49</f>
        <v>4.2</v>
      </c>
      <c r="E49" s="26">
        <f>D49</f>
        <v>4.2</v>
      </c>
      <c r="F49" s="26">
        <f t="shared" ref="F49:K49" si="15">E49</f>
        <v>4.2</v>
      </c>
      <c r="G49" s="26">
        <f t="shared" si="15"/>
        <v>4.2</v>
      </c>
      <c r="H49" s="26">
        <f t="shared" si="15"/>
        <v>4.2</v>
      </c>
      <c r="I49" s="26">
        <f t="shared" si="15"/>
        <v>4.2</v>
      </c>
      <c r="J49" s="26">
        <f t="shared" si="15"/>
        <v>4.2</v>
      </c>
      <c r="K49" s="26">
        <f t="shared" si="15"/>
        <v>4.2</v>
      </c>
      <c r="L49" s="26">
        <v>4.0999999999999996</v>
      </c>
      <c r="N49" s="1" t="s">
        <v>144</v>
      </c>
    </row>
    <row r="50" spans="1:18" x14ac:dyDescent="0.35">
      <c r="A50" t="s">
        <v>153</v>
      </c>
      <c r="C50" s="45">
        <f>7.5-IF(C$26&lt;$O$51,$P$51,IF(C$26&lt;=$O$58,VLOOKUP(C$26,$O$51:$P$58,2),0))</f>
        <v>6.867</v>
      </c>
      <c r="D50" s="45">
        <f t="shared" ref="D50:L50" si="16">7.5-IF(D$26&lt;$O$51,$P$51,IF(D$26&lt;=$O$58,VLOOKUP(D$26,$O$51:$P$58,2),0))</f>
        <v>6.867</v>
      </c>
      <c r="E50" s="45">
        <f t="shared" si="16"/>
        <v>6.7829999999999995</v>
      </c>
      <c r="F50" s="45">
        <f t="shared" si="16"/>
        <v>6.7829999999999995</v>
      </c>
      <c r="G50" s="45">
        <f t="shared" si="16"/>
        <v>6.7829999999999995</v>
      </c>
      <c r="H50" s="45">
        <f t="shared" si="16"/>
        <v>6.7829999999999995</v>
      </c>
      <c r="I50" s="45">
        <f t="shared" si="16"/>
        <v>6.7829999999999995</v>
      </c>
      <c r="J50" s="45">
        <f t="shared" si="16"/>
        <v>6.7829999999999995</v>
      </c>
      <c r="K50" s="45">
        <f t="shared" si="16"/>
        <v>6.7829999999999995</v>
      </c>
      <c r="L50" s="45">
        <f t="shared" si="16"/>
        <v>6.5330000000000004</v>
      </c>
      <c r="N50" s="39" t="s">
        <v>145</v>
      </c>
      <c r="O50" s="39" t="s">
        <v>146</v>
      </c>
      <c r="P50" s="40" t="s">
        <v>147</v>
      </c>
      <c r="Q50" s="40" t="s">
        <v>148</v>
      </c>
      <c r="R50" s="39" t="s">
        <v>149</v>
      </c>
    </row>
    <row r="51" spans="1:18" x14ac:dyDescent="0.35">
      <c r="A51" t="s">
        <v>154</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155</v>
      </c>
      <c r="C52" s="45">
        <f>C35</f>
        <v>1.45</v>
      </c>
      <c r="D52" s="45">
        <f t="shared" ref="D52:L52" si="19">D35</f>
        <v>1.45</v>
      </c>
      <c r="E52" s="45">
        <f t="shared" si="19"/>
        <v>1.43</v>
      </c>
      <c r="F52" s="45">
        <f t="shared" si="19"/>
        <v>1.43</v>
      </c>
      <c r="G52" s="45">
        <f t="shared" si="19"/>
        <v>1.43</v>
      </c>
      <c r="H52" s="45">
        <f t="shared" si="19"/>
        <v>1.43</v>
      </c>
      <c r="I52" s="45">
        <f t="shared" si="19"/>
        <v>1.43</v>
      </c>
      <c r="J52" s="45">
        <f t="shared" si="19"/>
        <v>1.43</v>
      </c>
      <c r="K52" s="45">
        <f t="shared" si="19"/>
        <v>1.43</v>
      </c>
      <c r="L52" s="45">
        <f t="shared" si="19"/>
        <v>1.43</v>
      </c>
      <c r="N52" s="41">
        <v>1030</v>
      </c>
      <c r="O52" s="42">
        <v>6.305377</v>
      </c>
      <c r="P52" s="43">
        <f t="shared" si="18"/>
        <v>1.117</v>
      </c>
      <c r="Q52" s="44">
        <v>7.0000000000000007E-2</v>
      </c>
      <c r="R52" s="43">
        <v>1.1870000000000001</v>
      </c>
    </row>
    <row r="53" spans="1:18" x14ac:dyDescent="0.35">
      <c r="A53" s="1" t="s">
        <v>5</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10.442257133649303</v>
      </c>
      <c r="D54" s="15">
        <f t="shared" ref="D54:L54" si="20">IF(D$22&lt;&gt;"",D45-D49,"")</f>
        <v>9.9028919646178117</v>
      </c>
      <c r="E54" s="15">
        <f t="shared" si="20"/>
        <v>9.3906334218714242</v>
      </c>
      <c r="F54" s="15">
        <f t="shared" si="20"/>
        <v>8.8957190323188442</v>
      </c>
      <c r="G54" s="15">
        <f t="shared" si="20"/>
        <v>8.4185431968321076</v>
      </c>
      <c r="H54" s="15">
        <f t="shared" si="20"/>
        <v>7.9588448561782004</v>
      </c>
      <c r="I54" s="15">
        <f t="shared" si="20"/>
        <v>7.5156542708912957</v>
      </c>
      <c r="J54" s="15">
        <f t="shared" si="20"/>
        <v>7.0897454828828073</v>
      </c>
      <c r="K54" s="15">
        <f t="shared" si="20"/>
        <v>6.6796323116639114</v>
      </c>
      <c r="L54" s="15">
        <f t="shared" si="20"/>
        <v>6.3851260985323854</v>
      </c>
      <c r="N54" s="41">
        <v>1040</v>
      </c>
      <c r="O54" s="42">
        <v>6.977665</v>
      </c>
      <c r="P54" s="43">
        <f t="shared" si="18"/>
        <v>1.0169999999999999</v>
      </c>
      <c r="Q54" s="44">
        <v>7.0000000000000007E-2</v>
      </c>
      <c r="R54" s="43">
        <v>1.087</v>
      </c>
    </row>
    <row r="55" spans="1:18" x14ac:dyDescent="0.35">
      <c r="A55" t="s">
        <v>3</v>
      </c>
      <c r="C55" s="15">
        <f>IF(C$22&lt;&gt;"",C46-C50-C51,"")</f>
        <v>9.718845186350725</v>
      </c>
      <c r="D55" s="15">
        <f t="shared" ref="D55:K55" si="21">IF(D$22&lt;&gt;"",D46-D50-D51,"")</f>
        <v>9.3481138753816442</v>
      </c>
      <c r="E55" s="15">
        <f t="shared" si="21"/>
        <v>9.0807126641286047</v>
      </c>
      <c r="F55" s="15">
        <f t="shared" si="21"/>
        <v>8.8186369751811853</v>
      </c>
      <c r="G55" s="15">
        <f t="shared" si="21"/>
        <v>8.5624659271690966</v>
      </c>
      <c r="H55" s="15">
        <f t="shared" si="21"/>
        <v>8.3121650598230055</v>
      </c>
      <c r="I55" s="15">
        <f t="shared" si="21"/>
        <v>8.066965637509341</v>
      </c>
      <c r="J55" s="15">
        <f t="shared" si="21"/>
        <v>7.8279146054184299</v>
      </c>
      <c r="K55" s="15">
        <f t="shared" si="21"/>
        <v>7.5936630966379006</v>
      </c>
      <c r="L55" s="15">
        <f>IF(L$22&lt;&gt;"",L46-L50-L51,"")</f>
        <v>7.6142258271688288</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8"/>
        <v>0.71700000000000008</v>
      </c>
      <c r="Q56" s="44">
        <v>7.0000000000000007E-2</v>
      </c>
      <c r="R56" s="43">
        <v>0.78700000000000003</v>
      </c>
    </row>
    <row r="57" spans="1:18" x14ac:dyDescent="0.35">
      <c r="A57" s="1" t="s">
        <v>140</v>
      </c>
      <c r="B57" s="1"/>
      <c r="C57" s="15">
        <f>IF(C$22&lt;&gt;"",SUM(C54:C56),"")</f>
        <v>20.161102320000026</v>
      </c>
      <c r="D57" s="15">
        <f t="shared" ref="D57:L57" si="23">IF(D$22&lt;&gt;"",SUM(D54:D56),"")</f>
        <v>19.251005839999458</v>
      </c>
      <c r="E57" s="15">
        <f t="shared" si="23"/>
        <v>18.471346086000029</v>
      </c>
      <c r="F57" s="15">
        <f t="shared" si="23"/>
        <v>17.714356007500029</v>
      </c>
      <c r="G57" s="15">
        <f t="shared" si="23"/>
        <v>16.981009124001204</v>
      </c>
      <c r="H57" s="15">
        <f t="shared" si="23"/>
        <v>16.271009916001205</v>
      </c>
      <c r="I57" s="15">
        <f t="shared" si="23"/>
        <v>15.582619908400638</v>
      </c>
      <c r="J57" s="15">
        <f t="shared" si="23"/>
        <v>14.917660088301236</v>
      </c>
      <c r="K57" s="15">
        <f t="shared" si="23"/>
        <v>14.273295408301813</v>
      </c>
      <c r="L57" s="15">
        <f t="shared" si="23"/>
        <v>13.999351925701214</v>
      </c>
      <c r="N57" s="41">
        <v>1075</v>
      </c>
      <c r="O57" s="42">
        <v>9.6009879999900001</v>
      </c>
      <c r="P57" s="43">
        <f t="shared" si="18"/>
        <v>0.63300000000000001</v>
      </c>
      <c r="Q57" s="44">
        <v>0.05</v>
      </c>
      <c r="R57" s="43">
        <v>0.68300000000000005</v>
      </c>
    </row>
    <row r="58" spans="1:18" x14ac:dyDescent="0.35">
      <c r="N58" s="41">
        <v>1090</v>
      </c>
      <c r="O58" s="42">
        <v>10.857008</v>
      </c>
      <c r="P58" s="43">
        <f t="shared" si="18"/>
        <v>0.3</v>
      </c>
      <c r="Q58" s="40"/>
      <c r="R58" s="43">
        <v>0.3</v>
      </c>
    </row>
    <row r="59" spans="1:18" x14ac:dyDescent="0.35">
      <c r="A59" s="1" t="s">
        <v>142</v>
      </c>
      <c r="C59" s="12">
        <f>IF(C$22&lt;&gt;"",0.2,"")</f>
        <v>0.2</v>
      </c>
      <c r="D59" s="12">
        <f t="shared" ref="D59:L59" si="24">IF(D$22&lt;&gt;"",0.2,"")</f>
        <v>0.2</v>
      </c>
      <c r="E59" s="12">
        <f t="shared" si="24"/>
        <v>0.2</v>
      </c>
      <c r="F59" s="12">
        <f t="shared" si="24"/>
        <v>0.2</v>
      </c>
      <c r="G59" s="12">
        <f t="shared" si="24"/>
        <v>0.2</v>
      </c>
      <c r="H59" s="12">
        <f t="shared" si="24"/>
        <v>0.2</v>
      </c>
      <c r="I59" s="12">
        <f t="shared" si="24"/>
        <v>0.2</v>
      </c>
      <c r="J59" s="12">
        <f t="shared" si="24"/>
        <v>0.2</v>
      </c>
      <c r="K59" s="12">
        <f t="shared" si="24"/>
        <v>0.2</v>
      </c>
      <c r="L59" s="12">
        <f t="shared" si="24"/>
        <v>0.2</v>
      </c>
    </row>
    <row r="60" spans="1:18" x14ac:dyDescent="0.35">
      <c r="A60" t="s">
        <v>143</v>
      </c>
      <c r="C60" s="15">
        <f>IF(C$22&lt;&gt;"",C50+C59,"")</f>
        <v>7.0670000000000002</v>
      </c>
      <c r="D60" s="15">
        <f t="shared" ref="D60:L60" si="25">IF(D$22&lt;&gt;"",D50+D59,"")</f>
        <v>7.0670000000000002</v>
      </c>
      <c r="E60" s="15">
        <f t="shared" si="25"/>
        <v>6.9829999999999997</v>
      </c>
      <c r="F60" s="15">
        <f t="shared" si="25"/>
        <v>6.9829999999999997</v>
      </c>
      <c r="G60" s="15">
        <f t="shared" si="25"/>
        <v>6.9829999999999997</v>
      </c>
      <c r="H60" s="15">
        <f t="shared" si="25"/>
        <v>6.9829999999999997</v>
      </c>
      <c r="I60" s="15">
        <f t="shared" si="25"/>
        <v>6.9829999999999997</v>
      </c>
      <c r="J60" s="15">
        <f t="shared" si="25"/>
        <v>6.9829999999999997</v>
      </c>
      <c r="K60" s="15">
        <f t="shared" si="25"/>
        <v>6.9829999999999997</v>
      </c>
      <c r="L60" s="15">
        <f t="shared" si="25"/>
        <v>6.7330000000000005</v>
      </c>
    </row>
    <row r="62" spans="1:18" x14ac:dyDescent="0.35">
      <c r="D62" s="19"/>
    </row>
  </sheetData>
  <mergeCells count="4">
    <mergeCell ref="C5:H5"/>
    <mergeCell ref="C6:H6"/>
    <mergeCell ref="C7:H7"/>
    <mergeCell ref="C8:H8"/>
  </mergeCells>
  <conditionalFormatting sqref="C49:L49">
    <cfRule type="cellIs" dxfId="23" priority="1" operator="greaterThan">
      <formula>$C$45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61</v>
      </c>
    </row>
    <row r="3" spans="1:24" x14ac:dyDescent="0.35">
      <c r="A3" t="s">
        <v>83</v>
      </c>
    </row>
    <row r="5" spans="1:24" s="1" customFormat="1" x14ac:dyDescent="0.35">
      <c r="A5" s="1" t="s">
        <v>63</v>
      </c>
      <c r="B5" s="1" t="s">
        <v>62</v>
      </c>
      <c r="C5" s="14" t="s">
        <v>6</v>
      </c>
      <c r="D5" s="14" t="s">
        <v>7</v>
      </c>
      <c r="E5" s="14" t="s">
        <v>8</v>
      </c>
      <c r="F5" s="14" t="s">
        <v>9</v>
      </c>
      <c r="G5" s="14" t="s">
        <v>10</v>
      </c>
      <c r="H5" s="14" t="s">
        <v>11</v>
      </c>
      <c r="I5" s="14" t="s">
        <v>12</v>
      </c>
      <c r="J5" s="14" t="s">
        <v>13</v>
      </c>
      <c r="K5" s="14" t="s">
        <v>37</v>
      </c>
      <c r="L5" s="14" t="s">
        <v>38</v>
      </c>
      <c r="M5" s="14" t="s">
        <v>66</v>
      </c>
      <c r="N5" s="14" t="s">
        <v>67</v>
      </c>
      <c r="O5" s="14" t="s">
        <v>68</v>
      </c>
      <c r="P5" s="14" t="s">
        <v>69</v>
      </c>
      <c r="Q5" s="14" t="s">
        <v>70</v>
      </c>
      <c r="R5" s="14" t="s">
        <v>71</v>
      </c>
      <c r="S5" s="14" t="s">
        <v>72</v>
      </c>
      <c r="T5" s="14" t="s">
        <v>73</v>
      </c>
      <c r="U5" s="14" t="s">
        <v>74</v>
      </c>
      <c r="V5" s="1" t="s">
        <v>90</v>
      </c>
      <c r="W5" s="1" t="s">
        <v>91</v>
      </c>
      <c r="X5" s="1" t="s">
        <v>64</v>
      </c>
    </row>
    <row r="6" spans="1:24" x14ac:dyDescent="0.35">
      <c r="A6" t="s">
        <v>93</v>
      </c>
      <c r="B6" t="s">
        <v>94</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78</v>
      </c>
    </row>
    <row r="7" spans="1:24" x14ac:dyDescent="0.35">
      <c r="A7" t="s">
        <v>95</v>
      </c>
      <c r="B7" t="s">
        <v>65</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78</v>
      </c>
    </row>
    <row r="8" spans="1:24" x14ac:dyDescent="0.35">
      <c r="A8" t="s">
        <v>96</v>
      </c>
      <c r="B8" t="s">
        <v>80</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79</v>
      </c>
    </row>
    <row r="9" spans="1:24" x14ac:dyDescent="0.35">
      <c r="A9" t="s">
        <v>96</v>
      </c>
      <c r="B9" t="s">
        <v>81</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79</v>
      </c>
    </row>
    <row r="10" spans="1:24" x14ac:dyDescent="0.35">
      <c r="A10" t="s">
        <v>96</v>
      </c>
      <c r="B10" t="s">
        <v>82</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79</v>
      </c>
    </row>
    <row r="11" spans="1:24" x14ac:dyDescent="0.35">
      <c r="A11" t="s">
        <v>84</v>
      </c>
      <c r="B11" t="s">
        <v>97</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86</v>
      </c>
      <c r="B12" t="s">
        <v>87</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89</v>
      </c>
    </row>
    <row r="13" spans="1:24" x14ac:dyDescent="0.35">
      <c r="A13" t="s">
        <v>88</v>
      </c>
      <c r="B13" t="s">
        <v>87</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89</v>
      </c>
    </row>
    <row r="14" spans="1:24" x14ac:dyDescent="0.35">
      <c r="A14" t="s">
        <v>85</v>
      </c>
      <c r="B14" t="s">
        <v>87</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78</v>
      </c>
    </row>
    <row r="15" spans="1:24" x14ac:dyDescent="0.35">
      <c r="A15" t="s">
        <v>92</v>
      </c>
      <c r="B15" t="s">
        <v>80</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79</v>
      </c>
    </row>
    <row r="16" spans="1:24" x14ac:dyDescent="0.35">
      <c r="A16" t="s">
        <v>92</v>
      </c>
      <c r="B16" t="s">
        <v>81</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79</v>
      </c>
    </row>
    <row r="18" spans="1:21" x14ac:dyDescent="0.35">
      <c r="A18" s="1" t="s">
        <v>98</v>
      </c>
    </row>
    <row r="19" spans="1:21" x14ac:dyDescent="0.35">
      <c r="A19" t="s">
        <v>75</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76</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77</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137</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8">
        <v>60736</v>
      </c>
      <c r="C9" s="6">
        <f t="shared" si="0"/>
        <v>2095736</v>
      </c>
      <c r="D9" s="6">
        <v>30563.999999899999</v>
      </c>
      <c r="E9" s="2">
        <v>5</v>
      </c>
    </row>
    <row r="10" spans="1:13" x14ac:dyDescent="0.35">
      <c r="A10" s="5">
        <v>897.5</v>
      </c>
      <c r="B10" s="38">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21"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2"/>
      <c r="C5" s="64"/>
      <c r="D5" s="64"/>
      <c r="E5" s="64"/>
      <c r="F5" s="64"/>
      <c r="G5" s="64"/>
      <c r="H5" s="64"/>
    </row>
    <row r="6" spans="1:11" x14ac:dyDescent="0.35">
      <c r="A6" s="17" t="s">
        <v>41</v>
      </c>
      <c r="B6" s="52"/>
      <c r="C6" s="64"/>
      <c r="D6" s="64"/>
      <c r="E6" s="64"/>
      <c r="F6" s="64"/>
      <c r="G6" s="64"/>
      <c r="H6" s="64"/>
    </row>
    <row r="7" spans="1:11" x14ac:dyDescent="0.35">
      <c r="A7" s="17" t="s">
        <v>42</v>
      </c>
      <c r="B7" s="52"/>
      <c r="C7" s="64"/>
      <c r="D7" s="64"/>
      <c r="E7" s="64"/>
      <c r="F7" s="64"/>
      <c r="G7" s="64"/>
      <c r="H7" s="64"/>
    </row>
    <row r="8" spans="1:11" x14ac:dyDescent="0.35">
      <c r="A8" s="17" t="s">
        <v>43</v>
      </c>
      <c r="B8" s="52"/>
      <c r="C8" s="64"/>
      <c r="D8" s="64"/>
      <c r="E8" s="64"/>
      <c r="F8" s="64"/>
      <c r="G8" s="64"/>
      <c r="H8" s="64"/>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159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138</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141</v>
      </c>
      <c r="B24" s="1"/>
      <c r="C24" s="15">
        <f>IF(C$22&lt;&gt;"",SUM(C25:C27),"")</f>
        <v>21.1</v>
      </c>
      <c r="D24" s="15">
        <f>IF(D$22&lt;&gt;"",C57,"")</f>
        <v>18.71110232000003</v>
      </c>
      <c r="E24" s="15">
        <f t="shared" ref="E24:L24" si="2">IF(E$22&lt;&gt;"",D57,"")</f>
        <v>16.392913683000028</v>
      </c>
      <c r="F24" s="15">
        <f t="shared" si="2"/>
        <v>15.05395331571655</v>
      </c>
      <c r="G24" s="15">
        <f t="shared" si="2"/>
        <v>14.723767238139169</v>
      </c>
      <c r="H24" s="15">
        <f t="shared" si="2"/>
        <v>14.407226771938737</v>
      </c>
      <c r="I24" s="15">
        <f t="shared" si="2"/>
        <v>14.508747251838164</v>
      </c>
      <c r="J24" s="15">
        <f t="shared" si="2"/>
        <v>14.607996684339339</v>
      </c>
      <c r="K24" s="15">
        <f t="shared" si="2"/>
        <v>14.702710079338168</v>
      </c>
      <c r="L24" s="15">
        <f t="shared" si="2"/>
        <v>14.795152484238169</v>
      </c>
    </row>
    <row r="25" spans="1:13" x14ac:dyDescent="0.35">
      <c r="A25" t="s">
        <v>133</v>
      </c>
      <c r="C25" s="15">
        <f>IF(C$22&lt;&gt;"",$B$19,"")</f>
        <v>11</v>
      </c>
      <c r="D25" s="15">
        <f>IF(D22&lt;&gt;"",C54,"")</f>
        <v>9.0172571336493021</v>
      </c>
      <c r="E25" s="15">
        <f t="shared" ref="E25:L27" si="3">IF(E22&lt;&gt;"",D54,"")</f>
        <v>7.1088601682676069</v>
      </c>
      <c r="F25" s="15">
        <f t="shared" si="3"/>
        <v>6.1</v>
      </c>
      <c r="G25" s="15">
        <f t="shared" si="3"/>
        <v>6.1</v>
      </c>
      <c r="H25" s="15">
        <f t="shared" si="3"/>
        <v>6.1</v>
      </c>
      <c r="I25" s="15">
        <f t="shared" si="3"/>
        <v>6.5047270927738641</v>
      </c>
      <c r="J25" s="15">
        <f t="shared" si="3"/>
        <v>6.8881038289447343</v>
      </c>
      <c r="K25" s="15">
        <f t="shared" si="3"/>
        <v>7.2503712989619817</v>
      </c>
      <c r="L25" s="15">
        <f t="shared" si="3"/>
        <v>7.5937558729898971</v>
      </c>
    </row>
    <row r="26" spans="1:13" x14ac:dyDescent="0.35">
      <c r="A26" t="s">
        <v>134</v>
      </c>
      <c r="C26" s="15">
        <f>IF(C$22&lt;&gt;"",$C$19,"")</f>
        <v>10.1</v>
      </c>
      <c r="D26" s="15">
        <f>IF(D23&lt;&gt;"",C55,"")</f>
        <v>9.6938451863507265</v>
      </c>
      <c r="E26" s="15">
        <f t="shared" si="3"/>
        <v>9.2840535147324221</v>
      </c>
      <c r="F26" s="15">
        <f t="shared" si="3"/>
        <v>8.9539533157165501</v>
      </c>
      <c r="G26" s="15">
        <f t="shared" si="3"/>
        <v>8.6237672381391697</v>
      </c>
      <c r="H26" s="15">
        <f t="shared" si="3"/>
        <v>8.3072267719387369</v>
      </c>
      <c r="I26" s="15">
        <f t="shared" si="3"/>
        <v>8.0040201590643001</v>
      </c>
      <c r="J26" s="15">
        <f t="shared" si="3"/>
        <v>7.7198928553946047</v>
      </c>
      <c r="K26" s="15">
        <f t="shared" si="3"/>
        <v>7.452338780376186</v>
      </c>
      <c r="L26" s="15">
        <f t="shared" si="3"/>
        <v>7.2013966112482724</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hidden="1" x14ac:dyDescent="0.35">
      <c r="A28" s="1" t="s">
        <v>132</v>
      </c>
      <c r="C28"/>
    </row>
    <row r="29" spans="1:13" hidden="1" x14ac:dyDescent="0.35">
      <c r="A29" t="s">
        <v>130</v>
      </c>
      <c r="B29" s="37">
        <v>0.5</v>
      </c>
      <c r="C29" s="15">
        <f>C25</f>
        <v>11</v>
      </c>
      <c r="D29" s="15">
        <f t="shared" ref="D29:L30" si="4">IF(D22&lt;&gt;"",$B29*D$24,"")</f>
        <v>9.3555511600000152</v>
      </c>
      <c r="E29" s="15">
        <f t="shared" si="4"/>
        <v>8.1964568415000141</v>
      </c>
      <c r="F29" s="15">
        <f t="shared" si="4"/>
        <v>7.5269766578582749</v>
      </c>
      <c r="G29" s="15">
        <f t="shared" si="4"/>
        <v>7.3618836190695847</v>
      </c>
      <c r="H29" s="15">
        <f t="shared" si="4"/>
        <v>7.2036133859693683</v>
      </c>
      <c r="I29" s="15">
        <f t="shared" si="4"/>
        <v>7.2543736259190821</v>
      </c>
      <c r="J29" s="15">
        <f t="shared" si="4"/>
        <v>7.3039983421696695</v>
      </c>
      <c r="K29" s="15">
        <f t="shared" si="4"/>
        <v>7.3513550396690839</v>
      </c>
      <c r="L29" s="15">
        <f t="shared" si="4"/>
        <v>7.3975762421190847</v>
      </c>
    </row>
    <row r="30" spans="1:13" hidden="1" x14ac:dyDescent="0.35">
      <c r="A30" t="s">
        <v>131</v>
      </c>
      <c r="B30" s="37">
        <f>1-B29</f>
        <v>0.5</v>
      </c>
      <c r="C30" s="15">
        <f>C26</f>
        <v>10.1</v>
      </c>
      <c r="D30" s="15">
        <f t="shared" si="4"/>
        <v>9.3555511600000152</v>
      </c>
      <c r="E30" s="15">
        <f t="shared" si="4"/>
        <v>8.1964568415000141</v>
      </c>
      <c r="F30" s="15">
        <f t="shared" si="4"/>
        <v>7.5269766578582749</v>
      </c>
      <c r="G30" s="15">
        <f t="shared" si="4"/>
        <v>7.3618836190695847</v>
      </c>
      <c r="H30" s="15">
        <f t="shared" si="4"/>
        <v>7.2036133859693683</v>
      </c>
      <c r="I30" s="15">
        <f t="shared" si="4"/>
        <v>7.2543736259190821</v>
      </c>
      <c r="J30" s="15">
        <f t="shared" si="4"/>
        <v>7.3039983421696695</v>
      </c>
      <c r="K30" s="15">
        <f t="shared" si="4"/>
        <v>7.3513550396690839</v>
      </c>
      <c r="L30" s="15">
        <f t="shared" si="4"/>
        <v>7.3975762421190847</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0.951188637</v>
      </c>
      <c r="E31" s="15">
        <f>IF(E$22&lt;&gt;"",VLOOKUP(E29*1000000,'Powell-Elevation-Area'!$B$5:$D$689,3)*$B$18/1000000 + VLOOKUP(E30*1000000,'Mead-Elevation-Area'!$B$5:$D$676,3)*$C$18/1000000,"")</f>
        <v>0.87773305499997312</v>
      </c>
      <c r="F31" s="15">
        <f>IF(F$22&lt;&gt;"",VLOOKUP(F29*1000000,'Powell-Elevation-Area'!$B$5:$D$689,3)*$B$18/1000000 + VLOOKUP(F30*1000000,'Mead-Elevation-Area'!$B$5:$D$676,3)*$C$18/1000000,"")</f>
        <v>0.83590071750057304</v>
      </c>
      <c r="G31" s="15">
        <f>IF(G$22&lt;&gt;"",VLOOKUP(G29*1000000,'Powell-Elevation-Area'!$B$5:$D$689,3)*$B$18/1000000 + VLOOKUP(G30*1000000,'Mead-Elevation-Area'!$B$5:$D$676,3)*$C$18/1000000,"")</f>
        <v>0.82557159509940004</v>
      </c>
      <c r="H31" s="15">
        <f>IF(H$22&lt;&gt;"",VLOOKUP(H29*1000000,'Powell-Elevation-Area'!$B$5:$D$689,3)*$B$18/1000000 + VLOOKUP(H30*1000000,'Mead-Elevation-Area'!$B$5:$D$676,3)*$C$18/1000000,"")</f>
        <v>0.81547952010057301</v>
      </c>
      <c r="I31" s="15">
        <f>IF(I$22&lt;&gt;"",VLOOKUP(I29*1000000,'Powell-Elevation-Area'!$B$5:$D$689,3)*$B$18/1000000 + VLOOKUP(I30*1000000,'Mead-Elevation-Area'!$B$5:$D$676,3)*$C$18/1000000,"")</f>
        <v>0.81775056749882702</v>
      </c>
      <c r="J31" s="15">
        <f>IF(J$22&lt;&gt;"",VLOOKUP(J29*1000000,'Powell-Elevation-Area'!$B$5:$D$689,3)*$B$18/1000000 + VLOOKUP(J30*1000000,'Mead-Elevation-Area'!$B$5:$D$676,3)*$C$18/1000000,"")</f>
        <v>0.82228660500117301</v>
      </c>
      <c r="K31" s="15">
        <f>IF(K$22&lt;&gt;"",VLOOKUP(K29*1000000,'Powell-Elevation-Area'!$B$5:$D$689,3)*$B$18/1000000 + VLOOKUP(K30*1000000,'Mead-Elevation-Area'!$B$5:$D$676,3)*$C$18/1000000,"")</f>
        <v>0.82455759509999993</v>
      </c>
      <c r="L31" s="15">
        <f>IF(L$22&lt;&gt;"",VLOOKUP(L29*1000000,'Powell-Elevation-Area'!$B$5:$D$689,3)*$B$18/1000000 + VLOOKUP(L30*1000000,'Mead-Elevation-Area'!$B$5:$D$676,3)*$C$18/1000000,"")</f>
        <v>0.82783664249940003</v>
      </c>
    </row>
    <row r="32" spans="1:13" hidden="1" x14ac:dyDescent="0.35">
      <c r="A32" t="s">
        <v>109</v>
      </c>
      <c r="B32" s="1"/>
      <c r="C32" s="15">
        <f>IF(C$22&lt;&gt;"",C$31*C25/C$24,"")</f>
        <v>0.5327428663506969</v>
      </c>
      <c r="D32" s="15">
        <f t="shared" ref="D32:L34" si="5">IF(D$22&lt;&gt;"",D$31*D25/D$24,"")</f>
        <v>0.458396965381695</v>
      </c>
      <c r="E32" s="15">
        <f t="shared" si="5"/>
        <v>0.38063285598410107</v>
      </c>
      <c r="F32" s="15">
        <f t="shared" si="5"/>
        <v>0.33871463992319345</v>
      </c>
      <c r="G32" s="15">
        <f t="shared" si="5"/>
        <v>0.34203112889896525</v>
      </c>
      <c r="H32" s="15">
        <f t="shared" si="5"/>
        <v>0.34527290722613518</v>
      </c>
      <c r="I32" s="15">
        <f t="shared" si="5"/>
        <v>0.36662326382912958</v>
      </c>
      <c r="J32" s="15">
        <f t="shared" si="5"/>
        <v>0.38773252998275209</v>
      </c>
      <c r="K32" s="15">
        <f t="shared" si="5"/>
        <v>0.40661542597208489</v>
      </c>
      <c r="L32" s="15">
        <f t="shared" si="5"/>
        <v>0.42489520622063093</v>
      </c>
    </row>
    <row r="33" spans="1:13" hidden="1" x14ac:dyDescent="0.35">
      <c r="A33" t="s">
        <v>110</v>
      </c>
      <c r="B33" s="1"/>
      <c r="C33" s="15">
        <f>IF(C$22&lt;&gt;"",C$31*C26/C$24,"")</f>
        <v>0.48915481364927621</v>
      </c>
      <c r="D33" s="15">
        <f t="shared" si="5"/>
        <v>0.49279167161830495</v>
      </c>
      <c r="E33" s="15">
        <f t="shared" si="5"/>
        <v>0.4971001990158721</v>
      </c>
      <c r="F33" s="15">
        <f t="shared" si="5"/>
        <v>0.49718607757737959</v>
      </c>
      <c r="G33" s="15">
        <f t="shared" si="5"/>
        <v>0.48354046620043478</v>
      </c>
      <c r="H33" s="15">
        <f t="shared" si="5"/>
        <v>0.47020661287443777</v>
      </c>
      <c r="I33" s="15">
        <f t="shared" si="5"/>
        <v>0.45112730366969739</v>
      </c>
      <c r="J33" s="15">
        <f t="shared" si="5"/>
        <v>0.43455407501842092</v>
      </c>
      <c r="K33" s="15">
        <f t="shared" si="5"/>
        <v>0.41794216912791515</v>
      </c>
      <c r="L33" s="15">
        <f t="shared" si="5"/>
        <v>0.40294143627876911</v>
      </c>
    </row>
    <row r="34" spans="1:13" hidden="1" x14ac:dyDescent="0.35">
      <c r="A34" t="s">
        <v>111</v>
      </c>
      <c r="B34" s="1"/>
      <c r="C34" s="15">
        <f>IF(C$22&lt;&gt;"",C$31*C27/C$24,"")</f>
        <v>0</v>
      </c>
      <c r="D34" s="15">
        <f t="shared" si="5"/>
        <v>0</v>
      </c>
      <c r="E34" s="15">
        <f t="shared" si="5"/>
        <v>0</v>
      </c>
      <c r="F34" s="15">
        <f t="shared" si="5"/>
        <v>0</v>
      </c>
      <c r="G34" s="15">
        <f t="shared" si="5"/>
        <v>0</v>
      </c>
      <c r="H34" s="15">
        <f t="shared" si="5"/>
        <v>0</v>
      </c>
      <c r="I34" s="15">
        <f t="shared" si="5"/>
        <v>0</v>
      </c>
      <c r="J34" s="15">
        <f t="shared" si="5"/>
        <v>0</v>
      </c>
      <c r="K34" s="15">
        <f t="shared" si="5"/>
        <v>0</v>
      </c>
      <c r="L34" s="15">
        <f t="shared" si="5"/>
        <v>0</v>
      </c>
    </row>
    <row r="35" spans="1:13" hidden="1" x14ac:dyDescent="0.35">
      <c r="A35" s="1" t="s">
        <v>135</v>
      </c>
      <c r="B35" s="1"/>
      <c r="C35" s="26">
        <f>IF(C22&lt;&gt;"",1.5,"")</f>
        <v>1.5</v>
      </c>
      <c r="D35" s="26">
        <f t="shared" ref="D35:L35" si="6">IF(D22&lt;&gt;"",1.5,"")</f>
        <v>1.5</v>
      </c>
      <c r="E35" s="26">
        <f t="shared" si="6"/>
        <v>1.5</v>
      </c>
      <c r="F35" s="26">
        <f t="shared" si="6"/>
        <v>1.5</v>
      </c>
      <c r="G35" s="26">
        <f t="shared" si="6"/>
        <v>1.5</v>
      </c>
      <c r="H35" s="26">
        <f t="shared" si="6"/>
        <v>1.5</v>
      </c>
      <c r="I35" s="26">
        <f t="shared" si="6"/>
        <v>1.5</v>
      </c>
      <c r="J35" s="26">
        <f t="shared" si="6"/>
        <v>1.5</v>
      </c>
      <c r="K35" s="26">
        <f t="shared" si="6"/>
        <v>1.5</v>
      </c>
      <c r="L35" s="26">
        <f t="shared" si="6"/>
        <v>1.5</v>
      </c>
    </row>
    <row r="36" spans="1:13" x14ac:dyDescent="0.35">
      <c r="A36" s="1" t="s">
        <v>150</v>
      </c>
      <c r="B36" s="1"/>
      <c r="C36" s="15">
        <f>IF(C$22&lt;&gt;"",C22-C35/2,"")</f>
        <v>10.25</v>
      </c>
      <c r="D36" s="15">
        <f t="shared" ref="D36:L36" si="7">IF(D$22&lt;&gt;"",D22-D35/2,"")</f>
        <v>10.25</v>
      </c>
      <c r="E36" s="15">
        <f t="shared" si="7"/>
        <v>10.25</v>
      </c>
      <c r="F36" s="15">
        <f t="shared" si="7"/>
        <v>10.25</v>
      </c>
      <c r="G36" s="15">
        <f t="shared" si="7"/>
        <v>10.25</v>
      </c>
      <c r="H36" s="15">
        <f t="shared" si="7"/>
        <v>10.25</v>
      </c>
      <c r="I36" s="15">
        <f t="shared" si="7"/>
        <v>10.25</v>
      </c>
      <c r="J36" s="15">
        <f t="shared" si="7"/>
        <v>10.25</v>
      </c>
      <c r="K36" s="15">
        <f t="shared" si="7"/>
        <v>10.25</v>
      </c>
      <c r="L36" s="15">
        <f t="shared" si="7"/>
        <v>10.25</v>
      </c>
    </row>
    <row r="37" spans="1:13" x14ac:dyDescent="0.35">
      <c r="A37" t="s">
        <v>0</v>
      </c>
      <c r="B37" s="25"/>
      <c r="C37" s="15">
        <f>IF(C22&lt;&gt;"",MAX(0,C36-C38),"")</f>
        <v>2.75</v>
      </c>
      <c r="D37" s="15">
        <f t="shared" ref="D37:L37" si="8">IF(D22&lt;&gt;"",MAX(0,D36-D38),"")</f>
        <v>2.75</v>
      </c>
      <c r="E37" s="15">
        <f t="shared" si="8"/>
        <v>2.75</v>
      </c>
      <c r="F37" s="15">
        <f t="shared" si="8"/>
        <v>2.75</v>
      </c>
      <c r="G37" s="15">
        <f t="shared" si="8"/>
        <v>2.75</v>
      </c>
      <c r="H37" s="15">
        <f t="shared" si="8"/>
        <v>2.75</v>
      </c>
      <c r="I37" s="15">
        <f t="shared" si="8"/>
        <v>2.75</v>
      </c>
      <c r="J37" s="15">
        <f t="shared" si="8"/>
        <v>2.75</v>
      </c>
      <c r="K37" s="15">
        <f t="shared" si="8"/>
        <v>2.75</v>
      </c>
      <c r="L37" s="15">
        <f t="shared" si="8"/>
        <v>2.75</v>
      </c>
    </row>
    <row r="38" spans="1:13" x14ac:dyDescent="0.35">
      <c r="A38" t="s">
        <v>1</v>
      </c>
      <c r="B38" s="46">
        <v>7.5</v>
      </c>
      <c r="C38" s="15">
        <f>IF(C22&lt;&gt;"",IF(C36&gt;$B38,$B38,C36),"")</f>
        <v>7.5</v>
      </c>
      <c r="D38" s="15">
        <f t="shared" ref="D38:L38" si="9">IF(D22&lt;&gt;"",IF(D36&gt;$B38,$B38,D36),"")</f>
        <v>7.5</v>
      </c>
      <c r="E38" s="15">
        <f t="shared" si="9"/>
        <v>7.5</v>
      </c>
      <c r="F38" s="15">
        <f t="shared" si="9"/>
        <v>7.5</v>
      </c>
      <c r="G38" s="15">
        <f t="shared" si="9"/>
        <v>7.5</v>
      </c>
      <c r="H38" s="15">
        <f t="shared" si="9"/>
        <v>7.5</v>
      </c>
      <c r="I38" s="15">
        <f t="shared" si="9"/>
        <v>7.5</v>
      </c>
      <c r="J38" s="15">
        <f t="shared" si="9"/>
        <v>7.5</v>
      </c>
      <c r="K38" s="15">
        <f t="shared" si="9"/>
        <v>7.5</v>
      </c>
      <c r="L38" s="15">
        <f t="shared" si="9"/>
        <v>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hidden="1" x14ac:dyDescent="0.35">
      <c r="A42" s="33" t="s">
        <v>115</v>
      </c>
      <c r="B42" s="1"/>
      <c r="C42" s="26"/>
      <c r="D42" s="26"/>
      <c r="E42" s="26"/>
      <c r="F42" s="26"/>
      <c r="G42" s="26"/>
      <c r="H42" s="26"/>
      <c r="I42" s="26"/>
      <c r="J42" s="26"/>
      <c r="K42" s="26"/>
      <c r="L42" s="26"/>
      <c r="M42" s="35"/>
    </row>
    <row r="43" spans="1:13" hidden="1"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13.217257133649303</v>
      </c>
      <c r="D45" s="15">
        <f t="shared" ref="D45:L45" si="10">IF(D$22&lt;&gt;"",D25+D37-D32-D40,"")</f>
        <v>11.308860168267607</v>
      </c>
      <c r="E45" s="15">
        <f t="shared" si="10"/>
        <v>9.4782273122835061</v>
      </c>
      <c r="F45" s="15">
        <f>IF(F$22&lt;&gt;"",F25+F37-F32-F40,"")</f>
        <v>8.5112853600768066</v>
      </c>
      <c r="G45" s="15">
        <f t="shared" si="10"/>
        <v>8.5079688711010348</v>
      </c>
      <c r="H45" s="15">
        <f t="shared" si="10"/>
        <v>8.5047270927738641</v>
      </c>
      <c r="I45" s="15">
        <f t="shared" si="10"/>
        <v>8.8881038289447343</v>
      </c>
      <c r="J45" s="15">
        <f t="shared" si="10"/>
        <v>9.2503712989619817</v>
      </c>
      <c r="K45" s="15">
        <f t="shared" si="10"/>
        <v>9.5937558729898971</v>
      </c>
      <c r="L45" s="15">
        <f t="shared" si="10"/>
        <v>9.918860666769266</v>
      </c>
    </row>
    <row r="46" spans="1:13" x14ac:dyDescent="0.35">
      <c r="A46" t="s">
        <v>3</v>
      </c>
      <c r="C46" s="15">
        <f>IF(C$22&lt;&gt;"",C26+C38-C33+C40+C42+C23-C35/2,"")</f>
        <v>17.160845186350727</v>
      </c>
      <c r="D46" s="15">
        <f t="shared" ref="D46:L46" si="11">IF(D$22&lt;&gt;"",D26+D38-D33+D40+D42+D23-D35/2,"")</f>
        <v>16.751053514732423</v>
      </c>
      <c r="E46" s="15">
        <f t="shared" si="11"/>
        <v>16.336953315716549</v>
      </c>
      <c r="F46" s="15">
        <f t="shared" si="11"/>
        <v>16.006767238139169</v>
      </c>
      <c r="G46" s="15">
        <f t="shared" si="11"/>
        <v>15.690226771938736</v>
      </c>
      <c r="H46" s="15">
        <f t="shared" si="11"/>
        <v>15.387020159064299</v>
      </c>
      <c r="I46" s="15">
        <f t="shared" si="11"/>
        <v>15.102892855394604</v>
      </c>
      <c r="J46" s="15">
        <f t="shared" si="11"/>
        <v>14.835338780376185</v>
      </c>
      <c r="K46" s="15">
        <f t="shared" si="11"/>
        <v>14.584396611248271</v>
      </c>
      <c r="L46" s="15">
        <f t="shared" si="11"/>
        <v>14.348455174969503</v>
      </c>
    </row>
    <row r="47" spans="1:13" x14ac:dyDescent="0.35">
      <c r="A47" t="s">
        <v>4</v>
      </c>
      <c r="C47" s="15">
        <f>IF(C$22&lt;&gt;"",C27+C35-C34-C42,"")</f>
        <v>1.5</v>
      </c>
      <c r="D47" s="15">
        <f t="shared" ref="D47:L47" si="12">IF(D$22&lt;&gt;"",D27+D35-D34-D42,"")</f>
        <v>1.5</v>
      </c>
      <c r="E47" s="15">
        <f t="shared" si="12"/>
        <v>1.5</v>
      </c>
      <c r="F47" s="15">
        <f t="shared" si="12"/>
        <v>1.5</v>
      </c>
      <c r="G47" s="15">
        <f t="shared" si="12"/>
        <v>1.5</v>
      </c>
      <c r="H47" s="15">
        <f t="shared" si="12"/>
        <v>1.5</v>
      </c>
      <c r="I47" s="15">
        <f t="shared" si="12"/>
        <v>1.5</v>
      </c>
      <c r="J47" s="15">
        <f t="shared" si="12"/>
        <v>1.5</v>
      </c>
      <c r="K47" s="15">
        <f t="shared" si="12"/>
        <v>1.5</v>
      </c>
      <c r="L47" s="15">
        <f t="shared" si="12"/>
        <v>1.5</v>
      </c>
    </row>
    <row r="48" spans="1:13" x14ac:dyDescent="0.35">
      <c r="A48" s="1" t="s">
        <v>151</v>
      </c>
      <c r="B48" s="1"/>
      <c r="C48" s="30"/>
      <c r="D48" s="2"/>
      <c r="E48" s="2"/>
      <c r="F48" s="2"/>
      <c r="G48" s="2"/>
      <c r="H48" s="2"/>
      <c r="I48" s="2"/>
      <c r="J48" s="2"/>
      <c r="K48" s="2"/>
      <c r="L48" s="2"/>
    </row>
    <row r="49" spans="1:18" x14ac:dyDescent="0.35">
      <c r="A49" t="s">
        <v>152</v>
      </c>
      <c r="C49" s="45">
        <f>IF(C45&gt;6.1+4.2,4.2,MAX(C45-6.1,0))</f>
        <v>4.2</v>
      </c>
      <c r="D49" s="45">
        <f t="shared" ref="D49:G49" si="13">IF(D45&gt;6.1+4.2,4.2,MAX(D45-6.1,0))</f>
        <v>4.2</v>
      </c>
      <c r="E49" s="45">
        <f t="shared" si="13"/>
        <v>3.3782273122835065</v>
      </c>
      <c r="F49" s="45">
        <f t="shared" si="13"/>
        <v>2.4112853600768069</v>
      </c>
      <c r="G49" s="45">
        <f t="shared" si="13"/>
        <v>2.4079688711010352</v>
      </c>
      <c r="H49" s="45">
        <v>2</v>
      </c>
      <c r="I49" s="45">
        <v>2</v>
      </c>
      <c r="J49" s="45">
        <v>2</v>
      </c>
      <c r="K49" s="45">
        <v>2</v>
      </c>
      <c r="L49" s="45">
        <v>2</v>
      </c>
      <c r="M49" s="51"/>
      <c r="N49" s="1" t="s">
        <v>144</v>
      </c>
    </row>
    <row r="50" spans="1:18" x14ac:dyDescent="0.35">
      <c r="A50" t="s">
        <v>153</v>
      </c>
      <c r="C50" s="45">
        <f>7.5-IF(C26&lt;$O$51,$P$51,IF(C26&lt;=$O$58,VLOOKUP(C26,$O$51:$P$58,2),0))</f>
        <v>6.867</v>
      </c>
      <c r="D50" s="45">
        <f t="shared" ref="D50:G50" si="14">7.5-IF(D26&lt;$O$51,$P$51,IF(D26&lt;=$O$58,VLOOKUP(D26,$O$51:$P$58,2),0))</f>
        <v>6.867</v>
      </c>
      <c r="E50" s="45">
        <f t="shared" si="14"/>
        <v>6.7829999999999995</v>
      </c>
      <c r="F50" s="45">
        <f t="shared" si="14"/>
        <v>6.7829999999999995</v>
      </c>
      <c r="G50" s="45">
        <f t="shared" si="14"/>
        <v>6.7829999999999995</v>
      </c>
      <c r="H50" s="45">
        <f t="shared" ref="H50:L50" si="15">G50</f>
        <v>6.7829999999999995</v>
      </c>
      <c r="I50" s="45">
        <f t="shared" si="15"/>
        <v>6.7829999999999995</v>
      </c>
      <c r="J50" s="45">
        <f t="shared" si="15"/>
        <v>6.7829999999999995</v>
      </c>
      <c r="K50" s="45">
        <f t="shared" si="15"/>
        <v>6.7829999999999995</v>
      </c>
      <c r="L50" s="45">
        <f t="shared" si="15"/>
        <v>6.7829999999999995</v>
      </c>
      <c r="N50" s="39" t="s">
        <v>145</v>
      </c>
      <c r="O50" s="39" t="s">
        <v>146</v>
      </c>
      <c r="P50" s="40" t="s">
        <v>147</v>
      </c>
      <c r="Q50" s="40" t="s">
        <v>148</v>
      </c>
      <c r="R50" s="39" t="s">
        <v>149</v>
      </c>
    </row>
    <row r="51" spans="1:18" x14ac:dyDescent="0.35">
      <c r="A51" t="s">
        <v>154</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 t="shared" ref="P51:P58" si="17">R51-Q51</f>
        <v>1.2</v>
      </c>
      <c r="Q51" s="44">
        <v>0.125</v>
      </c>
      <c r="R51" s="43">
        <v>1.325</v>
      </c>
    </row>
    <row r="52" spans="1:18" x14ac:dyDescent="0.35">
      <c r="A52" t="s">
        <v>155</v>
      </c>
      <c r="C52" s="26">
        <v>1.5</v>
      </c>
      <c r="D52" s="26">
        <v>1.5</v>
      </c>
      <c r="E52" s="26">
        <v>1.5</v>
      </c>
      <c r="F52" s="26">
        <v>1.5</v>
      </c>
      <c r="G52" s="26">
        <v>1.5</v>
      </c>
      <c r="H52" s="26">
        <v>1.5</v>
      </c>
      <c r="I52" s="26">
        <v>1.5</v>
      </c>
      <c r="J52" s="26">
        <v>1.5</v>
      </c>
      <c r="K52" s="26">
        <v>1.5</v>
      </c>
      <c r="L52" s="26">
        <v>1.5</v>
      </c>
      <c r="N52" s="41">
        <v>1030</v>
      </c>
      <c r="O52" s="42">
        <v>6.305377</v>
      </c>
      <c r="P52" s="43">
        <f t="shared" si="17"/>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7"/>
        <v>1.0669999999999999</v>
      </c>
      <c r="Q53" s="44">
        <v>7.0000000000000007E-2</v>
      </c>
      <c r="R53" s="43">
        <v>1.137</v>
      </c>
    </row>
    <row r="54" spans="1:18" x14ac:dyDescent="0.35">
      <c r="A54" t="s">
        <v>2</v>
      </c>
      <c r="C54" s="15">
        <f>IF(C$22&lt;&gt;"",C45-C49,"")</f>
        <v>9.0172571336493021</v>
      </c>
      <c r="D54" s="15">
        <f t="shared" ref="D54:L54" si="18">IF(D$22&lt;&gt;"",D45-D49,"")</f>
        <v>7.1088601682676069</v>
      </c>
      <c r="E54" s="15">
        <f t="shared" si="18"/>
        <v>6.1</v>
      </c>
      <c r="F54" s="15">
        <f t="shared" si="18"/>
        <v>6.1</v>
      </c>
      <c r="G54" s="15">
        <f t="shared" si="18"/>
        <v>6.1</v>
      </c>
      <c r="H54" s="15">
        <f t="shared" si="18"/>
        <v>6.5047270927738641</v>
      </c>
      <c r="I54" s="15">
        <f t="shared" si="18"/>
        <v>6.8881038289447343</v>
      </c>
      <c r="J54" s="15">
        <f t="shared" si="18"/>
        <v>7.2503712989619817</v>
      </c>
      <c r="K54" s="15">
        <f t="shared" si="18"/>
        <v>7.5937558729898971</v>
      </c>
      <c r="L54" s="15">
        <f t="shared" si="18"/>
        <v>7.918860666769266</v>
      </c>
      <c r="N54" s="41">
        <v>1040</v>
      </c>
      <c r="O54" s="42">
        <v>6.977665</v>
      </c>
      <c r="P54" s="43">
        <f t="shared" si="17"/>
        <v>1.0169999999999999</v>
      </c>
      <c r="Q54" s="44">
        <v>7.0000000000000007E-2</v>
      </c>
      <c r="R54" s="43">
        <v>1.087</v>
      </c>
    </row>
    <row r="55" spans="1:18" x14ac:dyDescent="0.35">
      <c r="A55" t="s">
        <v>3</v>
      </c>
      <c r="C55" s="15">
        <f>IF(C$22&lt;&gt;"",C46-C50-C51,"")</f>
        <v>9.6938451863507265</v>
      </c>
      <c r="D55" s="15">
        <f t="shared" ref="D55:L55" si="19">IF(D$22&lt;&gt;"",D46-D50-D51,"")</f>
        <v>9.2840535147324221</v>
      </c>
      <c r="E55" s="15">
        <f t="shared" si="19"/>
        <v>8.9539533157165501</v>
      </c>
      <c r="F55" s="15">
        <f t="shared" si="19"/>
        <v>8.6237672381391697</v>
      </c>
      <c r="G55" s="15">
        <f t="shared" si="19"/>
        <v>8.3072267719387369</v>
      </c>
      <c r="H55" s="15">
        <f t="shared" si="19"/>
        <v>8.0040201590643001</v>
      </c>
      <c r="I55" s="15">
        <f t="shared" si="19"/>
        <v>7.7198928553946047</v>
      </c>
      <c r="J55" s="15">
        <f t="shared" si="19"/>
        <v>7.452338780376186</v>
      </c>
      <c r="K55" s="15">
        <f t="shared" si="19"/>
        <v>7.2013966112482724</v>
      </c>
      <c r="L55" s="15">
        <f t="shared" si="19"/>
        <v>6.9654551749695042</v>
      </c>
      <c r="N55" s="41">
        <v>1045</v>
      </c>
      <c r="O55" s="42">
        <v>7.3260519999999998</v>
      </c>
      <c r="P55" s="43">
        <f t="shared" si="17"/>
        <v>0.96699999999999986</v>
      </c>
      <c r="Q55" s="44">
        <v>7.0000000000000007E-2</v>
      </c>
      <c r="R55" s="43">
        <v>1.0369999999999999</v>
      </c>
    </row>
    <row r="56" spans="1:18" x14ac:dyDescent="0.35">
      <c r="A56" t="s">
        <v>4</v>
      </c>
      <c r="C56" s="15">
        <f>IF(C$22&lt;&gt;"",C47-C52,"")</f>
        <v>0</v>
      </c>
      <c r="D56" s="15">
        <f t="shared" ref="D56:L56" si="20">IF(D$22&lt;&gt;"",D47-D52,"")</f>
        <v>0</v>
      </c>
      <c r="E56" s="15">
        <f t="shared" si="20"/>
        <v>0</v>
      </c>
      <c r="F56" s="15">
        <f t="shared" si="20"/>
        <v>0</v>
      </c>
      <c r="G56" s="15">
        <f t="shared" si="20"/>
        <v>0</v>
      </c>
      <c r="H56" s="15">
        <f t="shared" si="20"/>
        <v>0</v>
      </c>
      <c r="I56" s="15">
        <f t="shared" si="20"/>
        <v>0</v>
      </c>
      <c r="J56" s="15">
        <f t="shared" si="20"/>
        <v>0</v>
      </c>
      <c r="K56" s="15">
        <f t="shared" si="20"/>
        <v>0</v>
      </c>
      <c r="L56" s="15">
        <f t="shared" si="20"/>
        <v>0</v>
      </c>
      <c r="N56" s="41">
        <v>1050</v>
      </c>
      <c r="O56" s="42">
        <v>7.6828779999999997</v>
      </c>
      <c r="P56" s="43">
        <f t="shared" si="17"/>
        <v>0.71700000000000008</v>
      </c>
      <c r="Q56" s="44">
        <v>7.0000000000000007E-2</v>
      </c>
      <c r="R56" s="43">
        <v>0.78700000000000003</v>
      </c>
    </row>
    <row r="57" spans="1:18" x14ac:dyDescent="0.35">
      <c r="A57" s="1" t="s">
        <v>140</v>
      </c>
      <c r="B57" s="1"/>
      <c r="C57" s="15">
        <f>IF(C$22&lt;&gt;"",SUM(C54:C56),"")</f>
        <v>18.71110232000003</v>
      </c>
      <c r="D57" s="15">
        <f t="shared" ref="D57:L57" si="21">IF(D$22&lt;&gt;"",SUM(D54:D56),"")</f>
        <v>16.392913683000028</v>
      </c>
      <c r="E57" s="15">
        <f t="shared" si="21"/>
        <v>15.05395331571655</v>
      </c>
      <c r="F57" s="15">
        <f t="shared" si="21"/>
        <v>14.723767238139169</v>
      </c>
      <c r="G57" s="15">
        <f t="shared" si="21"/>
        <v>14.407226771938737</v>
      </c>
      <c r="H57" s="15">
        <f t="shared" si="21"/>
        <v>14.508747251838164</v>
      </c>
      <c r="I57" s="15">
        <f t="shared" si="21"/>
        <v>14.607996684339339</v>
      </c>
      <c r="J57" s="15">
        <f t="shared" si="21"/>
        <v>14.702710079338168</v>
      </c>
      <c r="K57" s="15">
        <f t="shared" si="21"/>
        <v>14.795152484238169</v>
      </c>
      <c r="L57" s="15">
        <f t="shared" si="21"/>
        <v>14.88431584173877</v>
      </c>
      <c r="N57" s="41">
        <v>1075</v>
      </c>
      <c r="O57" s="42">
        <v>9.6009879999900001</v>
      </c>
      <c r="P57" s="43">
        <f t="shared" si="17"/>
        <v>0.63300000000000001</v>
      </c>
      <c r="Q57" s="44">
        <v>0.05</v>
      </c>
      <c r="R57" s="43">
        <v>0.68300000000000005</v>
      </c>
    </row>
    <row r="58" spans="1:18" x14ac:dyDescent="0.35">
      <c r="N58" s="41">
        <v>1090</v>
      </c>
      <c r="O58" s="42">
        <v>10.857008</v>
      </c>
      <c r="P58" s="43">
        <f t="shared" si="17"/>
        <v>0.3</v>
      </c>
      <c r="Q58" s="40"/>
      <c r="R58" s="43">
        <v>0.3</v>
      </c>
    </row>
    <row r="59" spans="1:18" x14ac:dyDescent="0.35">
      <c r="A59" s="1" t="s">
        <v>142</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143</v>
      </c>
      <c r="C60" s="15">
        <f>IF(C$22&lt;&gt;"",C50+C59,"")</f>
        <v>7.0670000000000002</v>
      </c>
      <c r="D60" s="15">
        <f t="shared" ref="D60:L60" si="23">IF(D$22&lt;&gt;"",D50+D59,"")</f>
        <v>7.0670000000000002</v>
      </c>
      <c r="E60" s="15">
        <f t="shared" si="23"/>
        <v>6.9829999999999997</v>
      </c>
      <c r="F60" s="15">
        <f t="shared" si="23"/>
        <v>6.9829999999999997</v>
      </c>
      <c r="G60" s="15">
        <f t="shared" si="23"/>
        <v>6.9829999999999997</v>
      </c>
      <c r="H60" s="15">
        <f t="shared" si="23"/>
        <v>6.9829999999999997</v>
      </c>
      <c r="I60" s="15">
        <f t="shared" si="23"/>
        <v>6.9829999999999997</v>
      </c>
      <c r="J60" s="15">
        <f t="shared" si="23"/>
        <v>6.9829999999999997</v>
      </c>
      <c r="K60" s="15">
        <f t="shared" si="23"/>
        <v>6.9829999999999997</v>
      </c>
      <c r="L60" s="15">
        <f t="shared" si="23"/>
        <v>6.9829999999999997</v>
      </c>
    </row>
    <row r="62" spans="1:18" x14ac:dyDescent="0.35">
      <c r="D62" s="19"/>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Charts</vt:lpstr>
      </vt:variant>
      <vt:variant>
        <vt:i4>4</vt:i4>
      </vt:variant>
    </vt:vector>
  </HeadingPairs>
  <TitlesOfParts>
    <vt:vector size="13" baseType="lpstr">
      <vt:lpstr>ReadMe-Directions</vt:lpstr>
      <vt:lpstr>Master</vt:lpstr>
      <vt:lpstr>11.0-Trade</vt:lpstr>
      <vt:lpstr>11.0-LawOfRiver</vt:lpstr>
      <vt:lpstr>Millenium-LawOfRiver</vt:lpstr>
      <vt:lpstr>HydrologicScenarios</vt:lpstr>
      <vt:lpstr>Powell-Elevation-Area</vt:lpstr>
      <vt:lpstr>Mead-Elevation-Area</vt:lpstr>
      <vt:lpstr>11.0-LawOfRiverShort</vt:lpstr>
      <vt:lpstr>11.0-PlotUse</vt:lpstr>
      <vt:lpstr>11.0-PlotStorage</vt:lpstr>
      <vt:lpstr>11.0-PlotUseLB</vt:lpstr>
      <vt:lpstr>11.0-PlotStorageLB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2021-05-20T20:46:02Z</dcterms:modified>
</cp:coreProperties>
</file>