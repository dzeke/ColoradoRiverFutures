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2824706B-A09F-442E-8B38-320F1EF56D97}" xr6:coauthVersionLast="36" xr6:coauthVersionMax="36" xr10:uidLastSave="{00000000-0000-0000-0000-000000000000}"/>
  <bookViews>
    <workbookView xWindow="0" yWindow="0" windowWidth="19200" windowHeight="6640" firstSheet="7" activeTab="8" xr2:uid="{5373AB19-D84C-490D-97DC-C516D358024A}"/>
  </bookViews>
  <sheets>
    <sheet name="ReadMe-Directions" sheetId="6" r:id="rId1"/>
    <sheet name="Master" sheetId="24" r:id="rId2"/>
    <sheet name="11.0-Trade" sheetId="27" r:id="rId3"/>
    <sheet name="11.0-LawOfRiver" sheetId="26" r:id="rId4"/>
    <sheet name="11.0-Plots" sheetId="19" r:id="rId5"/>
    <sheet name="MillenniumRecover-Trade" sheetId="29" r:id="rId6"/>
    <sheet name="MillenniumRecover-LawOfRiver" sheetId="25" r:id="rId7"/>
    <sheet name="Millennium-Plots" sheetId="28" r:id="rId8"/>
    <sheet name="MillenniumRecover-Delta" sheetId="21" r:id="rId9"/>
    <sheet name="HydrologicScenarios" sheetId="7" r:id="rId10"/>
    <sheet name="Powell-Elevation-Area" sheetId="2" r:id="rId11"/>
    <sheet name="Mead-Elevation-Area" sheetId="10" r:id="rId12"/>
    <sheet name="11.0-LawOfRiverShort" sheetId="16" r:id="rId13"/>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78" i="24" l="1"/>
  <c r="B55" i="24" l="1"/>
  <c r="B48" i="24"/>
  <c r="K60" i="29" l="1"/>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9" i="29" s="1"/>
  <c r="C36" i="29"/>
  <c r="B36" i="29"/>
  <c r="C35" i="29"/>
  <c r="I33" i="29"/>
  <c r="A33" i="29"/>
  <c r="C33" i="29" s="1"/>
  <c r="I32" i="29"/>
  <c r="C32" i="29"/>
  <c r="A32" i="29"/>
  <c r="A31" i="29"/>
  <c r="C30" i="29"/>
  <c r="A30" i="29"/>
  <c r="B29" i="29"/>
  <c r="C29" i="29" s="1"/>
  <c r="A29" i="29"/>
  <c r="B28" i="29"/>
  <c r="B27" i="29" s="1"/>
  <c r="A28" i="29"/>
  <c r="C27" i="29"/>
  <c r="K26" i="29"/>
  <c r="I26" i="29"/>
  <c r="C26" i="29"/>
  <c r="K25" i="29"/>
  <c r="J25" i="29"/>
  <c r="D25" i="29"/>
  <c r="M60" i="29" l="1"/>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B29" i="27"/>
  <c r="C29" i="27" s="1"/>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B29" i="26"/>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9" i="25"/>
  <c r="B27" i="25" s="1"/>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B29" i="24"/>
  <c r="A29" i="24"/>
  <c r="C29" i="24" s="1"/>
  <c r="B28" i="24"/>
  <c r="B27" i="24" s="1"/>
  <c r="A28" i="24"/>
  <c r="C27" i="24"/>
  <c r="I26" i="24"/>
  <c r="C26" i="24"/>
  <c r="E80" i="21"/>
  <c r="C78" i="21"/>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B29" i="21"/>
  <c r="A29" i="21"/>
  <c r="B28" i="21"/>
  <c r="A28" i="21"/>
  <c r="C27" i="21"/>
  <c r="B27" i="21"/>
  <c r="D26" i="21"/>
  <c r="D53" i="21" s="1"/>
  <c r="C26" i="21"/>
  <c r="E74" i="29" l="1"/>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E46"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F48" i="21"/>
  <c r="G50" i="21"/>
  <c r="G66" i="21"/>
  <c r="F92" i="21"/>
  <c r="G47" i="21"/>
  <c r="G46" i="21" s="1"/>
  <c r="F33" i="21"/>
  <c r="F66" i="21"/>
  <c r="F26" i="21"/>
  <c r="F53" i="21" s="1"/>
  <c r="G48" i="2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F47" i="21"/>
  <c r="F46" i="21" s="1"/>
  <c r="C43" i="21"/>
  <c r="G43" i="21"/>
  <c r="F43" i="21"/>
  <c r="E43" i="21"/>
  <c r="G58" i="21"/>
  <c r="E58" i="21"/>
  <c r="D58" i="21"/>
  <c r="C58" i="21"/>
  <c r="E53" i="21"/>
  <c r="C37" i="21"/>
  <c r="C41" i="21" s="1"/>
  <c r="D74" i="21"/>
  <c r="F88" i="21"/>
  <c r="C50" i="21"/>
  <c r="C56" i="21"/>
  <c r="C32" i="21"/>
  <c r="D50" i="21"/>
  <c r="D56" i="21"/>
  <c r="G88" i="21"/>
  <c r="F50" i="21"/>
  <c r="F56" i="21"/>
  <c r="G74" i="21"/>
  <c r="C88" i="21"/>
  <c r="D88" i="21"/>
  <c r="F92" i="29" l="1"/>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48" i="21"/>
  <c r="H66" i="21"/>
  <c r="H33" i="21"/>
  <c r="H74" i="21"/>
  <c r="H46" i="21"/>
  <c r="H58" i="21"/>
  <c r="H47" i="21"/>
  <c r="H43" i="21"/>
  <c r="H51" i="21"/>
  <c r="C39" i="21"/>
  <c r="C38" i="21"/>
  <c r="C40" i="21"/>
  <c r="C42" i="21"/>
  <c r="C73" i="21"/>
  <c r="C87" i="21" s="1"/>
  <c r="D32" i="21" s="1"/>
  <c r="C77" i="21"/>
  <c r="C93" i="21" s="1"/>
  <c r="C44" i="21"/>
  <c r="C78" i="29" l="1"/>
  <c r="C85" i="29"/>
  <c r="D30" i="29" s="1"/>
  <c r="F56" i="29"/>
  <c r="G87" i="29"/>
  <c r="G66" i="29"/>
  <c r="G33" i="29"/>
  <c r="G57" i="29"/>
  <c r="G51" i="29"/>
  <c r="G73" i="29"/>
  <c r="G48" i="29"/>
  <c r="G42" i="29"/>
  <c r="G50" i="29"/>
  <c r="G88" i="29"/>
  <c r="G74" i="29"/>
  <c r="G47" i="29"/>
  <c r="G46" i="29" s="1"/>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6" i="26"/>
  <c r="F48" i="26"/>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48" i="21"/>
  <c r="I88" i="21"/>
  <c r="I43" i="21"/>
  <c r="I49" i="21"/>
  <c r="I58" i="21"/>
  <c r="H53" i="21"/>
  <c r="C55" i="21"/>
  <c r="C54" i="21" s="1"/>
  <c r="B48" i="21"/>
  <c r="B55" i="21"/>
  <c r="D77" i="29" l="1"/>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c r="D30" i="27" s="1"/>
  <c r="D46" i="26"/>
  <c r="E46" i="26"/>
  <c r="G53" i="26"/>
  <c r="C46" i="26"/>
  <c r="C69" i="26" s="1"/>
  <c r="C70" i="26"/>
  <c r="C84" i="26" s="1"/>
  <c r="D29" i="26" s="1"/>
  <c r="C78" i="26"/>
  <c r="C85" i="26"/>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I46" i="25" s="1"/>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C85" i="21" s="1"/>
  <c r="D30" i="21" s="1"/>
  <c r="D48" i="21"/>
  <c r="E47" i="21"/>
  <c r="E46" i="21" s="1"/>
  <c r="D47" i="21"/>
  <c r="D46" i="21" s="1"/>
  <c r="C89" i="29" l="1"/>
  <c r="D27" i="29" s="1"/>
  <c r="D28" i="29"/>
  <c r="C90" i="29"/>
  <c r="D44" i="27"/>
  <c r="D55" i="27" s="1"/>
  <c r="D54" i="27" s="1"/>
  <c r="D77" i="27"/>
  <c r="D93" i="27" s="1"/>
  <c r="C83" i="27"/>
  <c r="D44" i="26"/>
  <c r="D55" i="26" s="1"/>
  <c r="D54" i="26" s="1"/>
  <c r="D77" i="26"/>
  <c r="D93" i="26" s="1"/>
  <c r="H56" i="26"/>
  <c r="C76" i="26"/>
  <c r="C83" i="26" s="1"/>
  <c r="J46" i="25"/>
  <c r="L46" i="25"/>
  <c r="E46" i="25"/>
  <c r="K46" i="25"/>
  <c r="G46" i="25"/>
  <c r="C46" i="25"/>
  <c r="C69" i="25" s="1"/>
  <c r="C70" i="25"/>
  <c r="C84" i="25" s="1"/>
  <c r="D29" i="25" s="1"/>
  <c r="F46" i="25"/>
  <c r="C78" i="25"/>
  <c r="C85" i="25"/>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46" i="21" s="1"/>
  <c r="K51" i="21"/>
  <c r="K56" i="21"/>
  <c r="K88" i="21"/>
  <c r="C46" i="21"/>
  <c r="C69" i="21" s="1"/>
  <c r="C70" i="21"/>
  <c r="C84" i="21" s="1"/>
  <c r="D29" i="21" s="1"/>
  <c r="D35" i="29" l="1"/>
  <c r="D36" i="29"/>
  <c r="C89" i="27"/>
  <c r="D27" i="27" s="1"/>
  <c r="D28" i="27"/>
  <c r="C90"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D37" i="29" l="1"/>
  <c r="D35" i="27"/>
  <c r="D36" i="27"/>
  <c r="D36" i="26"/>
  <c r="D35" i="26"/>
  <c r="C89" i="25"/>
  <c r="D27" i="25" s="1"/>
  <c r="D28" i="25"/>
  <c r="D35" i="24"/>
  <c r="D36" i="24"/>
  <c r="C90" i="24"/>
  <c r="L46" i="21"/>
  <c r="L53" i="21"/>
  <c r="D55" i="21"/>
  <c r="C83" i="21"/>
  <c r="D39" i="29" l="1"/>
  <c r="D70" i="29" s="1"/>
  <c r="D84" i="29" s="1"/>
  <c r="E29" i="29" s="1"/>
  <c r="D40" i="29"/>
  <c r="D71" i="29" s="1"/>
  <c r="D38" i="29"/>
  <c r="D41" i="29"/>
  <c r="D72" i="29" s="1"/>
  <c r="D86" i="29" s="1"/>
  <c r="E31" i="29" s="1"/>
  <c r="D37" i="27"/>
  <c r="D37" i="26"/>
  <c r="C90" i="25"/>
  <c r="D35" i="25"/>
  <c r="D36" i="25"/>
  <c r="D37" i="24"/>
  <c r="D54" i="21"/>
  <c r="C89" i="21"/>
  <c r="D28" i="21"/>
  <c r="D69" i="29" l="1"/>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76" i="29" l="1"/>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D89" i="29" l="1"/>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35" i="29" l="1"/>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37" i="29" l="1"/>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40" i="29" l="1"/>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69" i="29" l="1"/>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E76" i="29" l="1"/>
  <c r="F77" i="27"/>
  <c r="F93" i="27" s="1"/>
  <c r="F44" i="27"/>
  <c r="F55" i="27" s="1"/>
  <c r="F54" i="27" s="1"/>
  <c r="E69" i="27"/>
  <c r="E78" i="27"/>
  <c r="E85" i="27"/>
  <c r="F30" i="27" s="1"/>
  <c r="E78" i="26"/>
  <c r="E85" i="26"/>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E83" i="29" l="1"/>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E89" i="29" l="1"/>
  <c r="F28" i="29"/>
  <c r="E89" i="27"/>
  <c r="F27" i="27" s="1"/>
  <c r="F28" i="27"/>
  <c r="E90"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F27" i="29" l="1"/>
  <c r="E90" i="29"/>
  <c r="F35" i="27"/>
  <c r="F36" i="27"/>
  <c r="E90" i="26"/>
  <c r="F35" i="26"/>
  <c r="F36" i="26"/>
  <c r="E89" i="25"/>
  <c r="F27" i="25" s="1"/>
  <c r="F28" i="25"/>
  <c r="E90" i="24"/>
  <c r="F35" i="24"/>
  <c r="F36" i="24"/>
  <c r="E37" i="21"/>
  <c r="E49" i="16"/>
  <c r="E54" i="16" s="1"/>
  <c r="F50" i="16"/>
  <c r="F60" i="16" s="1"/>
  <c r="F35" i="29" l="1"/>
  <c r="F36" i="29"/>
  <c r="F37" i="27"/>
  <c r="F37" i="26"/>
  <c r="E90" i="25"/>
  <c r="F35" i="25"/>
  <c r="F36" i="25"/>
  <c r="F37" i="24"/>
  <c r="E38" i="21"/>
  <c r="E40" i="21"/>
  <c r="E71" i="21" s="1"/>
  <c r="E42" i="21"/>
  <c r="E73" i="21" s="1"/>
  <c r="E41" i="21"/>
  <c r="E72" i="21" s="1"/>
  <c r="E86" i="21" s="1"/>
  <c r="F31" i="21" s="1"/>
  <c r="E39" i="21"/>
  <c r="E70" i="21" s="1"/>
  <c r="E84" i="21" s="1"/>
  <c r="F29" i="21" s="1"/>
  <c r="E57" i="16"/>
  <c r="F24" i="16" s="1"/>
  <c r="F25" i="16"/>
  <c r="F37" i="29" l="1"/>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40" i="29" l="1"/>
  <c r="F71" i="29" s="1"/>
  <c r="F39" i="29"/>
  <c r="F70" i="29" s="1"/>
  <c r="F84" i="29" s="1"/>
  <c r="G29" i="29" s="1"/>
  <c r="F38" i="29"/>
  <c r="F41" i="29"/>
  <c r="F72" i="29" s="1"/>
  <c r="F86" i="29" s="1"/>
  <c r="G31" i="29" s="1"/>
  <c r="F69" i="27"/>
  <c r="F78" i="27"/>
  <c r="F85" i="27"/>
  <c r="G30" i="27" s="1"/>
  <c r="G77" i="27"/>
  <c r="G93" i="27" s="1"/>
  <c r="G44" i="27"/>
  <c r="G55" i="27" s="1"/>
  <c r="G54" i="27" s="1"/>
  <c r="G77" i="26"/>
  <c r="G93" i="26" s="1"/>
  <c r="G44" i="26"/>
  <c r="G55" i="26" s="1"/>
  <c r="G54" i="26" s="1"/>
  <c r="F69" i="26"/>
  <c r="F78" i="26"/>
  <c r="F85" i="26"/>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F69" i="29" l="1"/>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F76" i="29" l="1"/>
  <c r="F83" i="29"/>
  <c r="F89" i="27"/>
  <c r="G27" i="27" s="1"/>
  <c r="G28" i="27"/>
  <c r="F89" i="26"/>
  <c r="G27" i="26" s="1"/>
  <c r="G28" i="26"/>
  <c r="F90" i="26"/>
  <c r="F76" i="25"/>
  <c r="F83" i="25" s="1"/>
  <c r="F83" i="24"/>
  <c r="E90" i="21"/>
  <c r="F35" i="21"/>
  <c r="F36" i="21"/>
  <c r="F57" i="16"/>
  <c r="G24" i="16" s="1"/>
  <c r="G25" i="16"/>
  <c r="H50" i="16"/>
  <c r="G60" i="16"/>
  <c r="F89" i="29" l="1"/>
  <c r="G27" i="29" s="1"/>
  <c r="G28" i="29"/>
  <c r="F90" i="29"/>
  <c r="G35" i="27"/>
  <c r="G36" i="27"/>
  <c r="F90" i="27"/>
  <c r="G35" i="26"/>
  <c r="G36" i="26"/>
  <c r="F89" i="25"/>
  <c r="G27" i="25" s="1"/>
  <c r="G28" i="25"/>
  <c r="F89" i="24"/>
  <c r="G28" i="24"/>
  <c r="F37" i="21"/>
  <c r="I50" i="16"/>
  <c r="H60" i="16"/>
  <c r="G27" i="16"/>
  <c r="G29" i="16"/>
  <c r="G31" i="16" s="1"/>
  <c r="G30" i="16"/>
  <c r="G35" i="29" l="1"/>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37" i="29" l="1"/>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alcChain>
</file>

<file path=xl/sharedStrings.xml><?xml version="1.0" encoding="utf-8"?>
<sst xmlns="http://schemas.openxmlformats.org/spreadsheetml/2006/main" count="665" uniqueCount="200">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</sst>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8">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95">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0" fillId="0" borderId="0" xfId="0" applyFont="1" applyAlignment="1">
      <alignment horizontal="left" wrapText="1"/>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5" fillId="5" borderId="9" xfId="6" applyBorder="1" applyAlignment="1">
      <alignment horizontal="left"/>
    </xf>
    <xf numFmtId="0" fontId="6" fillId="0" borderId="0" xfId="0" applyFont="1" applyAlignment="1">
      <alignment horizontal="center"/>
    </xf>
    <xf numFmtId="0" fontId="3" fillId="2" borderId="1" xfId="2" applyAlignment="1">
      <alignment horizontal="center"/>
    </xf>
    <xf numFmtId="170" fontId="5" fillId="5" borderId="0" xfId="5" applyNumberFormat="1" applyFont="1" applyFill="1"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38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3.4214833101213369</c:v>
                </c:pt>
                <c:pt idx="3">
                  <c:v>2.4263859058039525</c:v>
                </c:pt>
                <c:pt idx="4">
                  <c:v>2.4238385487219354</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7.6434827441332986</c:v>
                </c:pt>
                <c:pt idx="3">
                  <c:v>6.6124524678486694</c:v>
                </c:pt>
                <c:pt idx="4">
                  <c:v>6.2263917092955738</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7.1383410513710048</c:v>
                </c:pt>
                <c:pt idx="3">
                  <c:v>6.1</c:v>
                </c:pt>
                <c:pt idx="4">
                  <c:v>6.1</c:v>
                </c:pt>
              </c:numCache>
            </c:numRef>
          </c:val>
          <c:smooth val="0"/>
          <c:extLst>
            <c:ext xmlns:c16="http://schemas.microsoft.com/office/drawing/2014/chart" uri="{C3380CC4-5D6E-409C-BE32-E72D297353CC}">
              <c16:uniqueId val="{00000001-A243-4D6A-9A25-2CBF47155BF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10.1</c:v>
                </c:pt>
                <c:pt idx="1">
                  <c:v>9.7088451863507252</c:v>
                </c:pt>
                <c:pt idx="2">
                  <c:v>9.3135526316284221</c:v>
                </c:pt>
                <c:pt idx="3">
                  <c:v>8.9993343277774898</c:v>
                </c:pt>
                <c:pt idx="4">
                  <c:v>8.6837767143729359</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10.1</c:v>
                </c:pt>
                <c:pt idx="1">
                  <c:v>10.208845186350725</c:v>
                </c:pt>
                <c:pt idx="2">
                  <c:v>10.193959821867303</c:v>
                </c:pt>
                <c:pt idx="3">
                  <c:v>10.163782175651356</c:v>
                </c:pt>
                <c:pt idx="4">
                  <c:v>9.7221782847044516</c:v>
                </c:pt>
              </c:numCache>
            </c:numRef>
          </c:val>
          <c:smooth val="0"/>
          <c:extLst>
            <c:ext xmlns:c16="http://schemas.microsoft.com/office/drawing/2014/chart" uri="{C3380CC4-5D6E-409C-BE32-E72D297353CC}">
              <c16:uniqueId val="{00000001-D877-4E0B-8DD9-991F585A264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8.9051509428001765</c:v>
                </c:pt>
                <c:pt idx="8">
                  <c:v>9.9039589206904175</c:v>
                </c:pt>
                <c:pt idx="9">
                  <c:v>10.864777562512774</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9.8828742725086656</c:v>
                </c:pt>
                <c:pt idx="3">
                  <c:v>9.3505876185647416</c:v>
                </c:pt>
                <c:pt idx="4">
                  <c:v>8.8369507768451037</c:v>
                </c:pt>
                <c:pt idx="5">
                  <c:v>8.3416540166223037</c:v>
                </c:pt>
                <c:pt idx="6">
                  <c:v>7.864595445953662</c:v>
                </c:pt>
                <c:pt idx="7">
                  <c:v>9.4051509428001765</c:v>
                </c:pt>
                <c:pt idx="8">
                  <c:v>10.877783506870696</c:v>
                </c:pt>
                <c:pt idx="9">
                  <c:v>12.289027609216578</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7.965478071198679</c:v>
                </c:pt>
                <c:pt idx="8">
                  <c:v>7.7324787016275875</c:v>
                </c:pt>
                <c:pt idx="9">
                  <c:v>7.5228410012811358</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10.1</c:v>
                </c:pt>
                <c:pt idx="1">
                  <c:v>9.7088451863507252</c:v>
                </c:pt>
                <c:pt idx="2">
                  <c:v>9.3281315674907894</c:v>
                </c:pt>
                <c:pt idx="3">
                  <c:v>9.0427584674352843</c:v>
                </c:pt>
                <c:pt idx="4">
                  <c:v>8.7638787501548947</c:v>
                </c:pt>
                <c:pt idx="5">
                  <c:v>8.4913881463765257</c:v>
                </c:pt>
                <c:pt idx="6">
                  <c:v>8.2253945480445942</c:v>
                </c:pt>
                <c:pt idx="7">
                  <c:v>8.4654780711986781</c:v>
                </c:pt>
                <c:pt idx="8">
                  <c:v>8.7063032878078666</c:v>
                </c:pt>
                <c:pt idx="9">
                  <c:v>8.9470910479849373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5"/>
  <sheetViews>
    <sheetView topLeftCell="A15" zoomScale="150" zoomScaleNormal="150" workbookViewId="0">
      <selection activeCell="A4" sqref="A4:L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84" t="s">
        <v>171</v>
      </c>
      <c r="B4" s="84"/>
      <c r="C4" s="84"/>
      <c r="D4" s="84"/>
      <c r="E4" s="84"/>
      <c r="F4" s="84"/>
      <c r="G4" s="84"/>
      <c r="H4" s="84"/>
      <c r="I4" s="84"/>
      <c r="J4" s="84"/>
      <c r="K4" s="84"/>
      <c r="L4" s="84"/>
    </row>
    <row r="5" spans="1:12" ht="13.5" customHeight="1" x14ac:dyDescent="0.35">
      <c r="B5" s="15"/>
      <c r="C5" s="15"/>
      <c r="D5" s="15"/>
      <c r="E5" s="15"/>
      <c r="F5" s="15"/>
      <c r="G5" s="15"/>
      <c r="H5" s="15"/>
      <c r="I5" s="15"/>
      <c r="J5" s="15"/>
      <c r="K5" s="15"/>
      <c r="L5" s="15"/>
    </row>
    <row r="6" spans="1:12" ht="16.5" customHeight="1" x14ac:dyDescent="0.35">
      <c r="A6" s="75" t="s">
        <v>109</v>
      </c>
      <c r="B6" s="76"/>
      <c r="C6" s="76"/>
      <c r="D6" s="76"/>
      <c r="E6" s="76"/>
      <c r="F6" s="76"/>
      <c r="G6" s="76"/>
      <c r="H6" s="76"/>
      <c r="I6" s="76"/>
      <c r="J6" s="76"/>
      <c r="K6" s="76"/>
      <c r="L6" s="77"/>
    </row>
    <row r="7" spans="1:12" ht="16.5" customHeight="1" x14ac:dyDescent="0.35">
      <c r="A7" s="28">
        <v>1</v>
      </c>
      <c r="B7" s="78" t="s">
        <v>148</v>
      </c>
      <c r="C7" s="78"/>
      <c r="D7" s="78"/>
      <c r="E7" s="78"/>
      <c r="F7" s="78"/>
      <c r="G7" s="78"/>
      <c r="H7" s="78"/>
      <c r="I7" s="78"/>
      <c r="J7" s="78"/>
      <c r="K7" s="78"/>
      <c r="L7" s="79"/>
    </row>
    <row r="8" spans="1:12" ht="16.5" customHeight="1" x14ac:dyDescent="0.35">
      <c r="A8" s="28">
        <v>2</v>
      </c>
      <c r="B8" s="78" t="s">
        <v>93</v>
      </c>
      <c r="C8" s="78"/>
      <c r="D8" s="78"/>
      <c r="E8" s="78"/>
      <c r="F8" s="78"/>
      <c r="G8" s="78"/>
      <c r="H8" s="78"/>
      <c r="I8" s="78"/>
      <c r="J8" s="78"/>
      <c r="K8" s="78"/>
      <c r="L8" s="79"/>
    </row>
    <row r="9" spans="1:12" ht="31" customHeight="1" x14ac:dyDescent="0.35">
      <c r="A9" s="28">
        <v>3</v>
      </c>
      <c r="B9" s="78" t="s">
        <v>170</v>
      </c>
      <c r="C9" s="78"/>
      <c r="D9" s="78"/>
      <c r="E9" s="78"/>
      <c r="F9" s="78"/>
      <c r="G9" s="78"/>
      <c r="H9" s="78"/>
      <c r="I9" s="78"/>
      <c r="J9" s="78"/>
      <c r="K9" s="78"/>
      <c r="L9" s="79"/>
    </row>
    <row r="10" spans="1:12" ht="32.5" customHeight="1" x14ac:dyDescent="0.35">
      <c r="A10" s="28">
        <v>4</v>
      </c>
      <c r="B10" s="78" t="s">
        <v>172</v>
      </c>
      <c r="C10" s="78"/>
      <c r="D10" s="78"/>
      <c r="E10" s="78"/>
      <c r="F10" s="78"/>
      <c r="G10" s="78"/>
      <c r="H10" s="78"/>
      <c r="I10" s="78"/>
      <c r="J10" s="78"/>
      <c r="K10" s="78"/>
      <c r="L10" s="79"/>
    </row>
    <row r="11" spans="1:12" ht="16.5" customHeight="1" x14ac:dyDescent="0.35">
      <c r="A11" s="28">
        <v>5</v>
      </c>
      <c r="B11" s="78" t="s">
        <v>173</v>
      </c>
      <c r="C11" s="78"/>
      <c r="D11" s="78"/>
      <c r="E11" s="78"/>
      <c r="F11" s="78"/>
      <c r="G11" s="78"/>
      <c r="H11" s="78"/>
      <c r="I11" s="78"/>
      <c r="J11" s="78"/>
      <c r="K11" s="78"/>
      <c r="L11" s="79"/>
    </row>
    <row r="12" spans="1:12" ht="16.5" customHeight="1" x14ac:dyDescent="0.35">
      <c r="A12" s="28">
        <v>6</v>
      </c>
      <c r="B12" s="78" t="s">
        <v>174</v>
      </c>
      <c r="C12" s="78"/>
      <c r="D12" s="78"/>
      <c r="E12" s="78"/>
      <c r="F12" s="78"/>
      <c r="G12" s="78"/>
      <c r="H12" s="78"/>
      <c r="I12" s="78"/>
      <c r="J12" s="78"/>
      <c r="K12" s="78"/>
      <c r="L12" s="79"/>
    </row>
    <row r="13" spans="1:12" ht="47" customHeight="1" x14ac:dyDescent="0.35">
      <c r="A13" s="28">
        <v>7</v>
      </c>
      <c r="B13" s="78" t="s">
        <v>175</v>
      </c>
      <c r="C13" s="78"/>
      <c r="D13" s="78"/>
      <c r="E13" s="78"/>
      <c r="F13" s="78"/>
      <c r="G13" s="78"/>
      <c r="H13" s="78"/>
      <c r="I13" s="78"/>
      <c r="J13" s="78"/>
      <c r="K13" s="78"/>
      <c r="L13" s="79"/>
    </row>
    <row r="14" spans="1:12" ht="32.5" customHeight="1" x14ac:dyDescent="0.35">
      <c r="A14" s="28">
        <v>8</v>
      </c>
      <c r="B14" s="78" t="s">
        <v>177</v>
      </c>
      <c r="C14" s="78"/>
      <c r="D14" s="78"/>
      <c r="E14" s="78"/>
      <c r="F14" s="78"/>
      <c r="G14" s="78"/>
      <c r="H14" s="78"/>
      <c r="I14" s="78"/>
      <c r="J14" s="78"/>
      <c r="K14" s="78"/>
      <c r="L14" s="79"/>
    </row>
    <row r="15" spans="1:12" ht="16.5" customHeight="1" x14ac:dyDescent="0.35">
      <c r="A15" s="28">
        <v>9</v>
      </c>
      <c r="B15" s="78" t="s">
        <v>176</v>
      </c>
      <c r="C15" s="78"/>
      <c r="D15" s="78"/>
      <c r="E15" s="78"/>
      <c r="F15" s="78"/>
      <c r="G15" s="78"/>
      <c r="H15" s="78"/>
      <c r="I15" s="78"/>
      <c r="J15" s="78"/>
      <c r="K15" s="78"/>
      <c r="L15" s="79"/>
    </row>
    <row r="16" spans="1:12" ht="16.5" customHeight="1" x14ac:dyDescent="0.35">
      <c r="A16" s="28">
        <v>10</v>
      </c>
      <c r="B16" s="78" t="s">
        <v>178</v>
      </c>
      <c r="C16" s="78"/>
      <c r="D16" s="78"/>
      <c r="E16" s="78"/>
      <c r="F16" s="78"/>
      <c r="G16" s="78"/>
      <c r="H16" s="78"/>
      <c r="I16" s="78"/>
      <c r="J16" s="78"/>
      <c r="K16" s="78"/>
      <c r="L16" s="79"/>
    </row>
    <row r="17" spans="1:12" ht="32" customHeight="1" x14ac:dyDescent="0.35">
      <c r="A17" s="28">
        <v>11</v>
      </c>
      <c r="B17" s="78" t="s">
        <v>179</v>
      </c>
      <c r="C17" s="78"/>
      <c r="D17" s="78"/>
      <c r="E17" s="78"/>
      <c r="F17" s="78"/>
      <c r="G17" s="78"/>
      <c r="H17" s="78"/>
      <c r="I17" s="78"/>
      <c r="J17" s="78"/>
      <c r="K17" s="78"/>
      <c r="L17" s="79"/>
    </row>
    <row r="18" spans="1:12" ht="16.5" customHeight="1" x14ac:dyDescent="0.35">
      <c r="A18" s="28">
        <v>12</v>
      </c>
      <c r="B18" s="80" t="s">
        <v>149</v>
      </c>
      <c r="C18" s="80"/>
      <c r="D18" s="80"/>
      <c r="E18" s="80"/>
      <c r="F18" s="80"/>
      <c r="G18" s="80"/>
      <c r="H18" s="80"/>
      <c r="I18" s="80"/>
      <c r="J18" s="80"/>
      <c r="K18" s="80"/>
      <c r="L18" s="81"/>
    </row>
    <row r="19" spans="1:12" ht="32" customHeight="1" x14ac:dyDescent="0.35">
      <c r="A19" s="28">
        <v>13</v>
      </c>
      <c r="B19" s="82" t="s">
        <v>150</v>
      </c>
      <c r="C19" s="82"/>
      <c r="D19" s="82"/>
      <c r="E19" s="82"/>
      <c r="F19" s="82"/>
      <c r="G19" s="82"/>
      <c r="H19" s="82"/>
      <c r="I19" s="82"/>
      <c r="J19" s="82"/>
      <c r="K19" s="82"/>
      <c r="L19" s="83"/>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143</v>
      </c>
      <c r="C23" t="s">
        <v>195</v>
      </c>
    </row>
    <row r="24" spans="1:12" x14ac:dyDescent="0.35">
      <c r="B24" s="2" t="s">
        <v>144</v>
      </c>
      <c r="C24" t="s">
        <v>152</v>
      </c>
    </row>
    <row r="25" spans="1:12" x14ac:dyDescent="0.35">
      <c r="B25" s="2" t="s">
        <v>146</v>
      </c>
      <c r="C25" t="s">
        <v>153</v>
      </c>
    </row>
    <row r="26" spans="1:12" x14ac:dyDescent="0.35">
      <c r="B26" s="2" t="s">
        <v>196</v>
      </c>
      <c r="C26" t="s">
        <v>197</v>
      </c>
    </row>
    <row r="27" spans="1:12" x14ac:dyDescent="0.35">
      <c r="B27" s="2" t="s">
        <v>191</v>
      </c>
      <c r="C27" t="s">
        <v>154</v>
      </c>
    </row>
    <row r="28" spans="1:12" x14ac:dyDescent="0.35">
      <c r="B28" s="2" t="s">
        <v>198</v>
      </c>
      <c r="C28" t="s">
        <v>199</v>
      </c>
    </row>
    <row r="29" spans="1:12" x14ac:dyDescent="0.35">
      <c r="B29" s="2" t="s">
        <v>192</v>
      </c>
      <c r="C29" t="s">
        <v>193</v>
      </c>
    </row>
    <row r="30" spans="1:12" x14ac:dyDescent="0.35">
      <c r="B30" s="2" t="s">
        <v>96</v>
      </c>
      <c r="C30" t="s">
        <v>97</v>
      </c>
    </row>
    <row r="31" spans="1:12" x14ac:dyDescent="0.35">
      <c r="B31" s="2" t="s">
        <v>98</v>
      </c>
      <c r="C31" t="s">
        <v>99</v>
      </c>
    </row>
    <row r="32" spans="1:12" x14ac:dyDescent="0.35">
      <c r="B32" s="2" t="s">
        <v>155</v>
      </c>
      <c r="C32" t="s">
        <v>156</v>
      </c>
    </row>
    <row r="34" spans="1:12" x14ac:dyDescent="0.35">
      <c r="A34" s="1" t="s">
        <v>50</v>
      </c>
    </row>
    <row r="35" spans="1:12" ht="30.5" customHeight="1" x14ac:dyDescent="0.35">
      <c r="A35" s="74" t="s">
        <v>151</v>
      </c>
      <c r="B35" s="74"/>
      <c r="C35" s="74"/>
      <c r="D35" s="74"/>
      <c r="E35" s="74"/>
      <c r="F35" s="74"/>
      <c r="G35" s="74"/>
      <c r="H35" s="74"/>
      <c r="I35" s="74"/>
      <c r="J35" s="74"/>
      <c r="K35" s="74"/>
      <c r="L35" s="74"/>
    </row>
  </sheetData>
  <mergeCells count="16">
    <mergeCell ref="A4:L4"/>
    <mergeCell ref="B9:L9"/>
    <mergeCell ref="B11:L11"/>
    <mergeCell ref="B12:L12"/>
    <mergeCell ref="B13:L13"/>
    <mergeCell ref="A35:L35"/>
    <mergeCell ref="A6:L6"/>
    <mergeCell ref="B10:L10"/>
    <mergeCell ref="B7:L7"/>
    <mergeCell ref="B8:L8"/>
    <mergeCell ref="B15:L15"/>
    <mergeCell ref="B16:L16"/>
    <mergeCell ref="B17:L17"/>
    <mergeCell ref="B18:L18"/>
    <mergeCell ref="B19:L19"/>
    <mergeCell ref="B14:L1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M75" zoomScale="150" zoomScaleNormal="150" workbookViewId="0">
      <selection activeCell="P78" sqref="P7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c r="C6" s="91"/>
      <c r="D6" s="91"/>
      <c r="E6" s="91"/>
      <c r="F6" s="91"/>
      <c r="G6" s="91"/>
    </row>
    <row r="7" spans="1:11" x14ac:dyDescent="0.35">
      <c r="A7" s="66" t="s">
        <v>41</v>
      </c>
      <c r="B7" s="66"/>
      <c r="C7" s="85"/>
      <c r="D7" s="85"/>
      <c r="E7" s="85"/>
      <c r="F7" s="85"/>
      <c r="G7" s="85"/>
    </row>
    <row r="8" spans="1:11" x14ac:dyDescent="0.35">
      <c r="A8" s="66" t="s">
        <v>42</v>
      </c>
      <c r="B8" s="66"/>
      <c r="C8" s="91"/>
      <c r="D8" s="91"/>
      <c r="E8" s="91"/>
      <c r="F8" s="91"/>
      <c r="G8" s="91"/>
    </row>
    <row r="9" spans="1:11" x14ac:dyDescent="0.35">
      <c r="A9" s="66" t="s">
        <v>165</v>
      </c>
      <c r="B9" s="66"/>
      <c r="C9" s="85" t="s">
        <v>187</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c r="D25" s="45"/>
      <c r="E25" s="45"/>
      <c r="F25" s="45"/>
      <c r="G25" s="45"/>
      <c r="H25" s="45"/>
      <c r="I25" s="45"/>
      <c r="J25" s="45"/>
      <c r="K25" s="45"/>
      <c r="L25" s="45"/>
    </row>
    <row r="26" spans="1:13"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3"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3"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row>
    <row r="29" spans="1:13" x14ac:dyDescent="0.35">
      <c r="A29" t="str">
        <f t="shared" ref="A29:A33" si="3">IF(A7="","","    "&amp;A7&amp;" Balance")</f>
        <v xml:space="preserve">    Lower Basin Balance</v>
      </c>
      <c r="B29" s="55">
        <f>C22</f>
        <v>10.1</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row>
    <row r="30" spans="1:13" x14ac:dyDescent="0.35">
      <c r="A30" t="str">
        <f t="shared" si="3"/>
        <v xml:space="preserve">    Mexico Balance</v>
      </c>
      <c r="B30" s="56">
        <v>0</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row>
    <row r="31" spans="1:13"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3"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379" priority="60" operator="greaterThan">
      <formula>$C$69</formula>
    </cfRule>
  </conditionalFormatting>
  <conditionalFormatting sqref="C77">
    <cfRule type="cellIs" dxfId="378" priority="59" operator="greaterThan">
      <formula>$C$70</formula>
    </cfRule>
  </conditionalFormatting>
  <conditionalFormatting sqref="C78">
    <cfRule type="cellIs" dxfId="377" priority="58" operator="greaterThan">
      <formula>$C$71</formula>
    </cfRule>
  </conditionalFormatting>
  <conditionalFormatting sqref="C79">
    <cfRule type="cellIs" dxfId="376" priority="57" operator="greaterThan">
      <formula>$C$72</formula>
    </cfRule>
  </conditionalFormatting>
  <conditionalFormatting sqref="C80">
    <cfRule type="cellIs" dxfId="375" priority="56" operator="greaterThan">
      <formula>$C$73</formula>
    </cfRule>
  </conditionalFormatting>
  <conditionalFormatting sqref="C81">
    <cfRule type="cellIs" dxfId="374" priority="55" operator="greaterThan">
      <formula>$C$74</formula>
    </cfRule>
  </conditionalFormatting>
  <conditionalFormatting sqref="D76">
    <cfRule type="cellIs" dxfId="373" priority="54" operator="greaterThan">
      <formula>$D$69</formula>
    </cfRule>
  </conditionalFormatting>
  <conditionalFormatting sqref="D77">
    <cfRule type="cellIs" dxfId="372" priority="53" operator="greaterThan">
      <formula>$D$70</formula>
    </cfRule>
  </conditionalFormatting>
  <conditionalFormatting sqref="D78">
    <cfRule type="cellIs" dxfId="371" priority="52" operator="greaterThan">
      <formula>$D$71</formula>
    </cfRule>
  </conditionalFormatting>
  <conditionalFormatting sqref="D79">
    <cfRule type="cellIs" dxfId="370" priority="51" operator="greaterThan">
      <formula>$D$72</formula>
    </cfRule>
  </conditionalFormatting>
  <conditionalFormatting sqref="D80">
    <cfRule type="cellIs" dxfId="369" priority="50" operator="greaterThan">
      <formula>$D$73</formula>
    </cfRule>
  </conditionalFormatting>
  <conditionalFormatting sqref="D81">
    <cfRule type="cellIs" dxfId="368" priority="49" operator="greaterThan">
      <formula>$D$74</formula>
    </cfRule>
  </conditionalFormatting>
  <conditionalFormatting sqref="E76">
    <cfRule type="cellIs" dxfId="367" priority="48" operator="greaterThan">
      <formula>$E$69</formula>
    </cfRule>
  </conditionalFormatting>
  <conditionalFormatting sqref="E77">
    <cfRule type="cellIs" dxfId="366" priority="47" operator="greaterThan">
      <formula>$E$70</formula>
    </cfRule>
  </conditionalFormatting>
  <conditionalFormatting sqref="E78">
    <cfRule type="cellIs" dxfId="365" priority="46" operator="greaterThan">
      <formula>$E$71</formula>
    </cfRule>
  </conditionalFormatting>
  <conditionalFormatting sqref="E79">
    <cfRule type="cellIs" dxfId="364" priority="45" operator="greaterThan">
      <formula>$E$72</formula>
    </cfRule>
  </conditionalFormatting>
  <conditionalFormatting sqref="E80">
    <cfRule type="cellIs" dxfId="363" priority="44" operator="greaterThan">
      <formula>$E$73</formula>
    </cfRule>
  </conditionalFormatting>
  <conditionalFormatting sqref="E81">
    <cfRule type="cellIs" dxfId="362" priority="43" operator="greaterThan">
      <formula>$E$74</formula>
    </cfRule>
  </conditionalFormatting>
  <conditionalFormatting sqref="F76">
    <cfRule type="cellIs" dxfId="361" priority="42" operator="greaterThan">
      <formula>$F$69</formula>
    </cfRule>
  </conditionalFormatting>
  <conditionalFormatting sqref="F77">
    <cfRule type="cellIs" dxfId="360" priority="41" operator="greaterThan">
      <formula>$F$70</formula>
    </cfRule>
  </conditionalFormatting>
  <conditionalFormatting sqref="F78">
    <cfRule type="cellIs" dxfId="359" priority="40" operator="greaterThan">
      <formula>$F$71</formula>
    </cfRule>
  </conditionalFormatting>
  <conditionalFormatting sqref="F79">
    <cfRule type="cellIs" dxfId="358" priority="39" operator="greaterThan">
      <formula>$F$72</formula>
    </cfRule>
  </conditionalFormatting>
  <conditionalFormatting sqref="F80">
    <cfRule type="cellIs" dxfId="357" priority="38" operator="greaterThan">
      <formula>$F$73</formula>
    </cfRule>
  </conditionalFormatting>
  <conditionalFormatting sqref="F81">
    <cfRule type="cellIs" dxfId="356" priority="37" operator="greaterThan">
      <formula>$F$74</formula>
    </cfRule>
  </conditionalFormatting>
  <conditionalFormatting sqref="G76">
    <cfRule type="cellIs" dxfId="355" priority="36" operator="greaterThan">
      <formula>$G$69</formula>
    </cfRule>
  </conditionalFormatting>
  <conditionalFormatting sqref="G77">
    <cfRule type="cellIs" dxfId="354" priority="35" operator="greaterThan">
      <formula>$G$70</formula>
    </cfRule>
  </conditionalFormatting>
  <conditionalFormatting sqref="G78">
    <cfRule type="cellIs" dxfId="353" priority="34" operator="greaterThan">
      <formula>$G$71</formula>
    </cfRule>
  </conditionalFormatting>
  <conditionalFormatting sqref="G79">
    <cfRule type="cellIs" dxfId="352" priority="33" operator="greaterThan">
      <formula>$G$72</formula>
    </cfRule>
  </conditionalFormatting>
  <conditionalFormatting sqref="G80">
    <cfRule type="cellIs" dxfId="351" priority="32" operator="greaterThan">
      <formula>$G$73</formula>
    </cfRule>
  </conditionalFormatting>
  <conditionalFormatting sqref="G81">
    <cfRule type="cellIs" dxfId="350" priority="31" operator="greaterThan">
      <formula>$G$74</formula>
    </cfRule>
  </conditionalFormatting>
  <conditionalFormatting sqref="H76">
    <cfRule type="cellIs" dxfId="349" priority="30" operator="greaterThan">
      <formula>$H$69</formula>
    </cfRule>
  </conditionalFormatting>
  <conditionalFormatting sqref="H77">
    <cfRule type="cellIs" dxfId="348" priority="29" operator="greaterThan">
      <formula>$H$70</formula>
    </cfRule>
  </conditionalFormatting>
  <conditionalFormatting sqref="H78">
    <cfRule type="cellIs" dxfId="347" priority="28" operator="greaterThan">
      <formula>$H$71</formula>
    </cfRule>
  </conditionalFormatting>
  <conditionalFormatting sqref="H79">
    <cfRule type="cellIs" dxfId="346" priority="27" operator="greaterThan">
      <formula>$H$72</formula>
    </cfRule>
  </conditionalFormatting>
  <conditionalFormatting sqref="H80">
    <cfRule type="cellIs" dxfId="345" priority="26" operator="greaterThan">
      <formula>$H$73</formula>
    </cfRule>
  </conditionalFormatting>
  <conditionalFormatting sqref="H81">
    <cfRule type="cellIs" dxfId="344" priority="25" operator="greaterThan">
      <formula>$H$74</formula>
    </cfRule>
  </conditionalFormatting>
  <conditionalFormatting sqref="I76">
    <cfRule type="cellIs" dxfId="343" priority="24" operator="greaterThan">
      <formula>$I$69</formula>
    </cfRule>
  </conditionalFormatting>
  <conditionalFormatting sqref="I77">
    <cfRule type="cellIs" dxfId="342" priority="23" operator="greaterThan">
      <formula>$I$70</formula>
    </cfRule>
  </conditionalFormatting>
  <conditionalFormatting sqref="I78">
    <cfRule type="cellIs" dxfId="341" priority="22" operator="greaterThan">
      <formula>$I$71</formula>
    </cfRule>
  </conditionalFormatting>
  <conditionalFormatting sqref="I79">
    <cfRule type="cellIs" dxfId="340" priority="21" operator="greaterThan">
      <formula>$I$72</formula>
    </cfRule>
  </conditionalFormatting>
  <conditionalFormatting sqref="I80">
    <cfRule type="cellIs" dxfId="339" priority="20" operator="greaterThan">
      <formula>$I$73</formula>
    </cfRule>
  </conditionalFormatting>
  <conditionalFormatting sqref="I81">
    <cfRule type="cellIs" dxfId="338" priority="19" operator="greaterThan">
      <formula>$I$74</formula>
    </cfRule>
  </conditionalFormatting>
  <conditionalFormatting sqref="J76">
    <cfRule type="cellIs" dxfId="337" priority="18" operator="greaterThan">
      <formula>$J$69</formula>
    </cfRule>
  </conditionalFormatting>
  <conditionalFormatting sqref="J77">
    <cfRule type="cellIs" dxfId="336" priority="17" operator="greaterThan">
      <formula>$J$70</formula>
    </cfRule>
  </conditionalFormatting>
  <conditionalFormatting sqref="J78">
    <cfRule type="cellIs" dxfId="335" priority="16" operator="greaterThan">
      <formula>$J$71</formula>
    </cfRule>
  </conditionalFormatting>
  <conditionalFormatting sqref="J79">
    <cfRule type="cellIs" dxfId="334" priority="15" operator="greaterThan">
      <formula>$J$72</formula>
    </cfRule>
  </conditionalFormatting>
  <conditionalFormatting sqref="J80">
    <cfRule type="cellIs" dxfId="333" priority="14" operator="greaterThan">
      <formula>$J$73</formula>
    </cfRule>
  </conditionalFormatting>
  <conditionalFormatting sqref="J81">
    <cfRule type="cellIs" dxfId="332" priority="13" operator="greaterThan">
      <formula>$J$74</formula>
    </cfRule>
  </conditionalFormatting>
  <conditionalFormatting sqref="K76">
    <cfRule type="cellIs" dxfId="331" priority="12" operator="greaterThan">
      <formula>$K$69</formula>
    </cfRule>
  </conditionalFormatting>
  <conditionalFormatting sqref="K77">
    <cfRule type="cellIs" dxfId="330" priority="11" operator="greaterThan">
      <formula>$K$70</formula>
    </cfRule>
  </conditionalFormatting>
  <conditionalFormatting sqref="K78">
    <cfRule type="cellIs" dxfId="329" priority="10" operator="greaterThan">
      <formula>$K$71</formula>
    </cfRule>
  </conditionalFormatting>
  <conditionalFormatting sqref="K79">
    <cfRule type="cellIs" dxfId="328" priority="9" operator="greaterThan">
      <formula>$K$72</formula>
    </cfRule>
  </conditionalFormatting>
  <conditionalFormatting sqref="K80">
    <cfRule type="cellIs" dxfId="327" priority="8" operator="greaterThan">
      <formula>$K$73</formula>
    </cfRule>
  </conditionalFormatting>
  <conditionalFormatting sqref="K81">
    <cfRule type="cellIs" dxfId="326" priority="7" operator="greaterThan">
      <formula>$K$74</formula>
    </cfRule>
  </conditionalFormatting>
  <conditionalFormatting sqref="L76">
    <cfRule type="cellIs" dxfId="325" priority="6" operator="greaterThan">
      <formula>$L$69</formula>
    </cfRule>
  </conditionalFormatting>
  <conditionalFormatting sqref="L77">
    <cfRule type="cellIs" dxfId="324" priority="5" operator="greaterThan">
      <formula>$L$70</formula>
    </cfRule>
  </conditionalFormatting>
  <conditionalFormatting sqref="L78">
    <cfRule type="cellIs" dxfId="323" priority="4" operator="greaterThan">
      <formula>$L$71</formula>
    </cfRule>
  </conditionalFormatting>
  <conditionalFormatting sqref="L79">
    <cfRule type="cellIs" dxfId="322" priority="3" operator="greaterThan">
      <formula>$L$72</formula>
    </cfRule>
  </conditionalFormatting>
  <conditionalFormatting sqref="L80">
    <cfRule type="cellIs" dxfId="321" priority="2" operator="greaterThan">
      <formula>$L$73</formula>
    </cfRule>
  </conditionalFormatting>
  <conditionalFormatting sqref="L81">
    <cfRule type="cellIs" dxfId="320" priority="1" operator="greaterThan">
      <formula>$L$74</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33" zoomScale="150" zoomScaleNormal="150" workbookViewId="0">
      <selection activeCell="B48" sqref="B48"/>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189</v>
      </c>
      <c r="D6" s="91"/>
      <c r="E6" s="91"/>
      <c r="F6" s="91"/>
      <c r="G6" s="91"/>
    </row>
    <row r="7" spans="1:11" x14ac:dyDescent="0.35">
      <c r="A7" s="66" t="s">
        <v>41</v>
      </c>
      <c r="B7" s="66" t="s">
        <v>184</v>
      </c>
      <c r="C7" s="91" t="s">
        <v>190</v>
      </c>
      <c r="D7" s="91"/>
      <c r="E7" s="91"/>
      <c r="F7" s="91"/>
      <c r="G7" s="91"/>
    </row>
    <row r="8" spans="1:11" x14ac:dyDescent="0.35">
      <c r="A8" s="66" t="s">
        <v>42</v>
      </c>
      <c r="B8" s="66" t="s">
        <v>184</v>
      </c>
      <c r="C8" s="91" t="s">
        <v>181</v>
      </c>
      <c r="D8" s="91"/>
      <c r="E8" s="91"/>
      <c r="F8" s="91"/>
      <c r="G8" s="91"/>
    </row>
    <row r="9" spans="1:11" x14ac:dyDescent="0.35">
      <c r="A9" s="66" t="s">
        <v>165</v>
      </c>
      <c r="B9" s="66" t="s">
        <v>184</v>
      </c>
      <c r="C9" s="91" t="s">
        <v>182</v>
      </c>
      <c r="D9" s="91"/>
      <c r="E9" s="91"/>
      <c r="F9" s="91"/>
      <c r="G9" s="91"/>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19.241102320000028</v>
      </c>
      <c r="E27" s="14">
        <f t="shared" ref="E27:L27" si="2">IF(E$25&lt;&gt;"",D89,"")</f>
        <v>17.8374425660006</v>
      </c>
      <c r="F27" s="14">
        <f t="shared" si="2"/>
        <v>16.776234643500025</v>
      </c>
      <c r="G27" s="14">
        <f t="shared" si="2"/>
        <v>15.948569994000025</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7.6434827441332986</v>
      </c>
      <c r="F28" s="14">
        <f t="shared" si="3"/>
        <v>6.6124524678486694</v>
      </c>
      <c r="G28" s="14">
        <f t="shared" si="3"/>
        <v>6.2263917092955738</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10.208845186350725</v>
      </c>
      <c r="E29" s="14">
        <f t="shared" si="6"/>
        <v>10.193959821867303</v>
      </c>
      <c r="F29" s="14">
        <f t="shared" si="6"/>
        <v>10.163782175651356</v>
      </c>
      <c r="G29" s="14">
        <f t="shared" si="6"/>
        <v>9.7221782847044516</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9.620551160000014</v>
      </c>
      <c r="E35" s="14">
        <f t="shared" si="7"/>
        <v>8.9187212830003002</v>
      </c>
      <c r="F35" s="14">
        <f t="shared" si="7"/>
        <v>8.3881173217500127</v>
      </c>
      <c r="G35" s="14">
        <f t="shared" si="7"/>
        <v>7.9742849970000123</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9.620551160000014</v>
      </c>
      <c r="E36" s="14">
        <f t="shared" si="7"/>
        <v>8.9187212830003002</v>
      </c>
      <c r="F36" s="14">
        <f t="shared" si="7"/>
        <v>8.3881173217500127</v>
      </c>
      <c r="G36" s="14">
        <f t="shared" si="7"/>
        <v>7.9742849970000123</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0.92420792250057304</v>
      </c>
      <c r="F37" s="14">
        <f>IF(F$25&lt;&gt;"",VLOOKUP(F35*1000000,'Powell-Elevation-Area'!$B$5:$D$689,3)*$B$21/1000000 + VLOOKUP(F36*1000000,'Mead-Elevation-Area'!$B$5:$D$676,3)*$C$21/1000000,"")</f>
        <v>0.89066464949999991</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0.45377438951600524</v>
      </c>
      <c r="E38" s="14">
        <f t="shared" si="8"/>
        <v>0.39603027628462878</v>
      </c>
      <c r="F38" s="14">
        <f t="shared" si="8"/>
        <v>0.35106075855309588</v>
      </c>
      <c r="G38" s="14">
        <f t="shared" si="8"/>
        <v>0.33718248742920032</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0.51288536448342181</v>
      </c>
      <c r="E39" s="14">
        <f t="shared" si="10"/>
        <v>0.52817764621594432</v>
      </c>
      <c r="F39" s="14">
        <f t="shared" si="10"/>
        <v>0.53960389094690397</v>
      </c>
      <c r="G39" s="14">
        <f t="shared" si="10"/>
        <v>0.52649245507197273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10.943482744133298</v>
      </c>
      <c r="E69" s="14">
        <f t="shared" si="27"/>
        <v>9.6124524678486694</v>
      </c>
      <c r="F69" s="14">
        <f t="shared" si="27"/>
        <v>9.0263917092955737</v>
      </c>
      <c r="G69" s="14">
        <f t="shared" si="27"/>
        <v>8.654209221866374</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17.075845186350726</v>
      </c>
      <c r="D70" s="14">
        <f t="shared" si="29"/>
        <v>17.060959821867304</v>
      </c>
      <c r="E70" s="14">
        <f t="shared" si="29"/>
        <v>17.030782175651357</v>
      </c>
      <c r="F70" s="14">
        <f t="shared" si="29"/>
        <v>16.589178284704452</v>
      </c>
      <c r="G70" s="14">
        <f t="shared" si="29"/>
        <v>16.160685829632477</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1.47</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7.6434827441332986</v>
      </c>
      <c r="E83" s="14">
        <f t="shared" si="34"/>
        <v>6.6124524678486694</v>
      </c>
      <c r="F83" s="14">
        <f t="shared" si="34"/>
        <v>6.2263917092955738</v>
      </c>
      <c r="G83" s="14">
        <f t="shared" si="34"/>
        <v>5.8542092218663742</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10.208845186350725</v>
      </c>
      <c r="D84" s="14">
        <f t="shared" si="36"/>
        <v>10.193959821867303</v>
      </c>
      <c r="E84" s="14">
        <f t="shared" si="36"/>
        <v>10.163782175651356</v>
      </c>
      <c r="F84" s="14">
        <f t="shared" si="36"/>
        <v>9.7221782847044516</v>
      </c>
      <c r="G84" s="14">
        <f t="shared" si="36"/>
        <v>9.2936858296324765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19.241102320000028</v>
      </c>
      <c r="D89" s="14">
        <f t="shared" ref="D89:L89" si="37">IF(D$25&lt;&gt;"",SUM(D83:D88),"")</f>
        <v>17.8374425660006</v>
      </c>
      <c r="E89" s="14">
        <f t="shared" si="37"/>
        <v>16.776234643500025</v>
      </c>
      <c r="F89" s="14">
        <f t="shared" si="37"/>
        <v>15.948569994000025</v>
      </c>
      <c r="G89" s="14">
        <f t="shared" si="37"/>
        <v>15.14789505149885</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8.1467059736492882</v>
      </c>
      <c r="D90" s="14">
        <f t="shared" ref="D90:L90" si="38">IF(D25&lt;&gt;"",D35+D25-D38-D76-D89*$B$35,"")</f>
        <v>7.9480554874837051</v>
      </c>
      <c r="E90" s="14">
        <f t="shared" si="38"/>
        <v>8.1345736849656589</v>
      </c>
      <c r="F90" s="14">
        <f t="shared" si="38"/>
        <v>8.2627715661969034</v>
      </c>
      <c r="G90" s="14">
        <f t="shared" si="38"/>
        <v>8.2631549838213871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19" priority="65" operator="greaterThan">
      <formula>$C$70</formula>
    </cfRule>
  </conditionalFormatting>
  <conditionalFormatting sqref="C78">
    <cfRule type="cellIs" dxfId="318" priority="64" operator="greaterThan">
      <formula>$C$71</formula>
    </cfRule>
  </conditionalFormatting>
  <conditionalFormatting sqref="C79">
    <cfRule type="cellIs" dxfId="317" priority="63" operator="greaterThan">
      <formula>$C$72</formula>
    </cfRule>
  </conditionalFormatting>
  <conditionalFormatting sqref="C80">
    <cfRule type="cellIs" dxfId="316" priority="62" operator="greaterThan">
      <formula>$C$73</formula>
    </cfRule>
  </conditionalFormatting>
  <conditionalFormatting sqref="C81">
    <cfRule type="cellIs" dxfId="315" priority="61" operator="greaterThan">
      <formula>$C$74</formula>
    </cfRule>
  </conditionalFormatting>
  <conditionalFormatting sqref="D77">
    <cfRule type="cellIs" dxfId="314" priority="59" operator="greaterThan">
      <formula>$D$70</formula>
    </cfRule>
  </conditionalFormatting>
  <conditionalFormatting sqref="D78">
    <cfRule type="cellIs" dxfId="313" priority="58" operator="greaterThan">
      <formula>$D$71</formula>
    </cfRule>
  </conditionalFormatting>
  <conditionalFormatting sqref="D79">
    <cfRule type="cellIs" dxfId="312" priority="57" operator="greaterThan">
      <formula>$D$72</formula>
    </cfRule>
  </conditionalFormatting>
  <conditionalFormatting sqref="D80">
    <cfRule type="cellIs" dxfId="311" priority="56" operator="greaterThan">
      <formula>$D$73</formula>
    </cfRule>
  </conditionalFormatting>
  <conditionalFormatting sqref="D81">
    <cfRule type="cellIs" dxfId="310" priority="55" operator="greaterThan">
      <formula>$D$74</formula>
    </cfRule>
  </conditionalFormatting>
  <conditionalFormatting sqref="E77">
    <cfRule type="cellIs" dxfId="309" priority="53" operator="greaterThan">
      <formula>$E$70</formula>
    </cfRule>
  </conditionalFormatting>
  <conditionalFormatting sqref="E78">
    <cfRule type="cellIs" dxfId="308" priority="52" operator="greaterThan">
      <formula>$E$71</formula>
    </cfRule>
  </conditionalFormatting>
  <conditionalFormatting sqref="E79">
    <cfRule type="cellIs" dxfId="307" priority="51" operator="greaterThan">
      <formula>$E$72</formula>
    </cfRule>
  </conditionalFormatting>
  <conditionalFormatting sqref="E80">
    <cfRule type="cellIs" dxfId="306" priority="50" operator="greaterThan">
      <formula>$E$73</formula>
    </cfRule>
  </conditionalFormatting>
  <conditionalFormatting sqref="E81">
    <cfRule type="cellIs" dxfId="305" priority="49" operator="greaterThan">
      <formula>$E$74</formula>
    </cfRule>
  </conditionalFormatting>
  <conditionalFormatting sqref="F77">
    <cfRule type="cellIs" dxfId="304" priority="47" operator="greaterThan">
      <formula>$F$70</formula>
    </cfRule>
  </conditionalFormatting>
  <conditionalFormatting sqref="F78">
    <cfRule type="cellIs" dxfId="303" priority="46" operator="greaterThan">
      <formula>$F$71</formula>
    </cfRule>
  </conditionalFormatting>
  <conditionalFormatting sqref="F79">
    <cfRule type="cellIs" dxfId="302" priority="45" operator="greaterThan">
      <formula>$F$72</formula>
    </cfRule>
  </conditionalFormatting>
  <conditionalFormatting sqref="F80">
    <cfRule type="cellIs" dxfId="301" priority="44" operator="greaterThan">
      <formula>$F$73</formula>
    </cfRule>
  </conditionalFormatting>
  <conditionalFormatting sqref="F81">
    <cfRule type="cellIs" dxfId="300" priority="43" operator="greaterThan">
      <formula>$F$74</formula>
    </cfRule>
  </conditionalFormatting>
  <conditionalFormatting sqref="G77">
    <cfRule type="cellIs" dxfId="299" priority="41" operator="greaterThan">
      <formula>$G$70</formula>
    </cfRule>
  </conditionalFormatting>
  <conditionalFormatting sqref="G78">
    <cfRule type="cellIs" dxfId="298" priority="40" operator="greaterThan">
      <formula>$G$71</formula>
    </cfRule>
  </conditionalFormatting>
  <conditionalFormatting sqref="G79">
    <cfRule type="cellIs" dxfId="297" priority="39" operator="greaterThan">
      <formula>$G$72</formula>
    </cfRule>
  </conditionalFormatting>
  <conditionalFormatting sqref="G80">
    <cfRule type="cellIs" dxfId="296" priority="38" operator="greaterThan">
      <formula>$G$73</formula>
    </cfRule>
  </conditionalFormatting>
  <conditionalFormatting sqref="G81">
    <cfRule type="cellIs" dxfId="295" priority="37" operator="greaterThan">
      <formula>$G$74</formula>
    </cfRule>
  </conditionalFormatting>
  <conditionalFormatting sqref="H76">
    <cfRule type="cellIs" dxfId="294" priority="36" operator="greaterThan">
      <formula>$H$69</formula>
    </cfRule>
  </conditionalFormatting>
  <conditionalFormatting sqref="H77">
    <cfRule type="cellIs" dxfId="293" priority="35" operator="greaterThan">
      <formula>$H$70</formula>
    </cfRule>
  </conditionalFormatting>
  <conditionalFormatting sqref="H78">
    <cfRule type="cellIs" dxfId="292" priority="34" operator="greaterThan">
      <formula>$H$71</formula>
    </cfRule>
  </conditionalFormatting>
  <conditionalFormatting sqref="H79">
    <cfRule type="cellIs" dxfId="291" priority="33" operator="greaterThan">
      <formula>$H$72</formula>
    </cfRule>
  </conditionalFormatting>
  <conditionalFormatting sqref="H80">
    <cfRule type="cellIs" dxfId="290" priority="32" operator="greaterThan">
      <formula>$H$73</formula>
    </cfRule>
  </conditionalFormatting>
  <conditionalFormatting sqref="H81">
    <cfRule type="cellIs" dxfId="289" priority="31" operator="greaterThan">
      <formula>$H$74</formula>
    </cfRule>
  </conditionalFormatting>
  <conditionalFormatting sqref="I76">
    <cfRule type="cellIs" dxfId="288" priority="30" operator="greaterThan">
      <formula>$I$69</formula>
    </cfRule>
  </conditionalFormatting>
  <conditionalFormatting sqref="I77">
    <cfRule type="cellIs" dxfId="287" priority="29" operator="greaterThan">
      <formula>$I$70</formula>
    </cfRule>
  </conditionalFormatting>
  <conditionalFormatting sqref="I78">
    <cfRule type="cellIs" dxfId="286" priority="28" operator="greaterThan">
      <formula>$I$71</formula>
    </cfRule>
  </conditionalFormatting>
  <conditionalFormatting sqref="I79">
    <cfRule type="cellIs" dxfId="285" priority="27" operator="greaterThan">
      <formula>$I$72</formula>
    </cfRule>
  </conditionalFormatting>
  <conditionalFormatting sqref="I80">
    <cfRule type="cellIs" dxfId="284" priority="26" operator="greaterThan">
      <formula>$I$73</formula>
    </cfRule>
  </conditionalFormatting>
  <conditionalFormatting sqref="I81">
    <cfRule type="cellIs" dxfId="283" priority="25" operator="greaterThan">
      <formula>$I$74</formula>
    </cfRule>
  </conditionalFormatting>
  <conditionalFormatting sqref="J76">
    <cfRule type="cellIs" dxfId="282" priority="24" operator="greaterThan">
      <formula>$J$69</formula>
    </cfRule>
  </conditionalFormatting>
  <conditionalFormatting sqref="J77">
    <cfRule type="cellIs" dxfId="281" priority="23" operator="greaterThan">
      <formula>$J$70</formula>
    </cfRule>
  </conditionalFormatting>
  <conditionalFormatting sqref="J78">
    <cfRule type="cellIs" dxfId="280" priority="22" operator="greaterThan">
      <formula>$J$71</formula>
    </cfRule>
  </conditionalFormatting>
  <conditionalFormatting sqref="J79">
    <cfRule type="cellIs" dxfId="279" priority="21" operator="greaterThan">
      <formula>$J$72</formula>
    </cfRule>
  </conditionalFormatting>
  <conditionalFormatting sqref="J80">
    <cfRule type="cellIs" dxfId="278" priority="20" operator="greaterThan">
      <formula>$J$73</formula>
    </cfRule>
  </conditionalFormatting>
  <conditionalFormatting sqref="J81">
    <cfRule type="cellIs" dxfId="277" priority="19" operator="greaterThan">
      <formula>$J$74</formula>
    </cfRule>
  </conditionalFormatting>
  <conditionalFormatting sqref="K76">
    <cfRule type="cellIs" dxfId="276" priority="18" operator="greaterThan">
      <formula>$K$69</formula>
    </cfRule>
  </conditionalFormatting>
  <conditionalFormatting sqref="K77">
    <cfRule type="cellIs" dxfId="275" priority="17" operator="greaterThan">
      <formula>$K$70</formula>
    </cfRule>
  </conditionalFormatting>
  <conditionalFormatting sqref="K78">
    <cfRule type="cellIs" dxfId="274" priority="16" operator="greaterThan">
      <formula>$K$71</formula>
    </cfRule>
  </conditionalFormatting>
  <conditionalFormatting sqref="K79">
    <cfRule type="cellIs" dxfId="273" priority="15" operator="greaterThan">
      <formula>$K$72</formula>
    </cfRule>
  </conditionalFormatting>
  <conditionalFormatting sqref="K80">
    <cfRule type="cellIs" dxfId="272" priority="14" operator="greaterThan">
      <formula>$K$73</formula>
    </cfRule>
  </conditionalFormatting>
  <conditionalFormatting sqref="K81">
    <cfRule type="cellIs" dxfId="271" priority="13" operator="greaterThan">
      <formula>$K$74</formula>
    </cfRule>
  </conditionalFormatting>
  <conditionalFormatting sqref="L76">
    <cfRule type="cellIs" dxfId="270" priority="12" operator="greaterThan">
      <formula>$L$69</formula>
    </cfRule>
  </conditionalFormatting>
  <conditionalFormatting sqref="L77">
    <cfRule type="cellIs" dxfId="269" priority="11" operator="greaterThan">
      <formula>$L$70</formula>
    </cfRule>
  </conditionalFormatting>
  <conditionalFormatting sqref="L78">
    <cfRule type="cellIs" dxfId="268" priority="10" operator="greaterThan">
      <formula>$L$71</formula>
    </cfRule>
  </conditionalFormatting>
  <conditionalFormatting sqref="L79">
    <cfRule type="cellIs" dxfId="267" priority="9" operator="greaterThan">
      <formula>$L$72</formula>
    </cfRule>
  </conditionalFormatting>
  <conditionalFormatting sqref="L80">
    <cfRule type="cellIs" dxfId="266" priority="8" operator="greaterThan">
      <formula>$L$73</formula>
    </cfRule>
  </conditionalFormatting>
  <conditionalFormatting sqref="L81">
    <cfRule type="cellIs" dxfId="265" priority="7" operator="greaterThan">
      <formula>$L$74</formula>
    </cfRule>
  </conditionalFormatting>
  <conditionalFormatting sqref="D76:F76">
    <cfRule type="cellIs" dxfId="264" priority="3" operator="greaterThan">
      <formula>$D$69</formula>
    </cfRule>
  </conditionalFormatting>
  <conditionalFormatting sqref="G76">
    <cfRule type="cellIs" dxfId="263" priority="1" operator="greaterThan">
      <formula>$G$69</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8" zoomScale="150" zoomScaleNormal="150" workbookViewId="0">
      <selection activeCell="G76" sqref="G76"/>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188</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11</v>
      </c>
      <c r="D25" s="45">
        <f>C25</f>
        <v>11</v>
      </c>
      <c r="E25" s="45">
        <f t="shared" ref="E25:G25" si="0">D25</f>
        <v>11</v>
      </c>
      <c r="F25" s="45">
        <f t="shared" si="0"/>
        <v>11</v>
      </c>
      <c r="G25" s="45">
        <f t="shared" si="0"/>
        <v>11</v>
      </c>
      <c r="H25" s="45"/>
      <c r="I25" s="45"/>
      <c r="J25" s="45"/>
      <c r="K25" s="45"/>
      <c r="L25" s="45"/>
    </row>
    <row r="26" spans="1:13"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3" x14ac:dyDescent="0.35">
      <c r="A27" s="1" t="s">
        <v>126</v>
      </c>
      <c r="B27" s="14">
        <f>SUM(B28:B33)-SUM(B22:C22)</f>
        <v>0</v>
      </c>
      <c r="C27" s="14">
        <f>IF(C$25&lt;&gt;"",SUM(B22:C22),"")</f>
        <v>21.1</v>
      </c>
      <c r="D27" s="14">
        <f>IF(D$25&lt;&gt;"",C89,"")</f>
        <v>18.741102320000028</v>
      </c>
      <c r="E27" s="14">
        <f t="shared" ref="E27:L27" si="2">IF(E$25&lt;&gt;"",D89,"")</f>
        <v>16.451893682999426</v>
      </c>
      <c r="F27" s="14">
        <f t="shared" si="2"/>
        <v>15.099334327777489</v>
      </c>
      <c r="G27" s="14">
        <f t="shared" si="2"/>
        <v>14.783776714372936</v>
      </c>
      <c r="H27" s="14" t="str">
        <f t="shared" si="2"/>
        <v/>
      </c>
      <c r="I27" s="14" t="str">
        <f t="shared" si="2"/>
        <v/>
      </c>
      <c r="J27" s="14" t="str">
        <f t="shared" si="2"/>
        <v/>
      </c>
      <c r="K27" s="14" t="str">
        <f t="shared" si="2"/>
        <v/>
      </c>
      <c r="L27" s="14" t="str">
        <f t="shared" si="2"/>
        <v/>
      </c>
    </row>
    <row r="28" spans="1:13" x14ac:dyDescent="0.35">
      <c r="A28" t="str">
        <f>IF(A6="","","    "&amp;A6&amp;" Balance")</f>
        <v xml:space="preserve">    Upper Basin Balance</v>
      </c>
      <c r="B28" s="55">
        <f>B22</f>
        <v>11</v>
      </c>
      <c r="C28" s="14">
        <f>IF(OR(C$25="",$A28=""),"",B28)</f>
        <v>11</v>
      </c>
      <c r="D28" s="14">
        <f>IF(OR(D$25="",$A28=""),"",C83)</f>
        <v>9.0322571336493027</v>
      </c>
      <c r="E28" s="14">
        <f t="shared" ref="E28:L28" si="3">IF(OR(E$25="",$A28=""),"",D83)</f>
        <v>7.1383410513710048</v>
      </c>
      <c r="F28" s="14">
        <f t="shared" si="3"/>
        <v>6.1</v>
      </c>
      <c r="G28" s="14">
        <f t="shared" si="3"/>
        <v>6.1</v>
      </c>
      <c r="H28" s="14" t="str">
        <f t="shared" si="3"/>
        <v/>
      </c>
      <c r="I28" s="14" t="str">
        <f t="shared" si="3"/>
        <v/>
      </c>
      <c r="J28" s="14" t="str">
        <f t="shared" si="3"/>
        <v/>
      </c>
      <c r="K28" s="14" t="str">
        <f t="shared" si="3"/>
        <v/>
      </c>
      <c r="L28" s="14" t="str">
        <f t="shared" si="3"/>
        <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9.3135526316284221</v>
      </c>
      <c r="F29" s="14">
        <f t="shared" si="6"/>
        <v>8.9993343277774898</v>
      </c>
      <c r="G29" s="14">
        <f t="shared" si="6"/>
        <v>8.6837767143729359</v>
      </c>
      <c r="H29" s="14" t="str">
        <f t="shared" si="6"/>
        <v/>
      </c>
      <c r="I29" s="14" t="str">
        <f t="shared" si="6"/>
        <v/>
      </c>
      <c r="J29" s="14" t="str">
        <f t="shared" si="6"/>
        <v/>
      </c>
      <c r="K29" s="14" t="str">
        <f t="shared" si="6"/>
        <v/>
      </c>
      <c r="L29" s="14" t="str">
        <f t="shared" si="6"/>
        <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9.370551160000014</v>
      </c>
      <c r="E35" s="14">
        <f t="shared" si="7"/>
        <v>8.225946841499713</v>
      </c>
      <c r="F35" s="14">
        <f t="shared" si="7"/>
        <v>7.5496671638887447</v>
      </c>
      <c r="G35" s="14">
        <f t="shared" si="7"/>
        <v>7.3918883571864678</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9.370551160000014</v>
      </c>
      <c r="E36" s="14">
        <f t="shared" si="7"/>
        <v>8.225946841499713</v>
      </c>
      <c r="F36" s="14">
        <f t="shared" si="7"/>
        <v>7.5496671638887447</v>
      </c>
      <c r="G36" s="14">
        <f t="shared" si="7"/>
        <v>7.3918883571864678</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0.95220863700059999</v>
      </c>
      <c r="E37" s="14">
        <f>IF(E$25&lt;&gt;"",VLOOKUP(E35*1000000,'Powell-Elevation-Area'!$B$5:$D$689,3)*$B$21/1000000 + VLOOKUP(E36*1000000,'Mead-Elevation-Area'!$B$5:$D$676,3)*$C$21/1000000,"")</f>
        <v>0.8800760451006</v>
      </c>
      <c r="F37" s="14">
        <f>IF(F$25&lt;&gt;"",VLOOKUP(F35*1000000,'Powell-Elevation-Area'!$B$5:$D$689,3)*$B$21/1000000 + VLOOKUP(F36*1000000,'Mead-Elevation-Area'!$B$5:$D$676,3)*$C$21/1000000,"")</f>
        <v>0.8381717076006</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0.45891608227829872</v>
      </c>
      <c r="E38" s="14">
        <f t="shared" si="8"/>
        <v>0.38185774124966865</v>
      </c>
      <c r="F38" s="14">
        <f t="shared" si="8"/>
        <v>0.33861409419604743</v>
      </c>
      <c r="G38" s="14">
        <f t="shared" si="8"/>
        <v>0.34116145127806541</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0.48915481364927621</v>
      </c>
      <c r="D39" s="14">
        <f t="shared" si="10"/>
        <v>0.49329255472230121</v>
      </c>
      <c r="E39" s="14">
        <f t="shared" si="10"/>
        <v>0.49821830385093147</v>
      </c>
      <c r="F39" s="14">
        <f t="shared" si="10"/>
        <v>0.49955761340455251</v>
      </c>
      <c r="G39" s="14">
        <f t="shared" si="10"/>
        <v>0.48566719122133467</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11.338341051371005</v>
      </c>
      <c r="E69" s="14">
        <f t="shared" si="26"/>
        <v>9.5214833101213365</v>
      </c>
      <c r="F69" s="14">
        <f t="shared" si="26"/>
        <v>8.5263859058039522</v>
      </c>
      <c r="G69" s="14">
        <f t="shared" si="26"/>
        <v>8.523838548721935</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16.575845186350726</v>
      </c>
      <c r="D70" s="14">
        <f t="shared" si="28"/>
        <v>16.180552631628423</v>
      </c>
      <c r="E70" s="14">
        <f t="shared" si="28"/>
        <v>15.782334327777489</v>
      </c>
      <c r="F70" s="14">
        <f t="shared" si="28"/>
        <v>15.466776714372937</v>
      </c>
      <c r="G70" s="14">
        <f t="shared" si="28"/>
        <v>15.165109523151601</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3.4214833101213369</v>
      </c>
      <c r="F76" s="43">
        <f t="shared" si="29"/>
        <v>2.4263859058039525</v>
      </c>
      <c r="G76" s="43">
        <f t="shared" si="29"/>
        <v>2.4238385487219354</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1.47</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7.1383410513710048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9.7088451863507252</v>
      </c>
      <c r="D84" s="14">
        <f t="shared" si="36"/>
        <v>9.3135526316284221</v>
      </c>
      <c r="E84" s="14">
        <f t="shared" si="36"/>
        <v>8.9993343277774898</v>
      </c>
      <c r="F84" s="14">
        <f t="shared" si="36"/>
        <v>8.6837767143729359</v>
      </c>
      <c r="G84" s="14">
        <f t="shared" si="36"/>
        <v>8.3821095231516018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18.741102320000028</v>
      </c>
      <c r="D89" s="14">
        <f t="shared" ref="D89:L89" si="37">IF(D$25&lt;&gt;"",SUM(D83:D88),"")</f>
        <v>16.451893682999426</v>
      </c>
      <c r="E89" s="14">
        <f t="shared" si="37"/>
        <v>15.099334327777489</v>
      </c>
      <c r="F89" s="14">
        <f t="shared" si="37"/>
        <v>14.783776714372936</v>
      </c>
      <c r="G89" s="14">
        <f t="shared" si="37"/>
        <v>14.482109523151601</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7.8967059736492882</v>
      </c>
      <c r="D90" s="14">
        <f t="shared" ref="D90:L90" si="38">IF(D25&lt;&gt;"",D35+D25-D38-D76-D89*$B$35,"")</f>
        <v>7.4856882362219999</v>
      </c>
      <c r="E90" s="14">
        <f t="shared" si="38"/>
        <v>7.8729386262399634</v>
      </c>
      <c r="F90" s="14">
        <f t="shared" si="38"/>
        <v>8.3927788067022782</v>
      </c>
      <c r="G90" s="14">
        <f t="shared" si="38"/>
        <v>8.3858335956106664</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2" priority="60" operator="greaterThan">
      <formula>$C$69</formula>
    </cfRule>
  </conditionalFormatting>
  <conditionalFormatting sqref="C77">
    <cfRule type="cellIs" dxfId="261" priority="59" operator="greaterThan">
      <formula>$C$70</formula>
    </cfRule>
  </conditionalFormatting>
  <conditionalFormatting sqref="C78">
    <cfRule type="cellIs" dxfId="260" priority="58" operator="greaterThan">
      <formula>$C$71</formula>
    </cfRule>
  </conditionalFormatting>
  <conditionalFormatting sqref="C79">
    <cfRule type="cellIs" dxfId="259" priority="57" operator="greaterThan">
      <formula>$C$72</formula>
    </cfRule>
  </conditionalFormatting>
  <conditionalFormatting sqref="C80">
    <cfRule type="cellIs" dxfId="258" priority="56" operator="greaterThan">
      <formula>$C$73</formula>
    </cfRule>
  </conditionalFormatting>
  <conditionalFormatting sqref="C81">
    <cfRule type="cellIs" dxfId="257" priority="55" operator="greaterThan">
      <formula>$C$74</formula>
    </cfRule>
  </conditionalFormatting>
  <conditionalFormatting sqref="D76">
    <cfRule type="cellIs" dxfId="256" priority="54" operator="greaterThan">
      <formula>$D$69</formula>
    </cfRule>
  </conditionalFormatting>
  <conditionalFormatting sqref="D77">
    <cfRule type="cellIs" dxfId="255" priority="53" operator="greaterThan">
      <formula>$D$70</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topLeftCell="D1" workbookViewId="0">
      <selection activeCell="P1" sqref="P1"/>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21" zoomScale="150" zoomScaleNormal="150" workbookViewId="0">
      <selection activeCell="N27" sqref="N27:O29"/>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72"/>
      <c r="I3" s="72"/>
      <c r="J3" s="72"/>
      <c r="K3" s="72"/>
    </row>
    <row r="4" spans="1:11" x14ac:dyDescent="0.35">
      <c r="A4" s="64" t="s">
        <v>39</v>
      </c>
      <c r="B4" s="64" t="s">
        <v>43</v>
      </c>
      <c r="C4" s="87" t="s">
        <v>44</v>
      </c>
      <c r="D4" s="88"/>
      <c r="E4" s="88"/>
      <c r="F4" s="88"/>
      <c r="G4" s="89"/>
    </row>
    <row r="5" spans="1:11" x14ac:dyDescent="0.35">
      <c r="A5" s="73" t="s">
        <v>52</v>
      </c>
      <c r="B5" s="73"/>
      <c r="C5" s="90"/>
      <c r="D5" s="90"/>
      <c r="E5" s="90"/>
      <c r="F5" s="90"/>
      <c r="G5" s="90"/>
    </row>
    <row r="6" spans="1:11" x14ac:dyDescent="0.35">
      <c r="A6" s="71" t="s">
        <v>40</v>
      </c>
      <c r="B6" s="71" t="s">
        <v>184</v>
      </c>
      <c r="C6" s="91" t="s">
        <v>183</v>
      </c>
      <c r="D6" s="91"/>
      <c r="E6" s="91"/>
      <c r="F6" s="91"/>
      <c r="G6" s="91"/>
    </row>
    <row r="7" spans="1:11" x14ac:dyDescent="0.35">
      <c r="A7" s="71" t="s">
        <v>41</v>
      </c>
      <c r="B7" s="71" t="s">
        <v>184</v>
      </c>
      <c r="C7" s="85" t="s">
        <v>181</v>
      </c>
      <c r="D7" s="85"/>
      <c r="E7" s="85"/>
      <c r="F7" s="85"/>
      <c r="G7" s="85"/>
    </row>
    <row r="8" spans="1:11" x14ac:dyDescent="0.35">
      <c r="A8" s="71" t="s">
        <v>42</v>
      </c>
      <c r="B8" s="71" t="s">
        <v>184</v>
      </c>
      <c r="C8" s="91" t="s">
        <v>183</v>
      </c>
      <c r="D8" s="91"/>
      <c r="E8" s="91"/>
      <c r="F8" s="91"/>
      <c r="G8" s="91"/>
    </row>
    <row r="9" spans="1:11" x14ac:dyDescent="0.35">
      <c r="A9" s="71" t="s">
        <v>165</v>
      </c>
      <c r="B9" s="71" t="s">
        <v>184</v>
      </c>
      <c r="C9" s="85" t="s">
        <v>182</v>
      </c>
      <c r="D9" s="85"/>
      <c r="E9" s="85"/>
      <c r="F9" s="85"/>
      <c r="G9" s="85"/>
    </row>
    <row r="10" spans="1:11" x14ac:dyDescent="0.35">
      <c r="A10" s="71"/>
      <c r="B10" s="71"/>
      <c r="C10" s="85"/>
      <c r="D10" s="85"/>
      <c r="E10" s="85"/>
      <c r="F10" s="85"/>
      <c r="G10" s="85"/>
    </row>
    <row r="11" spans="1:11" x14ac:dyDescent="0.35">
      <c r="A11" s="71"/>
      <c r="B11" s="71"/>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19.811868610497712</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8.9051509428001765</v>
      </c>
      <c r="K28" s="14">
        <f t="shared" si="3"/>
        <v>9.9039589206904175</v>
      </c>
      <c r="L28" s="14">
        <f t="shared" si="3"/>
        <v>10.864777562512774</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8.4654780711986781</v>
      </c>
      <c r="K29" s="14">
        <f t="shared" si="6"/>
        <v>8.7063032878078666</v>
      </c>
      <c r="L29" s="14">
        <f t="shared" si="6"/>
        <v>8.9470910479849373</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9.9059343052488558</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9.9059343052488558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0.46619202210976113</v>
      </c>
      <c r="K38" s="14">
        <f t="shared" si="8"/>
        <v>0.50418135817764509</v>
      </c>
      <c r="L38" s="14">
        <f t="shared" si="8"/>
        <v>0.53935894445418653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0.4431747833908119</v>
      </c>
      <c r="K39" s="14">
        <f t="shared" si="10"/>
        <v>0.4432122398229279</v>
      </c>
      <c r="L39" s="14">
        <f t="shared" si="10"/>
        <v>0.44415944604581342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14.082874272508667</v>
      </c>
      <c r="E69" s="14">
        <f t="shared" si="28"/>
        <v>13.550587618564743</v>
      </c>
      <c r="F69" s="14">
        <f t="shared" si="28"/>
        <v>13.036950776845103</v>
      </c>
      <c r="G69" s="14">
        <f t="shared" si="28"/>
        <v>12.541654016622303</v>
      </c>
      <c r="H69" s="14">
        <f t="shared" si="28"/>
        <v>12.064595445953662</v>
      </c>
      <c r="I69" s="14">
        <f t="shared" si="28"/>
        <v>13.105150942800178</v>
      </c>
      <c r="J69" s="14">
        <f t="shared" si="28"/>
        <v>14.103958920690417</v>
      </c>
      <c r="K69" s="14">
        <f t="shared" si="28"/>
        <v>15.064777562512775</v>
      </c>
      <c r="L69" s="14">
        <f t="shared" si="28"/>
        <v>15.990418618058591</v>
      </c>
    </row>
    <row r="70" spans="1:21" x14ac:dyDescent="0.35">
      <c r="A70" t="str">
        <f t="shared" ref="A70:A74" si="29">IF(A7="","","    "&amp;A7)</f>
        <v xml:space="preserve">    Lower Basin</v>
      </c>
      <c r="C70" s="14">
        <f t="shared" ref="C70:L74" si="30">IF(OR(C$25="",$A70=""),"",C29+C47+C54-C39-C61)</f>
        <v>16.575845186350726</v>
      </c>
      <c r="D70" s="14">
        <f t="shared" si="30"/>
        <v>16.19513156749079</v>
      </c>
      <c r="E70" s="14">
        <f t="shared" si="30"/>
        <v>15.825758467435284</v>
      </c>
      <c r="F70" s="14">
        <f t="shared" si="30"/>
        <v>15.546878750154894</v>
      </c>
      <c r="G70" s="14">
        <f t="shared" si="30"/>
        <v>15.274388146376525</v>
      </c>
      <c r="H70" s="14">
        <f t="shared" si="30"/>
        <v>15.008394548044595</v>
      </c>
      <c r="I70" s="14">
        <f t="shared" si="30"/>
        <v>15.248478071198679</v>
      </c>
      <c r="J70" s="14">
        <f t="shared" si="30"/>
        <v>15.489303287807866</v>
      </c>
      <c r="K70" s="14">
        <f t="shared" si="30"/>
        <v>15.730091047984939</v>
      </c>
      <c r="L70" s="14">
        <f t="shared" si="30"/>
        <v>15.969931601939125</v>
      </c>
    </row>
    <row r="71" spans="1:21" x14ac:dyDescent="0.35">
      <c r="A71" t="str">
        <f t="shared" si="29"/>
        <v xml:space="preserve">    Mexico</v>
      </c>
      <c r="C71" s="60">
        <f t="shared" si="30"/>
        <v>1.47</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1.47</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9.8828742725086656</v>
      </c>
      <c r="E83" s="14">
        <f t="shared" si="37"/>
        <v>9.3505876185647416</v>
      </c>
      <c r="F83" s="14">
        <f t="shared" si="37"/>
        <v>8.8369507768451037</v>
      </c>
      <c r="G83" s="14">
        <f t="shared" si="37"/>
        <v>8.3416540166223037</v>
      </c>
      <c r="H83" s="14">
        <f t="shared" si="37"/>
        <v>7.864595445953662</v>
      </c>
      <c r="I83" s="14">
        <f t="shared" si="37"/>
        <v>8.9051509428001765</v>
      </c>
      <c r="J83" s="14">
        <f t="shared" si="37"/>
        <v>9.9039589206904175</v>
      </c>
      <c r="K83" s="14">
        <f t="shared" si="37"/>
        <v>10.864777562512774</v>
      </c>
      <c r="L83" s="14">
        <f t="shared" si="37"/>
        <v>11.790418618058592</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9.7088451863507252</v>
      </c>
      <c r="D84" s="14">
        <f t="shared" si="39"/>
        <v>9.3281315674907894</v>
      </c>
      <c r="E84" s="14">
        <f t="shared" si="39"/>
        <v>9.0427584674352843</v>
      </c>
      <c r="F84" s="14">
        <f t="shared" si="39"/>
        <v>8.7638787501548947</v>
      </c>
      <c r="G84" s="14">
        <f t="shared" si="39"/>
        <v>8.4913881463765257</v>
      </c>
      <c r="H84" s="14">
        <f t="shared" si="39"/>
        <v>8.2253945480445942</v>
      </c>
      <c r="I84" s="14">
        <f t="shared" si="39"/>
        <v>8.4654780711986781</v>
      </c>
      <c r="J84" s="14">
        <f t="shared" si="39"/>
        <v>8.7063032878078666</v>
      </c>
      <c r="K84" s="14">
        <f t="shared" si="39"/>
        <v>8.9470910479849373</v>
      </c>
      <c r="L84" s="14">
        <f t="shared" si="39"/>
        <v>9.1869316019391256</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20.14110232000003</v>
      </c>
      <c r="D89" s="14">
        <f t="shared" ref="D89:L89" si="40">IF(D$25&lt;&gt;"",SUM(D83:D88),"")</f>
        <v>19.211005839999455</v>
      </c>
      <c r="E89" s="14">
        <f t="shared" si="40"/>
        <v>18.393346086000026</v>
      </c>
      <c r="F89" s="14">
        <f t="shared" si="40"/>
        <v>17.600829526999998</v>
      </c>
      <c r="G89" s="14">
        <f t="shared" si="40"/>
        <v>16.833042162998829</v>
      </c>
      <c r="H89" s="14">
        <f t="shared" si="40"/>
        <v>16.089989993998255</v>
      </c>
      <c r="I89" s="14">
        <f t="shared" si="40"/>
        <v>17.370629013998855</v>
      </c>
      <c r="J89" s="14">
        <f t="shared" si="40"/>
        <v>18.610262208498284</v>
      </c>
      <c r="K89" s="14">
        <f t="shared" si="40"/>
        <v>19.811868610497712</v>
      </c>
      <c r="L89" s="14">
        <f t="shared" si="40"/>
        <v>20.977350219997717</v>
      </c>
    </row>
    <row r="90" spans="1:21" x14ac:dyDescent="0.35">
      <c r="A90" s="1" t="s">
        <v>147</v>
      </c>
      <c r="B90" s="1"/>
      <c r="C90" s="14">
        <f>IF(C25&lt;&gt;"",C35+C25-C38-C76-C89*$B$35,"")</f>
        <v>8.5967059736492857</v>
      </c>
      <c r="D90" s="14">
        <f t="shared" ref="D90:L90" si="41">IF(D25&lt;&gt;"",D35+D25-D38-D76-D89*$B$35,"")</f>
        <v>8.1506653788596477</v>
      </c>
      <c r="E90" s="14">
        <f t="shared" si="41"/>
        <v>8.1115432230557918</v>
      </c>
      <c r="F90" s="14">
        <f t="shared" si="41"/>
        <v>8.117621437780377</v>
      </c>
      <c r="G90" s="14">
        <f t="shared" si="41"/>
        <v>8.1235969217777821</v>
      </c>
      <c r="H90" s="14">
        <f t="shared" si="41"/>
        <v>8.1294675138316475</v>
      </c>
      <c r="I90" s="14">
        <f t="shared" si="41"/>
        <v>9.135235986846217</v>
      </c>
      <c r="J90" s="14">
        <f t="shared" si="41"/>
        <v>9.1139913806405239</v>
      </c>
      <c r="K90" s="14">
        <f t="shared" si="41"/>
        <v>9.0950154408226389</v>
      </c>
      <c r="L90" s="14">
        <f t="shared" si="41"/>
        <v>9.0779002507958104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8" zoomScale="150" zoomScaleNormal="150" workbookViewId="0">
      <selection activeCell="G93" sqref="G93"/>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c r="B10" s="66"/>
      <c r="C10" s="85"/>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20.14110232000003</v>
      </c>
      <c r="E27" s="14">
        <f t="shared" ref="E27:L27" si="2">IF(E$25&lt;&gt;"",D89,"")</f>
        <v>19.211005839999455</v>
      </c>
      <c r="F27" s="14">
        <f t="shared" si="2"/>
        <v>18.393346086000026</v>
      </c>
      <c r="G27" s="14">
        <f t="shared" si="2"/>
        <v>17.600829526999998</v>
      </c>
      <c r="H27" s="14">
        <f t="shared" si="2"/>
        <v>16.833042162998829</v>
      </c>
      <c r="I27" s="14">
        <f t="shared" si="2"/>
        <v>16.089989993998255</v>
      </c>
      <c r="J27" s="14">
        <f t="shared" si="2"/>
        <v>17.370629013998855</v>
      </c>
      <c r="K27" s="14">
        <f t="shared" si="2"/>
        <v>18.610262208498284</v>
      </c>
      <c r="L27" s="14">
        <f t="shared" si="2"/>
        <v>19.811868610497715</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9.8828742725086656</v>
      </c>
      <c r="F28" s="14">
        <f t="shared" si="3"/>
        <v>9.3505876185647416</v>
      </c>
      <c r="G28" s="14">
        <f t="shared" si="3"/>
        <v>8.8369507768451037</v>
      </c>
      <c r="H28" s="14">
        <f t="shared" si="3"/>
        <v>8.3416540166223037</v>
      </c>
      <c r="I28" s="14">
        <f t="shared" si="3"/>
        <v>7.864595445953662</v>
      </c>
      <c r="J28" s="14">
        <f t="shared" si="3"/>
        <v>9.4051509428001765</v>
      </c>
      <c r="K28" s="14">
        <f t="shared" si="3"/>
        <v>10.877783506870696</v>
      </c>
      <c r="L28" s="14">
        <f t="shared" si="3"/>
        <v>12.289027609216578</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9.3281315674907894</v>
      </c>
      <c r="F29" s="14">
        <f t="shared" si="6"/>
        <v>9.0427584674352843</v>
      </c>
      <c r="G29" s="14">
        <f t="shared" si="6"/>
        <v>8.7638787501548947</v>
      </c>
      <c r="H29" s="14">
        <f t="shared" si="6"/>
        <v>8.4913881463765257</v>
      </c>
      <c r="I29" s="14">
        <f t="shared" si="6"/>
        <v>8.2253945480445942</v>
      </c>
      <c r="J29" s="14">
        <f t="shared" si="6"/>
        <v>7.965478071198679</v>
      </c>
      <c r="K29" s="14">
        <f t="shared" si="6"/>
        <v>7.7324787016275875</v>
      </c>
      <c r="L29" s="14">
        <f t="shared" si="6"/>
        <v>7.5228410012811358</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10.070551160000015</v>
      </c>
      <c r="E35" s="14">
        <f t="shared" si="7"/>
        <v>9.6055029199997275</v>
      </c>
      <c r="F35" s="14">
        <f t="shared" si="7"/>
        <v>9.196673043000013</v>
      </c>
      <c r="G35" s="14">
        <f t="shared" si="7"/>
        <v>8.8004147634999992</v>
      </c>
      <c r="H35" s="14">
        <f t="shared" si="7"/>
        <v>8.4165210814994147</v>
      </c>
      <c r="I35" s="14">
        <f t="shared" si="7"/>
        <v>8.0449949969991277</v>
      </c>
      <c r="J35" s="14">
        <f t="shared" si="7"/>
        <v>8.6853145069994273</v>
      </c>
      <c r="K35" s="14">
        <f t="shared" si="7"/>
        <v>9.305131104249142</v>
      </c>
      <c r="L35" s="14">
        <f t="shared" si="7"/>
        <v>9.9059343052488575</v>
      </c>
    </row>
    <row r="36" spans="1:12" x14ac:dyDescent="0.35">
      <c r="A36" t="s">
        <v>116</v>
      </c>
      <c r="B36" s="35">
        <f>1-B35</f>
        <v>0.5</v>
      </c>
      <c r="C36" s="14">
        <f>IF(C$25&lt;&gt;"",C22,"")</f>
        <v>10.1</v>
      </c>
      <c r="D36" s="14">
        <f t="shared" si="7"/>
        <v>10.070551160000015</v>
      </c>
      <c r="E36" s="14">
        <f t="shared" si="7"/>
        <v>9.6055029199997275</v>
      </c>
      <c r="F36" s="14">
        <f t="shared" si="7"/>
        <v>9.196673043000013</v>
      </c>
      <c r="G36" s="14">
        <f t="shared" si="7"/>
        <v>8.8004147634999992</v>
      </c>
      <c r="H36" s="14">
        <f t="shared" si="7"/>
        <v>8.4165210814994147</v>
      </c>
      <c r="I36" s="14">
        <f t="shared" si="7"/>
        <v>8.0449949969991277</v>
      </c>
      <c r="J36" s="14">
        <f t="shared" si="7"/>
        <v>8.6853145069994273</v>
      </c>
      <c r="K36" s="14">
        <f t="shared" si="7"/>
        <v>9.305131104249142</v>
      </c>
      <c r="L36" s="14">
        <f t="shared" si="7"/>
        <v>9.9059343052488575</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0.98351839050000001</v>
      </c>
    </row>
    <row r="38" spans="1:12" x14ac:dyDescent="0.35">
      <c r="A38" t="str">
        <f>IF(A6="","","    "&amp;A6&amp;" Share")</f>
        <v xml:space="preserve">    Upper Basin Share</v>
      </c>
      <c r="B38" s="1"/>
      <c r="C38" s="14">
        <f>IF(OR(C$25="",$A38=""),"",C$37*C28/C$27)</f>
        <v>0.5327428663506969</v>
      </c>
      <c r="D38" s="14">
        <f t="shared" ref="D38:L38" si="8">IF(OR(D$25="",$A38=""),"",D$37*D28/D$27)</f>
        <v>0.51438286114063969</v>
      </c>
      <c r="E38" s="14">
        <f t="shared" si="8"/>
        <v>0.49728665394392302</v>
      </c>
      <c r="F38" s="14">
        <f t="shared" si="8"/>
        <v>0.47863684171963883</v>
      </c>
      <c r="G38" s="14">
        <f t="shared" si="8"/>
        <v>0.46029676022280247</v>
      </c>
      <c r="H38" s="14">
        <f t="shared" si="8"/>
        <v>0.44205857066864318</v>
      </c>
      <c r="I38" s="14">
        <f t="shared" si="8"/>
        <v>0.42444450315348542</v>
      </c>
      <c r="J38" s="14">
        <f t="shared" si="8"/>
        <v>0.49236743592948296</v>
      </c>
      <c r="K38" s="14">
        <f t="shared" si="8"/>
        <v>0.55375589765412025</v>
      </c>
      <c r="L38" s="14">
        <f t="shared" si="8"/>
        <v>0.61006283115679893</v>
      </c>
    </row>
    <row r="39" spans="1:12" x14ac:dyDescent="0.35">
      <c r="A39" t="str">
        <f t="shared" ref="A39:A43" si="9">IF(A7="","","    "&amp;A7&amp;" Share")</f>
        <v xml:space="preserve">    Lower Basin Share</v>
      </c>
      <c r="B39" s="1"/>
      <c r="C39" s="14">
        <f t="shared" ref="C39:L43" si="10">IF(OR(C$25="",$A39=""),"",C$37*C29/C$27)</f>
        <v>0.48915481364927621</v>
      </c>
      <c r="D39" s="14">
        <f t="shared" si="10"/>
        <v>0.4787136188599333</v>
      </c>
      <c r="E39" s="14">
        <f t="shared" si="10"/>
        <v>0.46937310005550409</v>
      </c>
      <c r="F39" s="14">
        <f t="shared" si="10"/>
        <v>0.46287971728038824</v>
      </c>
      <c r="G39" s="14">
        <f t="shared" si="10"/>
        <v>0.45649060377837047</v>
      </c>
      <c r="H39" s="14">
        <f t="shared" si="10"/>
        <v>0.44999359833192987</v>
      </c>
      <c r="I39" s="14">
        <f t="shared" si="10"/>
        <v>0.44391647684591473</v>
      </c>
      <c r="J39" s="14">
        <f t="shared" si="10"/>
        <v>0.41699936957109013</v>
      </c>
      <c r="K39" s="14">
        <f t="shared" si="10"/>
        <v>0.39363770034645268</v>
      </c>
      <c r="L39" s="14">
        <f t="shared" si="10"/>
        <v>0.37345555934320102</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14.082874272508667</v>
      </c>
      <c r="E69" s="14">
        <f t="shared" si="26"/>
        <v>13.550587618564743</v>
      </c>
      <c r="F69" s="14">
        <f t="shared" si="26"/>
        <v>13.036950776845103</v>
      </c>
      <c r="G69" s="14">
        <f t="shared" si="26"/>
        <v>12.541654016622303</v>
      </c>
      <c r="H69" s="14">
        <f t="shared" si="26"/>
        <v>12.064595445953662</v>
      </c>
      <c r="I69" s="14">
        <f t="shared" si="26"/>
        <v>13.605150942800178</v>
      </c>
      <c r="J69" s="14">
        <f t="shared" si="26"/>
        <v>15.077783506870695</v>
      </c>
      <c r="K69" s="14">
        <f t="shared" si="26"/>
        <v>16.489027609216578</v>
      </c>
      <c r="L69" s="14">
        <f t="shared" si="26"/>
        <v>17.843964778059782</v>
      </c>
    </row>
    <row r="70" spans="1:21" x14ac:dyDescent="0.35">
      <c r="A70" t="str">
        <f t="shared" ref="A70:A74" si="27">IF(A7="","","    "&amp;A7)</f>
        <v xml:space="preserve">    Lower Basin</v>
      </c>
      <c r="C70" s="14">
        <f t="shared" ref="C70:L74" si="28">IF(OR(C$25="",$A70=""),"",C29+C47+C54-C39-C61)</f>
        <v>16.575845186350726</v>
      </c>
      <c r="D70" s="14">
        <f t="shared" si="28"/>
        <v>16.19513156749079</v>
      </c>
      <c r="E70" s="14">
        <f t="shared" si="28"/>
        <v>15.825758467435284</v>
      </c>
      <c r="F70" s="14">
        <f t="shared" si="28"/>
        <v>15.546878750154894</v>
      </c>
      <c r="G70" s="14">
        <f t="shared" si="28"/>
        <v>15.274388146376525</v>
      </c>
      <c r="H70" s="14">
        <f t="shared" si="28"/>
        <v>15.008394548044595</v>
      </c>
      <c r="I70" s="14">
        <f t="shared" si="28"/>
        <v>14.748478071198679</v>
      </c>
      <c r="J70" s="14">
        <f t="shared" si="28"/>
        <v>14.515478701627588</v>
      </c>
      <c r="K70" s="14">
        <f t="shared" si="28"/>
        <v>14.305841001281136</v>
      </c>
      <c r="L70" s="14">
        <f t="shared" si="28"/>
        <v>14.137385441937935</v>
      </c>
    </row>
    <row r="71" spans="1:21" x14ac:dyDescent="0.35">
      <c r="A71" t="str">
        <f t="shared" si="27"/>
        <v xml:space="preserve">    Mexico</v>
      </c>
      <c r="C71" s="60">
        <f t="shared" si="28"/>
        <v>1.47</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9.8828742725086656</v>
      </c>
      <c r="E83" s="14">
        <f t="shared" si="35"/>
        <v>9.3505876185647416</v>
      </c>
      <c r="F83" s="14">
        <f t="shared" si="35"/>
        <v>8.8369507768451037</v>
      </c>
      <c r="G83" s="14">
        <f t="shared" si="35"/>
        <v>8.3416540166223037</v>
      </c>
      <c r="H83" s="14">
        <f t="shared" si="35"/>
        <v>7.864595445953662</v>
      </c>
      <c r="I83" s="14">
        <f t="shared" si="35"/>
        <v>9.4051509428001765</v>
      </c>
      <c r="J83" s="14">
        <f t="shared" si="35"/>
        <v>10.877783506870696</v>
      </c>
      <c r="K83" s="14">
        <f t="shared" si="35"/>
        <v>12.289027609216578</v>
      </c>
      <c r="L83" s="14">
        <f t="shared" si="35"/>
        <v>13.643964778059782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9.3281315674907894</v>
      </c>
      <c r="E84" s="14">
        <f t="shared" si="37"/>
        <v>9.0427584674352843</v>
      </c>
      <c r="F84" s="14">
        <f t="shared" si="37"/>
        <v>8.7638787501548947</v>
      </c>
      <c r="G84" s="14">
        <f t="shared" si="37"/>
        <v>8.4913881463765257</v>
      </c>
      <c r="H84" s="14">
        <f t="shared" si="37"/>
        <v>8.2253945480445942</v>
      </c>
      <c r="I84" s="14">
        <f t="shared" si="37"/>
        <v>7.965478071198679</v>
      </c>
      <c r="J84" s="14">
        <f t="shared" si="37"/>
        <v>7.7324787016275875</v>
      </c>
      <c r="K84" s="14">
        <f t="shared" si="37"/>
        <v>7.5228410012811358</v>
      </c>
      <c r="L84" s="14">
        <f t="shared" si="37"/>
        <v>7.6043854419379349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20.14110232000003</v>
      </c>
      <c r="D89" s="14">
        <f t="shared" ref="D89:L89" si="38">IF(D$25&lt;&gt;"",SUM(D83:D88),"")</f>
        <v>19.211005839999455</v>
      </c>
      <c r="E89" s="14">
        <f t="shared" si="38"/>
        <v>18.393346086000026</v>
      </c>
      <c r="F89" s="14">
        <f t="shared" si="38"/>
        <v>17.600829526999998</v>
      </c>
      <c r="G89" s="14">
        <f t="shared" si="38"/>
        <v>16.833042162998829</v>
      </c>
      <c r="H89" s="14">
        <f t="shared" si="38"/>
        <v>16.089989993998255</v>
      </c>
      <c r="I89" s="14">
        <f t="shared" si="38"/>
        <v>17.370629013998855</v>
      </c>
      <c r="J89" s="14">
        <f t="shared" si="38"/>
        <v>18.610262208498284</v>
      </c>
      <c r="K89" s="14">
        <f t="shared" si="38"/>
        <v>19.811868610497715</v>
      </c>
      <c r="L89" s="14">
        <f t="shared" si="38"/>
        <v>21.248350219997718</v>
      </c>
    </row>
    <row r="90" spans="1:21" x14ac:dyDescent="0.35">
      <c r="A90" s="1" t="s">
        <v>147</v>
      </c>
      <c r="B90" s="1"/>
      <c r="C90" s="14">
        <f>IF(C25&lt;&gt;"",C35+C25-C38-C76-C89*$B$35,"")</f>
        <v>8.5967059736492857</v>
      </c>
      <c r="D90" s="14">
        <f t="shared" ref="D90:L90" si="39">IF(D25&lt;&gt;"",D35+D25-D38-D76-D89*$B$35,"")</f>
        <v>8.1506653788596477</v>
      </c>
      <c r="E90" s="14">
        <f t="shared" si="39"/>
        <v>8.1115432230557918</v>
      </c>
      <c r="F90" s="14">
        <f t="shared" si="39"/>
        <v>8.117621437780377</v>
      </c>
      <c r="G90" s="14">
        <f t="shared" si="39"/>
        <v>8.1235969217777821</v>
      </c>
      <c r="H90" s="14">
        <f t="shared" si="39"/>
        <v>8.1294675138316475</v>
      </c>
      <c r="I90" s="14">
        <f t="shared" si="39"/>
        <v>9.135235986846217</v>
      </c>
      <c r="J90" s="14">
        <f t="shared" si="39"/>
        <v>9.0878159668208021</v>
      </c>
      <c r="K90" s="14">
        <f t="shared" si="39"/>
        <v>9.0454409013461632</v>
      </c>
      <c r="L90" s="14">
        <f t="shared" si="39"/>
        <v>8.8716963640932001</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92" t="s">
        <v>41</v>
      </c>
      <c r="Q1" s="92"/>
      <c r="R1" s="92"/>
      <c r="S1" s="92"/>
      <c r="T1" s="92"/>
      <c r="U1" s="92"/>
      <c r="V1" s="92"/>
      <c r="W1" s="92"/>
      <c r="X1" s="92"/>
      <c r="Y1" s="92"/>
    </row>
  </sheetData>
  <mergeCells count="1">
    <mergeCell ref="P1:Y1"/>
  </mergeCells>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abSelected="1" topLeftCell="A43" zoomScale="150" zoomScaleNormal="150" workbookViewId="0">
      <selection activeCell="B57" sqref="B5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86" t="s">
        <v>169</v>
      </c>
      <c r="B3" s="86"/>
      <c r="C3" s="86"/>
      <c r="D3" s="86"/>
      <c r="E3" s="86"/>
      <c r="F3" s="86"/>
      <c r="G3" s="86"/>
      <c r="H3" s="63"/>
      <c r="I3" s="63"/>
      <c r="J3" s="63"/>
      <c r="K3" s="63"/>
    </row>
    <row r="4" spans="1:11" x14ac:dyDescent="0.35">
      <c r="A4" s="64" t="s">
        <v>39</v>
      </c>
      <c r="B4" s="64" t="s">
        <v>43</v>
      </c>
      <c r="C4" s="87" t="s">
        <v>44</v>
      </c>
      <c r="D4" s="88"/>
      <c r="E4" s="88"/>
      <c r="F4" s="88"/>
      <c r="G4" s="89"/>
    </row>
    <row r="5" spans="1:11" x14ac:dyDescent="0.35">
      <c r="A5" s="65" t="s">
        <v>52</v>
      </c>
      <c r="B5" s="65"/>
      <c r="C5" s="90"/>
      <c r="D5" s="90"/>
      <c r="E5" s="90"/>
      <c r="F5" s="90"/>
      <c r="G5" s="90"/>
    </row>
    <row r="6" spans="1:11" x14ac:dyDescent="0.35">
      <c r="A6" s="66" t="s">
        <v>40</v>
      </c>
      <c r="B6" s="66" t="s">
        <v>184</v>
      </c>
      <c r="C6" s="91" t="s">
        <v>183</v>
      </c>
      <c r="D6" s="91"/>
      <c r="E6" s="91"/>
      <c r="F6" s="91"/>
      <c r="G6" s="91"/>
    </row>
    <row r="7" spans="1:11" x14ac:dyDescent="0.35">
      <c r="A7" s="66" t="s">
        <v>41</v>
      </c>
      <c r="B7" s="66" t="s">
        <v>184</v>
      </c>
      <c r="C7" s="85" t="s">
        <v>181</v>
      </c>
      <c r="D7" s="85"/>
      <c r="E7" s="85"/>
      <c r="F7" s="85"/>
      <c r="G7" s="85"/>
    </row>
    <row r="8" spans="1:11" x14ac:dyDescent="0.35">
      <c r="A8" s="66" t="s">
        <v>42</v>
      </c>
      <c r="B8" s="66" t="s">
        <v>184</v>
      </c>
      <c r="C8" s="91" t="s">
        <v>183</v>
      </c>
      <c r="D8" s="91"/>
      <c r="E8" s="91"/>
      <c r="F8" s="91"/>
      <c r="G8" s="91"/>
    </row>
    <row r="9" spans="1:11" x14ac:dyDescent="0.35">
      <c r="A9" s="66" t="s">
        <v>165</v>
      </c>
      <c r="B9" s="66" t="s">
        <v>184</v>
      </c>
      <c r="C9" s="85" t="s">
        <v>182</v>
      </c>
      <c r="D9" s="85"/>
      <c r="E9" s="85"/>
      <c r="F9" s="85"/>
      <c r="G9" s="85"/>
    </row>
    <row r="10" spans="1:11" x14ac:dyDescent="0.35">
      <c r="A10" s="66" t="s">
        <v>166</v>
      </c>
      <c r="B10" s="66" t="s">
        <v>184</v>
      </c>
      <c r="C10" s="85" t="s">
        <v>180</v>
      </c>
      <c r="D10" s="85"/>
      <c r="E10" s="85"/>
      <c r="F10" s="85"/>
      <c r="G10" s="85"/>
    </row>
    <row r="11" spans="1:11" x14ac:dyDescent="0.35">
      <c r="A11" s="66"/>
      <c r="B11" s="66"/>
      <c r="C11" s="85"/>
      <c r="D11" s="85"/>
      <c r="E11" s="85"/>
      <c r="F11" s="85"/>
      <c r="G11" s="85"/>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3" x14ac:dyDescent="0.35">
      <c r="A18" s="1" t="s">
        <v>54</v>
      </c>
      <c r="D18" s="20" t="s">
        <v>185</v>
      </c>
    </row>
    <row r="20" spans="1:13" x14ac:dyDescent="0.35">
      <c r="A20" s="1" t="s">
        <v>32</v>
      </c>
      <c r="B20" s="1" t="s">
        <v>112</v>
      </c>
      <c r="C20" s="13" t="s">
        <v>113</v>
      </c>
    </row>
    <row r="21" spans="1:13" x14ac:dyDescent="0.35">
      <c r="A21" t="s">
        <v>111</v>
      </c>
      <c r="B21" s="12">
        <v>5.73</v>
      </c>
      <c r="C21" s="12">
        <v>6</v>
      </c>
      <c r="D21" s="23" t="s">
        <v>114</v>
      </c>
    </row>
    <row r="22" spans="1:13" x14ac:dyDescent="0.35">
      <c r="A22" t="s">
        <v>145</v>
      </c>
      <c r="B22" s="12">
        <v>11</v>
      </c>
      <c r="C22" s="12">
        <v>10.1</v>
      </c>
      <c r="D22" s="11" t="s">
        <v>34</v>
      </c>
    </row>
    <row r="24" spans="1:13"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row>
    <row r="25" spans="1:13"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3"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3" x14ac:dyDescent="0.35">
      <c r="A27" s="1" t="s">
        <v>126</v>
      </c>
      <c r="B27" s="14">
        <f>SUM(B28:B33)-SUM(B22:C22)</f>
        <v>0</v>
      </c>
      <c r="C27" s="14">
        <f>IF(C$25&lt;&gt;"",SUM(B22:C22),"")</f>
        <v>21.1</v>
      </c>
      <c r="D27" s="14">
        <f>IF(D$25&lt;&gt;"",C89,"")</f>
        <v>20.156657875555585</v>
      </c>
      <c r="E27" s="14">
        <f t="shared" ref="E27:L27" si="2">IF(E$25&lt;&gt;"",D89,"")</f>
        <v>19.242116951110571</v>
      </c>
      <c r="F27" s="14">
        <f t="shared" si="2"/>
        <v>18.395636907982066</v>
      </c>
      <c r="G27" s="14">
        <f t="shared" si="2"/>
        <v>17.618675904537589</v>
      </c>
      <c r="H27" s="14">
        <f t="shared" si="2"/>
        <v>16.865358096092574</v>
      </c>
      <c r="I27" s="14">
        <f t="shared" si="2"/>
        <v>16.092523841876559</v>
      </c>
      <c r="J27" s="14">
        <f t="shared" si="2"/>
        <v>17.388718417432713</v>
      </c>
      <c r="K27" s="14">
        <f t="shared" si="2"/>
        <v>18.642821167487096</v>
      </c>
      <c r="L27" s="14">
        <f t="shared" si="2"/>
        <v>19.793266941006291</v>
      </c>
    </row>
    <row r="28" spans="1:13" x14ac:dyDescent="0.35">
      <c r="A28" t="str">
        <f>IF(A6="","","    "&amp;A6&amp;" Balance")</f>
        <v xml:space="preserve">    Upper Basin Balance</v>
      </c>
      <c r="B28" s="55">
        <f>B22</f>
        <v>11</v>
      </c>
      <c r="C28" s="14">
        <f>IF(OR(C$25="",$A28=""),"",B28)</f>
        <v>11</v>
      </c>
      <c r="D28" s="14">
        <f>IF(OR(D$25="",$A28=""),"",C83)</f>
        <v>10.432257133649305</v>
      </c>
      <c r="E28" s="14">
        <f t="shared" ref="E28:L28" si="3">IF(OR(E$25="",$A28=""),"",D83)</f>
        <v>9.8832712386735295</v>
      </c>
      <c r="F28" s="14">
        <f t="shared" si="3"/>
        <v>9.3517686673317435</v>
      </c>
      <c r="G28" s="14">
        <f t="shared" si="3"/>
        <v>8.8381309827398091</v>
      </c>
      <c r="H28" s="14">
        <f t="shared" si="3"/>
        <v>8.3426942813350351</v>
      </c>
      <c r="I28" s="14">
        <f t="shared" si="3"/>
        <v>7.8658905169261173</v>
      </c>
      <c r="J28" s="14">
        <f t="shared" si="3"/>
        <v>9.4064429619645047</v>
      </c>
      <c r="K28" s="14">
        <f t="shared" si="3"/>
        <v>10.878932693012104</v>
      </c>
      <c r="L28" s="14">
        <f t="shared" si="3"/>
        <v>12.289680611945943</v>
      </c>
    </row>
    <row r="29" spans="1:13" x14ac:dyDescent="0.35">
      <c r="A29" t="str">
        <f t="shared" ref="A29:A33" si="4">IF(A7="","","    "&amp;A7&amp;" Balance")</f>
        <v xml:space="preserve">    Lower Basin Balance</v>
      </c>
      <c r="B29" s="55">
        <f>C22</f>
        <v>10.1</v>
      </c>
      <c r="C29" s="14">
        <f t="shared" ref="C29:C33" si="5">IF(OR(C$25="",$A29=""),"",B29)</f>
        <v>10.1</v>
      </c>
      <c r="D29" s="14">
        <f t="shared" ref="D29:L33" si="6">IF(OR(D$25="",$A29=""),"",C84)</f>
        <v>9.7088451863507252</v>
      </c>
      <c r="E29" s="14">
        <f t="shared" si="6"/>
        <v>9.3285010065287182</v>
      </c>
      <c r="F29" s="14">
        <f t="shared" si="6"/>
        <v>9.0438682406503226</v>
      </c>
      <c r="G29" s="14">
        <f t="shared" si="6"/>
        <v>8.7649893662422258</v>
      </c>
      <c r="H29" s="14">
        <f t="shared" si="6"/>
        <v>8.4923630954252438</v>
      </c>
      <c r="I29" s="14">
        <f t="shared" si="6"/>
        <v>8.2266333249504413</v>
      </c>
      <c r="J29" s="14">
        <f t="shared" si="6"/>
        <v>7.9667198999126532</v>
      </c>
      <c r="K29" s="14">
        <f t="shared" si="6"/>
        <v>7.733591833922131</v>
      </c>
      <c r="L29" s="14">
        <f t="shared" si="6"/>
        <v>7.5035863290603482</v>
      </c>
    </row>
    <row r="30" spans="1:13" x14ac:dyDescent="0.35">
      <c r="A30" t="str">
        <f t="shared" si="4"/>
        <v xml:space="preserve">    Mexico Balance</v>
      </c>
      <c r="B30" s="56">
        <v>0</v>
      </c>
      <c r="C30" s="14">
        <f t="shared" si="5"/>
        <v>0</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row>
    <row r="31" spans="1:13"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3" x14ac:dyDescent="0.35">
      <c r="A32" t="str">
        <f t="shared" si="4"/>
        <v xml:space="preserve">    Colorado River Delta Balance</v>
      </c>
      <c r="B32" s="56">
        <v>0</v>
      </c>
      <c r="C32" s="14">
        <f t="shared" si="5"/>
        <v>0</v>
      </c>
      <c r="D32" s="14">
        <f t="shared" si="6"/>
        <v>1.5555555555555553E-2</v>
      </c>
      <c r="E32" s="14">
        <f t="shared" si="6"/>
        <v>3.0344705908321515E-2</v>
      </c>
      <c r="F32" s="14">
        <f t="shared" si="6"/>
        <v>0</v>
      </c>
      <c r="G32" s="14">
        <f t="shared" si="6"/>
        <v>1.5555555555555553E-2</v>
      </c>
      <c r="H32" s="14">
        <f t="shared" si="6"/>
        <v>3.0300719332294269E-2</v>
      </c>
      <c r="I32" s="14">
        <f t="shared" si="6"/>
        <v>0</v>
      </c>
      <c r="J32" s="14">
        <f t="shared" si="6"/>
        <v>1.5555555555555553E-2</v>
      </c>
      <c r="K32" s="14">
        <f t="shared" si="6"/>
        <v>3.0296640552861888E-2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10.078328937777792</v>
      </c>
      <c r="E35" s="14">
        <f t="shared" si="7"/>
        <v>9.6210584755552855</v>
      </c>
      <c r="F35" s="14">
        <f t="shared" si="7"/>
        <v>9.197818453991033</v>
      </c>
      <c r="G35" s="14">
        <f t="shared" si="7"/>
        <v>8.8093379522687947</v>
      </c>
      <c r="H35" s="14">
        <f t="shared" si="7"/>
        <v>8.4326790480462872</v>
      </c>
      <c r="I35" s="14">
        <f t="shared" si="7"/>
        <v>8.0462619209382797</v>
      </c>
      <c r="J35" s="14">
        <f t="shared" si="7"/>
        <v>8.6943592087163566</v>
      </c>
      <c r="K35" s="14">
        <f t="shared" si="7"/>
        <v>9.3214105837435479</v>
      </c>
      <c r="L35" s="14">
        <f t="shared" si="7"/>
        <v>9.8966334705031453</v>
      </c>
    </row>
    <row r="36" spans="1:12" x14ac:dyDescent="0.35">
      <c r="A36" t="s">
        <v>116</v>
      </c>
      <c r="B36" s="35">
        <f>1-B35</f>
        <v>0.5</v>
      </c>
      <c r="C36" s="14">
        <f>IF(C$25&lt;&gt;"",C22,"")</f>
        <v>10.1</v>
      </c>
      <c r="D36" s="14">
        <f t="shared" si="7"/>
        <v>10.078328937777792</v>
      </c>
      <c r="E36" s="14">
        <f t="shared" si="7"/>
        <v>9.6210584755552855</v>
      </c>
      <c r="F36" s="14">
        <f t="shared" si="7"/>
        <v>9.197818453991033</v>
      </c>
      <c r="G36" s="14">
        <f t="shared" si="7"/>
        <v>8.8093379522687947</v>
      </c>
      <c r="H36" s="14">
        <f t="shared" si="7"/>
        <v>8.4326790480462872</v>
      </c>
      <c r="I36" s="14">
        <f t="shared" si="7"/>
        <v>8.0462619209382797</v>
      </c>
      <c r="J36" s="14">
        <f t="shared" si="7"/>
        <v>8.6943592087163566</v>
      </c>
      <c r="K36" s="14">
        <f t="shared" si="7"/>
        <v>9.3214105837435479</v>
      </c>
      <c r="L36" s="14">
        <f t="shared" si="7"/>
        <v>9.8966334705031453</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0.99309648000057305</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0.94151655900002706</v>
      </c>
      <c r="G37" s="14">
        <f>IF(G$25&lt;&gt;"",VLOOKUP(G35*1000000,'Powell-Elevation-Area'!$B$5:$D$689,3)*$B$21/1000000 + VLOOKUP(G36*1000000,'Mead-Elevation-Area'!$B$5:$D$676,3)*$C$21/1000000,"")</f>
        <v>0.91787336400057307</v>
      </c>
      <c r="H37" s="14">
        <f>IF(H$25&lt;&gt;"",VLOOKUP(H35*1000000,'Powell-Elevation-Area'!$B$5:$D$689,3)*$B$21/1000000 + VLOOKUP(H36*1000000,'Mead-Elevation-Area'!$B$5:$D$676,3)*$C$21/1000000,"")</f>
        <v>0.89313816899997311</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0.91045280550117313</v>
      </c>
      <c r="K37" s="14">
        <f>IF(K$25&lt;&gt;"",VLOOKUP(K35*1000000,'Powell-Elevation-Area'!$B$5:$D$689,3)*$B$21/1000000 + VLOOKUP(K36*1000000,'Mead-Elevation-Area'!$B$5:$D$676,3)*$C$21/1000000,"")</f>
        <v>0.94980111749942708</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0.51398589497577751</v>
      </c>
      <c r="E38" s="14">
        <f t="shared" si="8"/>
        <v>0.49650257134178605</v>
      </c>
      <c r="F38" s="14">
        <f t="shared" si="8"/>
        <v>0.47863768459193357</v>
      </c>
      <c r="G38" s="14">
        <f t="shared" si="8"/>
        <v>0.46043670140477511</v>
      </c>
      <c r="H38" s="14">
        <f t="shared" si="8"/>
        <v>0.44180376440891789</v>
      </c>
      <c r="I38" s="14">
        <f t="shared" si="8"/>
        <v>0.42444755496161191</v>
      </c>
      <c r="J38" s="14">
        <f t="shared" si="8"/>
        <v>0.49251026895240063</v>
      </c>
      <c r="K38" s="14">
        <f t="shared" si="8"/>
        <v>0.5542520810661582</v>
      </c>
      <c r="L38" s="14">
        <f t="shared" si="8"/>
        <v>0.60980710055040555</v>
      </c>
    </row>
    <row r="39" spans="1:12" x14ac:dyDescent="0.35">
      <c r="A39" t="str">
        <f t="shared" ref="A39:A43" si="9">IF(A7="","","    "&amp;A7&amp;" Share")</f>
        <v xml:space="preserve">    Lower Basin Share</v>
      </c>
      <c r="B39" s="1"/>
      <c r="C39" s="14">
        <f t="shared" ref="C39:L43" si="10">IF(OR(C$25="",$A39=""),"",C$37*C29/C$27)</f>
        <v>0.48915481364927621</v>
      </c>
      <c r="D39" s="14">
        <f t="shared" si="10"/>
        <v>0.47834417982200594</v>
      </c>
      <c r="E39" s="14">
        <f t="shared" si="10"/>
        <v>0.46863276587839309</v>
      </c>
      <c r="F39" s="14">
        <f t="shared" si="10"/>
        <v>0.4628788744080935</v>
      </c>
      <c r="G39" s="14">
        <f t="shared" si="10"/>
        <v>0.45662627081698121</v>
      </c>
      <c r="H39" s="14">
        <f t="shared" si="10"/>
        <v>0.44972977047480134</v>
      </c>
      <c r="I39" s="14">
        <f t="shared" si="10"/>
        <v>0.44391342503778813</v>
      </c>
      <c r="J39" s="14">
        <f t="shared" si="10"/>
        <v>0.41712806599052327</v>
      </c>
      <c r="K39" s="14">
        <f t="shared" si="10"/>
        <v>0.39400550486178276</v>
      </c>
      <c r="L39" s="14">
        <f t="shared" si="10"/>
        <v>0.37232377044902154</v>
      </c>
    </row>
    <row r="40" spans="1:12" x14ac:dyDescent="0.35">
      <c r="A40" t="str">
        <f t="shared" si="9"/>
        <v xml:space="preserve">    Mexico Share</v>
      </c>
      <c r="B40" s="1"/>
      <c r="C40" s="14">
        <f t="shared" si="10"/>
        <v>0</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7.6640520278959073E-4</v>
      </c>
      <c r="E42" s="14">
        <f t="shared" si="10"/>
        <v>1.5244167792478813E-3</v>
      </c>
      <c r="F42" s="14">
        <f t="shared" si="10"/>
        <v>0</v>
      </c>
      <c r="G42" s="14">
        <f t="shared" si="10"/>
        <v>8.1039177881683799E-4</v>
      </c>
      <c r="H42" s="14">
        <f t="shared" si="10"/>
        <v>1.6046341162538008E-3</v>
      </c>
      <c r="I42" s="14">
        <f t="shared" si="10"/>
        <v>0</v>
      </c>
      <c r="J42" s="14">
        <f t="shared" si="10"/>
        <v>8.1447055824921983E-4</v>
      </c>
      <c r="K42" s="14">
        <f t="shared" si="10"/>
        <v>1.5435315714861534E-3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94">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14.083271238673529</v>
      </c>
      <c r="E69" s="14">
        <f t="shared" si="26"/>
        <v>13.551768667331745</v>
      </c>
      <c r="F69" s="14">
        <f t="shared" si="26"/>
        <v>13.03813098273981</v>
      </c>
      <c r="G69" s="14">
        <f t="shared" si="26"/>
        <v>12.542694281335034</v>
      </c>
      <c r="H69" s="14">
        <f t="shared" si="26"/>
        <v>12.065890516926117</v>
      </c>
      <c r="I69" s="14">
        <f t="shared" si="26"/>
        <v>13.606442961964506</v>
      </c>
      <c r="J69" s="14">
        <f t="shared" si="26"/>
        <v>15.078932693012105</v>
      </c>
      <c r="K69" s="14">
        <f t="shared" si="26"/>
        <v>16.489680611945943</v>
      </c>
      <c r="L69" s="14">
        <f t="shared" si="26"/>
        <v>17.844873511395541</v>
      </c>
    </row>
    <row r="70" spans="1:21" x14ac:dyDescent="0.35">
      <c r="A70" t="str">
        <f t="shared" ref="A70:A74" si="27">IF(A7="","","    "&amp;A7)</f>
        <v xml:space="preserve">    Lower Basin</v>
      </c>
      <c r="C70" s="14">
        <f t="shared" ref="C70:L74" si="28">IF(OR(C$25="",$A70=""),"",C29+C47+C54-C39-C61)</f>
        <v>16.575845186350726</v>
      </c>
      <c r="D70" s="14">
        <f t="shared" si="28"/>
        <v>16.195501006528719</v>
      </c>
      <c r="E70" s="14">
        <f t="shared" si="28"/>
        <v>15.826868240650324</v>
      </c>
      <c r="F70" s="14">
        <f t="shared" si="28"/>
        <v>15.547989366242227</v>
      </c>
      <c r="G70" s="14">
        <f t="shared" si="28"/>
        <v>15.275363095425245</v>
      </c>
      <c r="H70" s="14">
        <f t="shared" si="28"/>
        <v>15.009633324950443</v>
      </c>
      <c r="I70" s="14">
        <f t="shared" si="28"/>
        <v>14.749719899912654</v>
      </c>
      <c r="J70" s="14">
        <f t="shared" si="28"/>
        <v>14.516591833922131</v>
      </c>
      <c r="K70" s="14">
        <f t="shared" si="28"/>
        <v>14.286586329060349</v>
      </c>
      <c r="L70" s="14">
        <f t="shared" si="28"/>
        <v>14.119262558611325</v>
      </c>
    </row>
    <row r="71" spans="1:21" x14ac:dyDescent="0.35">
      <c r="A71" t="str">
        <f t="shared" si="27"/>
        <v xml:space="preserve">    Mexico</v>
      </c>
      <c r="C71" s="60">
        <f t="shared" si="28"/>
        <v>1.47</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3.0344705908321515E-2</v>
      </c>
      <c r="E73" s="60">
        <f t="shared" si="28"/>
        <v>6.0375844684629185E-2</v>
      </c>
      <c r="F73" s="60">
        <f t="shared" si="28"/>
        <v>1.5555555555555553E-2</v>
      </c>
      <c r="G73" s="60">
        <f t="shared" si="28"/>
        <v>3.0300719332294269E-2</v>
      </c>
      <c r="H73" s="60">
        <f t="shared" si="28"/>
        <v>6.0251640771596025E-2</v>
      </c>
      <c r="I73" s="60">
        <f t="shared" si="28"/>
        <v>1.5555555555555553E-2</v>
      </c>
      <c r="J73" s="60">
        <f t="shared" si="28"/>
        <v>3.0296640552861888E-2</v>
      </c>
      <c r="K73" s="60">
        <f t="shared" si="28"/>
        <v>8.0308664536931279E-2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1.47</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6.0375844684629185E-2</v>
      </c>
      <c r="F80" s="50"/>
      <c r="G80" s="50"/>
      <c r="H80" s="50">
        <f>H73</f>
        <v>6.0251640771596025E-2</v>
      </c>
      <c r="I80" s="50"/>
      <c r="J80" s="50"/>
      <c r="K80" s="50">
        <f>K73</f>
        <v>8.0308664536931279E-2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9.8832712386735295</v>
      </c>
      <c r="E83" s="14">
        <f t="shared" si="35"/>
        <v>9.3517686673317435</v>
      </c>
      <c r="F83" s="14">
        <f t="shared" si="35"/>
        <v>8.8381309827398091</v>
      </c>
      <c r="G83" s="14">
        <f t="shared" si="35"/>
        <v>8.3426942813350351</v>
      </c>
      <c r="H83" s="14">
        <f t="shared" si="35"/>
        <v>7.8658905169261173</v>
      </c>
      <c r="I83" s="14">
        <f t="shared" si="35"/>
        <v>9.4064429619645047</v>
      </c>
      <c r="J83" s="14">
        <f t="shared" si="35"/>
        <v>10.878932693012104</v>
      </c>
      <c r="K83" s="14">
        <f t="shared" si="35"/>
        <v>12.289680611945943</v>
      </c>
      <c r="L83" s="14">
        <f t="shared" si="35"/>
        <v>13.644873511395541</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9.7088451863507252</v>
      </c>
      <c r="D84" s="14">
        <f t="shared" si="37"/>
        <v>9.3285010065287182</v>
      </c>
      <c r="E84" s="14">
        <f t="shared" si="37"/>
        <v>9.0438682406503226</v>
      </c>
      <c r="F84" s="14">
        <f t="shared" si="37"/>
        <v>8.7649893662422258</v>
      </c>
      <c r="G84" s="14">
        <f t="shared" si="37"/>
        <v>8.4923630954252438</v>
      </c>
      <c r="H84" s="14">
        <f t="shared" si="37"/>
        <v>8.2266333249504413</v>
      </c>
      <c r="I84" s="14">
        <f t="shared" si="37"/>
        <v>7.9667198999126532</v>
      </c>
      <c r="J84" s="14">
        <f t="shared" si="37"/>
        <v>7.733591833922131</v>
      </c>
      <c r="K84" s="14">
        <f t="shared" si="37"/>
        <v>7.5035863290603482</v>
      </c>
      <c r="L84" s="14">
        <f t="shared" si="37"/>
        <v>7.5862625586113248</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3.0344705908321515E-2</v>
      </c>
      <c r="E87" s="59">
        <f t="shared" si="37"/>
        <v>0</v>
      </c>
      <c r="F87" s="59">
        <f t="shared" si="37"/>
        <v>1.5555555555555553E-2</v>
      </c>
      <c r="G87" s="59">
        <f t="shared" si="37"/>
        <v>3.0300719332294269E-2</v>
      </c>
      <c r="H87" s="59">
        <f t="shared" si="37"/>
        <v>0</v>
      </c>
      <c r="I87" s="59">
        <f t="shared" si="37"/>
        <v>1.5555555555555553E-2</v>
      </c>
      <c r="J87" s="59">
        <f t="shared" si="37"/>
        <v>3.0296640552861888E-2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20.156657875555585</v>
      </c>
      <c r="D89" s="14">
        <f t="shared" ref="D89:L89" si="38">IF(D$25&lt;&gt;"",SUM(D83:D88),"")</f>
        <v>19.242116951110571</v>
      </c>
      <c r="E89" s="14">
        <f t="shared" si="38"/>
        <v>18.395636907982066</v>
      </c>
      <c r="F89" s="14">
        <f t="shared" si="38"/>
        <v>17.618675904537589</v>
      </c>
      <c r="G89" s="14">
        <f t="shared" si="38"/>
        <v>16.865358096092574</v>
      </c>
      <c r="H89" s="14">
        <f t="shared" si="38"/>
        <v>16.092523841876559</v>
      </c>
      <c r="I89" s="14">
        <f t="shared" si="38"/>
        <v>17.388718417432713</v>
      </c>
      <c r="J89" s="14">
        <f t="shared" si="38"/>
        <v>18.642821167487096</v>
      </c>
      <c r="K89" s="14">
        <f t="shared" si="38"/>
        <v>19.793266941006291</v>
      </c>
      <c r="L89" s="14">
        <f t="shared" si="38"/>
        <v>21.24669162556242</v>
      </c>
    </row>
    <row r="90" spans="1:21" x14ac:dyDescent="0.35">
      <c r="A90" s="1" t="s">
        <v>147</v>
      </c>
      <c r="B90" s="1"/>
      <c r="C90" s="14">
        <f>IF(C25&lt;&gt;"",C35+C25-C38-C76-C89*$B$35,"")</f>
        <v>8.5889281958715085</v>
      </c>
      <c r="D90" s="14">
        <f t="shared" ref="D90:L90" si="39">IF(D25&lt;&gt;"",D35+D25-D38-D76-D89*$B$35,"")</f>
        <v>8.1432845672467291</v>
      </c>
      <c r="E90" s="14">
        <f t="shared" si="39"/>
        <v>8.1267374502224676</v>
      </c>
      <c r="F90" s="14">
        <f t="shared" si="39"/>
        <v>8.1098428171303034</v>
      </c>
      <c r="G90" s="14">
        <f t="shared" si="39"/>
        <v>8.1162222028177364</v>
      </c>
      <c r="H90" s="14">
        <f t="shared" si="39"/>
        <v>8.1446133626990918</v>
      </c>
      <c r="I90" s="14">
        <f t="shared" si="39"/>
        <v>9.1274551572603109</v>
      </c>
      <c r="J90" s="14">
        <f t="shared" si="39"/>
        <v>9.0804383560204069</v>
      </c>
      <c r="K90" s="14">
        <f t="shared" si="39"/>
        <v>9.0705250321742437</v>
      </c>
      <c r="L90" s="14">
        <f t="shared" si="39"/>
        <v>8.8634805571715312</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93"/>
      <c r="D5" s="93"/>
      <c r="E5" s="93"/>
      <c r="F5" s="93"/>
      <c r="G5" s="93"/>
      <c r="H5" s="93"/>
    </row>
    <row r="6" spans="1:11" x14ac:dyDescent="0.35">
      <c r="A6" s="16" t="s">
        <v>40</v>
      </c>
      <c r="B6" s="47"/>
      <c r="C6" s="93"/>
      <c r="D6" s="93"/>
      <c r="E6" s="93"/>
      <c r="F6" s="93"/>
      <c r="G6" s="93"/>
      <c r="H6" s="93"/>
    </row>
    <row r="7" spans="1:11" x14ac:dyDescent="0.35">
      <c r="A7" s="16" t="s">
        <v>41</v>
      </c>
      <c r="B7" s="47"/>
      <c r="C7" s="93"/>
      <c r="D7" s="93"/>
      <c r="E7" s="93"/>
      <c r="F7" s="93"/>
      <c r="G7" s="93"/>
      <c r="H7" s="93"/>
    </row>
    <row r="8" spans="1:11" x14ac:dyDescent="0.35">
      <c r="A8" s="16" t="s">
        <v>42</v>
      </c>
      <c r="B8" s="47"/>
      <c r="C8" s="93"/>
      <c r="D8" s="93"/>
      <c r="E8" s="93"/>
      <c r="F8" s="93"/>
      <c r="G8" s="93"/>
      <c r="H8" s="93"/>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ReadMe-Directions</vt:lpstr>
      <vt:lpstr>Master</vt:lpstr>
      <vt:lpstr>11.0-Trade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2021-06-19T18:56:51Z</dcterms:modified>
</cp:coreProperties>
</file>