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1AF6A6F9-E39B-44D4-ADA8-CEFBA350D1D1}"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Master" sheetId="5" r:id="rId2"/>
    <sheet name="Millenium-LawOfRiver" sheetId="11" r:id="rId3"/>
    <sheet name="HydrologicScenarios" sheetId="7" r:id="rId4"/>
    <sheet name="Powell-Elevation-Area" sheetId="2" r:id="rId5"/>
    <sheet name="Mead-Elevation-Area" sheetId="10" r:id="rId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4" i="5" l="1"/>
  <c r="F49" i="5"/>
  <c r="F41" i="5"/>
  <c r="E41" i="5"/>
  <c r="E49" i="5"/>
  <c r="D41" i="5"/>
  <c r="D49" i="5"/>
  <c r="C49" i="5"/>
  <c r="C41" i="5"/>
  <c r="L55" i="11"/>
  <c r="D31" i="11" l="1"/>
  <c r="D32" i="11" s="1"/>
  <c r="C33" i="11"/>
  <c r="C32" i="11"/>
  <c r="C31" i="11"/>
  <c r="E50" i="5"/>
  <c r="F50" i="5" s="1"/>
  <c r="G50" i="5" s="1"/>
  <c r="H50" i="5" s="1"/>
  <c r="I50" i="5" s="1"/>
  <c r="J50" i="5" s="1"/>
  <c r="K50" i="5" s="1"/>
  <c r="L50" i="5" s="1"/>
  <c r="D50" i="5"/>
  <c r="D33" i="11" l="1"/>
  <c r="H22" i="5"/>
  <c r="I22" i="5" s="1"/>
  <c r="J22" i="5" s="1"/>
  <c r="K22" i="5" s="1"/>
  <c r="L22" i="5" s="1"/>
  <c r="L51" i="5" s="1"/>
  <c r="D35" i="5"/>
  <c r="C35" i="5"/>
  <c r="C36" i="5" s="1"/>
  <c r="L59" i="11"/>
  <c r="K59" i="11"/>
  <c r="J59" i="11"/>
  <c r="I59" i="11"/>
  <c r="H59" i="11"/>
  <c r="G59" i="11"/>
  <c r="F59" i="11"/>
  <c r="E59" i="11"/>
  <c r="D59" i="11"/>
  <c r="C59" i="11"/>
  <c r="P58" i="11"/>
  <c r="P57" i="11"/>
  <c r="P56" i="11"/>
  <c r="P55" i="11"/>
  <c r="P54" i="11"/>
  <c r="P53" i="11"/>
  <c r="P52" i="11"/>
  <c r="E52" i="11"/>
  <c r="F52" i="11" s="1"/>
  <c r="G52" i="11" s="1"/>
  <c r="H52" i="11" s="1"/>
  <c r="I52" i="11" s="1"/>
  <c r="J52" i="11" s="1"/>
  <c r="K52" i="11" s="1"/>
  <c r="L52" i="11" s="1"/>
  <c r="D52" i="11"/>
  <c r="P51" i="11"/>
  <c r="L51" i="11"/>
  <c r="K51" i="11"/>
  <c r="J51" i="11"/>
  <c r="I51" i="11"/>
  <c r="H51" i="11"/>
  <c r="G51" i="11"/>
  <c r="F51" i="11"/>
  <c r="E51" i="11"/>
  <c r="D51" i="11"/>
  <c r="C51" i="11"/>
  <c r="D49" i="11"/>
  <c r="E49" i="11" s="1"/>
  <c r="F49" i="11" s="1"/>
  <c r="G49" i="11" s="1"/>
  <c r="H49" i="11" s="1"/>
  <c r="I49" i="11" s="1"/>
  <c r="J49" i="11" s="1"/>
  <c r="K49" i="11" s="1"/>
  <c r="L49" i="11" s="1"/>
  <c r="M43" i="11"/>
  <c r="M41" i="11"/>
  <c r="C36" i="11"/>
  <c r="C38" i="11" s="1"/>
  <c r="E35" i="11"/>
  <c r="E36" i="11" s="1"/>
  <c r="D35" i="11"/>
  <c r="D36" i="11" s="1"/>
  <c r="B30" i="11"/>
  <c r="C29" i="11"/>
  <c r="C27" i="11"/>
  <c r="C26" i="11"/>
  <c r="C50" i="11" s="1"/>
  <c r="C60" i="11" s="1"/>
  <c r="C25" i="11"/>
  <c r="L23" i="11"/>
  <c r="K23" i="11"/>
  <c r="J23" i="11"/>
  <c r="I23" i="11"/>
  <c r="H23" i="11"/>
  <c r="G23" i="11"/>
  <c r="F23" i="11"/>
  <c r="E23" i="11"/>
  <c r="D23" i="11"/>
  <c r="C23" i="11"/>
  <c r="P58" i="5"/>
  <c r="P57" i="5"/>
  <c r="P56" i="5"/>
  <c r="P55" i="5"/>
  <c r="P54" i="5"/>
  <c r="P53" i="5"/>
  <c r="P52" i="5"/>
  <c r="P51" i="5"/>
  <c r="D51" i="5"/>
  <c r="E51" i="5"/>
  <c r="D23" i="5"/>
  <c r="C51" i="5"/>
  <c r="D59" i="5"/>
  <c r="C59" i="5"/>
  <c r="C23" i="5"/>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B30" i="5"/>
  <c r="C27" i="5"/>
  <c r="C26" i="5"/>
  <c r="C25" i="5"/>
  <c r="C29" i="5" s="1"/>
  <c r="C31" i="5" l="1"/>
  <c r="K23" i="5"/>
  <c r="L59" i="5"/>
  <c r="I51" i="5"/>
  <c r="F23" i="5"/>
  <c r="L35" i="5"/>
  <c r="K59" i="5"/>
  <c r="E23" i="5"/>
  <c r="H51" i="5"/>
  <c r="K35" i="5"/>
  <c r="J59" i="5"/>
  <c r="L23" i="5"/>
  <c r="G51" i="5"/>
  <c r="I35" i="5"/>
  <c r="I59" i="5"/>
  <c r="F51" i="5"/>
  <c r="G35" i="5"/>
  <c r="H59" i="5"/>
  <c r="J23" i="5"/>
  <c r="F35" i="5"/>
  <c r="G59" i="5"/>
  <c r="I23" i="5"/>
  <c r="E35" i="5"/>
  <c r="F59" i="5"/>
  <c r="H23" i="5"/>
  <c r="K51" i="5"/>
  <c r="E59" i="5"/>
  <c r="G23" i="5"/>
  <c r="J51" i="5"/>
  <c r="J35" i="5"/>
  <c r="H35" i="5"/>
  <c r="C30" i="5"/>
  <c r="D38" i="11"/>
  <c r="D37" i="11"/>
  <c r="E38" i="11"/>
  <c r="E37" i="11" s="1"/>
  <c r="F35" i="11"/>
  <c r="C24" i="11"/>
  <c r="C37" i="11"/>
  <c r="C30" i="11"/>
  <c r="C38" i="5"/>
  <c r="C37" i="5" s="1"/>
  <c r="C60" i="5"/>
  <c r="C24" i="5"/>
  <c r="C32" i="5" l="1"/>
  <c r="C33" i="5"/>
  <c r="C34" i="5"/>
  <c r="C47" i="5" s="1"/>
  <c r="C56" i="5" s="1"/>
  <c r="C46" i="5"/>
  <c r="F36" i="11"/>
  <c r="G35" i="11"/>
  <c r="C34" i="11"/>
  <c r="C47" i="11" s="1"/>
  <c r="C56" i="11" s="1"/>
  <c r="C46" i="11"/>
  <c r="C55" i="11" s="1"/>
  <c r="D26" i="11" s="1"/>
  <c r="C45" i="11"/>
  <c r="C54" i="11" s="1"/>
  <c r="C57" i="11" l="1"/>
  <c r="D24" i="11" s="1"/>
  <c r="D25" i="11"/>
  <c r="D50" i="11"/>
  <c r="D60" i="11" s="1"/>
  <c r="G36" i="11"/>
  <c r="H35" i="11"/>
  <c r="F38" i="11"/>
  <c r="F37" i="11"/>
  <c r="G37" i="11" l="1"/>
  <c r="G38" i="11"/>
  <c r="D30" i="11"/>
  <c r="D29" i="11"/>
  <c r="D27" i="11"/>
  <c r="H36" i="11"/>
  <c r="I35" i="11"/>
  <c r="D45" i="11" l="1"/>
  <c r="D54" i="11" s="1"/>
  <c r="D46" i="11"/>
  <c r="D55" i="11" s="1"/>
  <c r="E26" i="11" s="1"/>
  <c r="D34" i="11"/>
  <c r="D47" i="11" s="1"/>
  <c r="D56" i="11" s="1"/>
  <c r="I36" i="11"/>
  <c r="J35" i="11"/>
  <c r="H38" i="11"/>
  <c r="H37" i="11" s="1"/>
  <c r="E50" i="11" l="1"/>
  <c r="E60" i="11" s="1"/>
  <c r="J36" i="11"/>
  <c r="K35" i="11"/>
  <c r="I38" i="11"/>
  <c r="I37" i="11" s="1"/>
  <c r="D57" i="11"/>
  <c r="E24" i="11" s="1"/>
  <c r="E25" i="11"/>
  <c r="J38" i="11" l="1"/>
  <c r="J37" i="11" s="1"/>
  <c r="E29" i="11"/>
  <c r="E31" i="11" s="1"/>
  <c r="E27" i="11"/>
  <c r="E30" i="11"/>
  <c r="L35" i="11"/>
  <c r="L36" i="11" s="1"/>
  <c r="K36" i="11"/>
  <c r="E32" i="11" l="1"/>
  <c r="E33" i="11"/>
  <c r="E46" i="11" s="1"/>
  <c r="E55" i="11" s="1"/>
  <c r="F26" i="11" s="1"/>
  <c r="E45" i="11"/>
  <c r="E54" i="11" s="1"/>
  <c r="K38" i="11"/>
  <c r="K37" i="11" s="1"/>
  <c r="L38" i="11"/>
  <c r="L37" i="11" s="1"/>
  <c r="E34" i="11"/>
  <c r="E47" i="11" s="1"/>
  <c r="E56" i="11" s="1"/>
  <c r="F25" i="11" l="1"/>
  <c r="E57" i="11"/>
  <c r="F24" i="11" s="1"/>
  <c r="F50" i="11"/>
  <c r="F60" i="11" s="1"/>
  <c r="F29" i="11" l="1"/>
  <c r="F31" i="11" s="1"/>
  <c r="F27" i="11"/>
  <c r="F30" i="11"/>
  <c r="F32" i="11" l="1"/>
  <c r="F33" i="11"/>
  <c r="F46" i="11" s="1"/>
  <c r="F55" i="11" s="1"/>
  <c r="G26" i="11" s="1"/>
  <c r="F45" i="11"/>
  <c r="F54" i="11" s="1"/>
  <c r="F34" i="11"/>
  <c r="F47" i="11" s="1"/>
  <c r="F56" i="11" s="1"/>
  <c r="G25" i="11" l="1"/>
  <c r="F57" i="11"/>
  <c r="G24" i="11" s="1"/>
  <c r="G50" i="11"/>
  <c r="G60" i="11" s="1"/>
  <c r="G27" i="11" l="1"/>
  <c r="G29" i="11"/>
  <c r="G30" i="11"/>
  <c r="G31" i="11" l="1"/>
  <c r="G34" i="11"/>
  <c r="G47" i="11" s="1"/>
  <c r="G56" i="11" s="1"/>
  <c r="G33" i="11" l="1"/>
  <c r="G46" i="11" s="1"/>
  <c r="G55" i="11" s="1"/>
  <c r="H26" i="11" s="1"/>
  <c r="G32" i="11"/>
  <c r="G45" i="11" s="1"/>
  <c r="G54" i="11" s="1"/>
  <c r="G57" i="11" s="1"/>
  <c r="H24" i="11" s="1"/>
  <c r="H25" i="11"/>
  <c r="H50" i="11"/>
  <c r="H60" i="11" s="1"/>
  <c r="H29" i="11" l="1"/>
  <c r="H31" i="11" s="1"/>
  <c r="H27" i="11"/>
  <c r="H30" i="11"/>
  <c r="H32" i="11" l="1"/>
  <c r="H33" i="11"/>
  <c r="H45" i="11"/>
  <c r="H54" i="11" s="1"/>
  <c r="H46" i="11"/>
  <c r="H55" i="11" s="1"/>
  <c r="I26" i="11" s="1"/>
  <c r="H34" i="11"/>
  <c r="H47" i="11" s="1"/>
  <c r="H56" i="11" s="1"/>
  <c r="I50" i="11" l="1"/>
  <c r="I60" i="11" s="1"/>
  <c r="H57" i="11"/>
  <c r="I24" i="11" s="1"/>
  <c r="I25" i="11"/>
  <c r="I27" i="11" l="1"/>
  <c r="I29" i="11"/>
  <c r="I31" i="11" s="1"/>
  <c r="I30" i="11"/>
  <c r="I32" i="11" l="1"/>
  <c r="I33" i="11"/>
  <c r="I45" i="11"/>
  <c r="I54" i="11" s="1"/>
  <c r="I34" i="11" l="1"/>
  <c r="I47" i="11" s="1"/>
  <c r="I56" i="11" s="1"/>
  <c r="I46" i="11"/>
  <c r="I55" i="11" s="1"/>
  <c r="J26" i="11" s="1"/>
  <c r="J50" i="11" s="1"/>
  <c r="J60" i="11" s="1"/>
  <c r="J25" i="11"/>
  <c r="I57" i="11" l="1"/>
  <c r="J24" i="11" s="1"/>
  <c r="J27" i="11" s="1"/>
  <c r="J29" i="11" l="1"/>
  <c r="J30" i="11"/>
  <c r="J31" i="11" l="1"/>
  <c r="J32" i="11" l="1"/>
  <c r="J45" i="11" s="1"/>
  <c r="J54" i="11" s="1"/>
  <c r="J33" i="11"/>
  <c r="J46" i="11" s="1"/>
  <c r="J55" i="11" s="1"/>
  <c r="K26" i="11" s="1"/>
  <c r="K50" i="11" s="1"/>
  <c r="K60" i="11" s="1"/>
  <c r="J34" i="11"/>
  <c r="J47" i="11" s="1"/>
  <c r="J56" i="11" s="1"/>
  <c r="J57" i="11"/>
  <c r="K24" i="11" s="1"/>
  <c r="K29" i="11" s="1"/>
  <c r="K31" i="11" s="1"/>
  <c r="K25" i="11"/>
  <c r="K30" i="11"/>
  <c r="K33" i="11" l="1"/>
  <c r="K32" i="11"/>
  <c r="K27" i="11"/>
  <c r="K46" i="11"/>
  <c r="K55" i="11" s="1"/>
  <c r="L26" i="11" s="1"/>
  <c r="K34" i="11" l="1"/>
  <c r="K47" i="11" s="1"/>
  <c r="K56" i="11" s="1"/>
  <c r="K45" i="11"/>
  <c r="K54" i="11" s="1"/>
  <c r="L50" i="11"/>
  <c r="L60" i="11" s="1"/>
  <c r="K57" i="11" l="1"/>
  <c r="L24" i="11" s="1"/>
  <c r="L30" i="11" s="1"/>
  <c r="L25" i="11"/>
  <c r="L29" i="11"/>
  <c r="L31" i="11" s="1"/>
  <c r="L32" i="11" l="1"/>
  <c r="L33" i="11"/>
  <c r="L27" i="11"/>
  <c r="L45" i="11"/>
  <c r="L54" i="11" s="1"/>
  <c r="L46" i="11" l="1"/>
  <c r="L34" i="11"/>
  <c r="L47" i="11" s="1"/>
  <c r="L56" i="11" s="1"/>
  <c r="L57" i="11" s="1"/>
  <c r="M43" i="5" l="1"/>
  <c r="V15" i="7" l="1"/>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M41" i="5" l="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V11" i="7" l="1"/>
  <c r="W11" i="7"/>
  <c r="V6" i="7"/>
  <c r="W6" i="7"/>
  <c r="D36" i="5"/>
  <c r="D38" i="5" l="1"/>
  <c r="D37" i="5" s="1"/>
  <c r="V8" i="7"/>
  <c r="W8" i="7"/>
  <c r="F36" i="5" l="1"/>
  <c r="E36" i="5"/>
  <c r="C45" i="5"/>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F38" i="5" l="1"/>
  <c r="F37" i="5" s="1"/>
  <c r="E38" i="5"/>
  <c r="E37" i="5" s="1"/>
  <c r="H36" i="5"/>
  <c r="G36" i="5"/>
  <c r="D25" i="5"/>
  <c r="C55" i="5"/>
  <c r="D26" i="5" s="1"/>
  <c r="V10" i="7"/>
  <c r="W10" i="7"/>
  <c r="I36" i="5"/>
  <c r="K13" i="2"/>
  <c r="L13" i="2" s="1"/>
  <c r="K8" i="2"/>
  <c r="G38" i="5" l="1"/>
  <c r="G37" i="5" s="1"/>
  <c r="H38" i="5"/>
  <c r="H37" i="5" s="1"/>
  <c r="I38" i="5"/>
  <c r="I37" i="5" s="1"/>
  <c r="D60" i="5"/>
  <c r="C57" i="5"/>
  <c r="D24" i="5" s="1"/>
  <c r="J36" i="5"/>
  <c r="N13" i="2"/>
  <c r="O13" i="2"/>
  <c r="M13" i="2"/>
  <c r="J38" i="5" l="1"/>
  <c r="J37" i="5"/>
  <c r="D29" i="5"/>
  <c r="D31" i="5" s="1"/>
  <c r="D33" i="5" s="1"/>
  <c r="D27" i="5"/>
  <c r="D30" i="5"/>
  <c r="K36" i="5"/>
  <c r="P13" i="2"/>
  <c r="D32" i="5" l="1"/>
  <c r="D45" i="5" s="1"/>
  <c r="D54" i="5" s="1"/>
  <c r="E25" i="5" s="1"/>
  <c r="D34" i="5"/>
  <c r="D47" i="5" s="1"/>
  <c r="D56" i="5" s="1"/>
  <c r="K38" i="5"/>
  <c r="K37" i="5" s="1"/>
  <c r="D46" i="5"/>
  <c r="D55" i="5" s="1"/>
  <c r="L36" i="5"/>
  <c r="L38" i="5" l="1"/>
  <c r="L37" i="5" s="1"/>
  <c r="E26" i="5"/>
  <c r="D57" i="5"/>
  <c r="E24" i="5" s="1"/>
  <c r="E29" i="5" s="1"/>
  <c r="E60" i="5" l="1"/>
  <c r="E30" i="5"/>
  <c r="E31" i="5" s="1"/>
  <c r="E33" i="5" s="1"/>
  <c r="E27" i="5"/>
  <c r="E32" i="5" l="1"/>
  <c r="E45" i="5" s="1"/>
  <c r="E54" i="5" s="1"/>
  <c r="F25" i="5" s="1"/>
  <c r="E34" i="5"/>
  <c r="E47" i="5" s="1"/>
  <c r="E56" i="5" s="1"/>
  <c r="E46" i="5"/>
  <c r="E55" i="5" s="1"/>
  <c r="E57" i="5" l="1"/>
  <c r="F24" i="5" s="1"/>
  <c r="F27" i="5" s="1"/>
  <c r="F26" i="5"/>
  <c r="F60" i="5"/>
  <c r="F30" i="5" l="1"/>
  <c r="F29" i="5"/>
  <c r="F31" i="5" l="1"/>
  <c r="F34" i="5" s="1"/>
  <c r="F47" i="5" s="1"/>
  <c r="F56" i="5" s="1"/>
  <c r="F33" i="5" l="1"/>
  <c r="F46" i="5" s="1"/>
  <c r="F55" i="5" s="1"/>
  <c r="G26" i="5" s="1"/>
  <c r="F32" i="5"/>
  <c r="G60" i="5"/>
  <c r="F45" i="5" l="1"/>
  <c r="F54" i="5" s="1"/>
  <c r="G25" i="5" l="1"/>
  <c r="F57" i="5"/>
  <c r="G24" i="5" s="1"/>
  <c r="G29" i="5" s="1"/>
  <c r="G30" i="5" l="1"/>
  <c r="G31" i="5" s="1"/>
  <c r="G34" i="5" s="1"/>
  <c r="G47" i="5" s="1"/>
  <c r="G56" i="5" s="1"/>
  <c r="G27" i="5"/>
  <c r="G33" i="5" l="1"/>
  <c r="G46" i="5" s="1"/>
  <c r="G55" i="5" s="1"/>
  <c r="H26" i="5" s="1"/>
  <c r="G32" i="5"/>
  <c r="G45" i="5" s="1"/>
  <c r="G54" i="5" s="1"/>
  <c r="H25" i="5" s="1"/>
  <c r="H60" i="5"/>
  <c r="G57" i="5" l="1"/>
  <c r="H24" i="5" s="1"/>
  <c r="H29" i="5" s="1"/>
  <c r="H27" i="5" l="1"/>
  <c r="H30" i="5"/>
  <c r="H31" i="5" s="1"/>
  <c r="H33" i="5" s="1"/>
  <c r="H46" i="5" s="1"/>
  <c r="H55" i="5" s="1"/>
  <c r="I26" i="5" s="1"/>
  <c r="H34" i="5" l="1"/>
  <c r="H47" i="5" s="1"/>
  <c r="H56" i="5" s="1"/>
  <c r="H32" i="5"/>
  <c r="H45" i="5" s="1"/>
  <c r="H54" i="5" s="1"/>
  <c r="I25" i="5" s="1"/>
  <c r="I60" i="5"/>
  <c r="H57" i="5" l="1"/>
  <c r="I24" i="5" s="1"/>
  <c r="I27" i="5" s="1"/>
  <c r="I30" i="5" l="1"/>
  <c r="I29" i="5"/>
  <c r="I31" i="5" s="1"/>
  <c r="I33" i="5" s="1"/>
  <c r="I46" i="5" s="1"/>
  <c r="I55" i="5" s="1"/>
  <c r="J26" i="5" s="1"/>
  <c r="J60" i="5"/>
  <c r="I32" i="5" l="1"/>
  <c r="I45" i="5" s="1"/>
  <c r="I54" i="5" s="1"/>
  <c r="J25" i="5" s="1"/>
  <c r="I34" i="5"/>
  <c r="I47" i="5" s="1"/>
  <c r="I56" i="5" s="1"/>
  <c r="I57" i="5" l="1"/>
  <c r="J24" i="5" s="1"/>
  <c r="J29" i="5" s="1"/>
  <c r="K60" i="5"/>
  <c r="J30" i="5" l="1"/>
  <c r="J27" i="5"/>
  <c r="J31" i="5" l="1"/>
  <c r="J32" i="5" l="1"/>
  <c r="J45" i="5" s="1"/>
  <c r="J54" i="5" s="1"/>
  <c r="K25" i="5" s="1"/>
  <c r="J33" i="5"/>
  <c r="J46" i="5" s="1"/>
  <c r="J55" i="5" s="1"/>
  <c r="K26" i="5" s="1"/>
  <c r="J34" i="5"/>
  <c r="J47" i="5" s="1"/>
  <c r="J56" i="5" s="1"/>
  <c r="L60" i="5"/>
  <c r="J57" i="5" l="1"/>
  <c r="K24" i="5" s="1"/>
  <c r="K27" i="5" s="1"/>
  <c r="K29" i="5" l="1"/>
  <c r="K30" i="5"/>
  <c r="K31" i="5" l="1"/>
  <c r="K34" i="5" s="1"/>
  <c r="K47" i="5" s="1"/>
  <c r="K56" i="5" s="1"/>
  <c r="K33" i="5" l="1"/>
  <c r="K46" i="5" s="1"/>
  <c r="K55" i="5" s="1"/>
  <c r="L26" i="5" s="1"/>
  <c r="K32" i="5"/>
  <c r="K45" i="5" s="1"/>
  <c r="K54" i="5" s="1"/>
  <c r="L25" i="5" s="1"/>
  <c r="K57" i="5" l="1"/>
  <c r="L24" i="5" s="1"/>
  <c r="L30" i="5" s="1"/>
  <c r="L27" i="5" l="1"/>
  <c r="L29" i="5"/>
  <c r="L31" i="5" s="1"/>
  <c r="L34" i="5" s="1"/>
  <c r="L47" i="5" s="1"/>
  <c r="L56" i="5" s="1"/>
  <c r="L32" i="5" l="1"/>
  <c r="L45" i="5" s="1"/>
  <c r="L54" i="5" s="1"/>
  <c r="L33" i="5"/>
  <c r="L46" i="5" s="1"/>
  <c r="L55" i="5" s="1"/>
  <c r="L57" i="5" l="1"/>
</calcChain>
</file>

<file path=xl/sharedStrings.xml><?xml version="1.0" encoding="utf-8"?>
<sst xmlns="http://schemas.openxmlformats.org/spreadsheetml/2006/main" count="273" uniqueCount="159">
  <si>
    <t xml:space="preserve">    To Upper Basin</t>
  </si>
  <si>
    <t xml:space="preserve">    To Lower Basin</t>
  </si>
  <si>
    <t xml:space="preserve">    Upper Basin</t>
  </si>
  <si>
    <t xml:space="preserve">    Lower Basin</t>
  </si>
  <si>
    <t xml:space="preserve">    Mexico</t>
  </si>
  <si>
    <t>Account end-of-year balance</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</si>
  <si>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</si>
  <si>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</si>
  <si>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</si>
  <si>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</si>
  <si>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</si>
  <si>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</si>
  <si>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</si>
  <si>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</si>
  <si>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</si>
  <si>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</si>
  <si>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</si>
  <si>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</si>
  <si>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</si>
  <si>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</si>
  <si>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</si>
  <si>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</si>
  <si>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</si>
  <si>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</si>
  <si>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</si>
  <si>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</si>
  <si>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</si>
  <si>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</si>
  <si>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</si>
  <si>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</si>
  <si>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</si>
  <si>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</si>
  <si>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</si>
  <si>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</si>
  <si>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</si>
  <si>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</si>
  <si>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</si>
  <si>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</si>
  <si>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</si>
  <si>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</si>
  <si>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</si>
  <si>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</si>
  <si>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</si>
  <si>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</si>
  <si>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</si>
  <si>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</si>
  <si>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</si>
  <si>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</si>
  <si>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</si>
  <si>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</si>
  <si>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</si>
  <si>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</si>
  <si>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</si>
  <si>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</si>
  <si>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</si>
  <si>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On the new worksheet, assign a role to each person (Rows 3 to 8).</t>
  </si>
  <si>
    <t>Hydrology to use (facilitator may or may not reveal to players):</t>
  </si>
  <si>
    <t>Enter a Powell starting storage in Cell B19.</t>
  </si>
  <si>
    <t>In Year 1, Facilitator enters the natural inflow to Lake Powell in Cell C22.</t>
  </si>
  <si>
    <t>Continue to Year 2 in Column D. Facilitator enters next Natural Inflow to Lake Powell in Cell D22.</t>
  </si>
  <si>
    <t>Repeat Steps #5-#9 for as many years  (columns D, E, F, …) as desired. Stop when you no longer gain new insights about the system.</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</si>
  <si>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</si>
  <si>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</si>
  <si>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</si>
  <si>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</si>
  <si>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</si>
  <si>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</si>
  <si>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</si>
  <si>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</si>
  <si>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</si>
  <si>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</si>
  <si>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</si>
  <si>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</si>
  <si>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</si>
  <si>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</si>
  <si>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</si>
  <si>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</si>
  <si>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</si>
  <si>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</si>
  <si>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</si>
  <si>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</si>
  <si>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</si>
  <si>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</si>
  <si>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</si>
  <si>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</si>
  <si>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</si>
  <si>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</si>
  <si>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</si>
  <si>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</si>
  <si>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</si>
  <si>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</si>
  <si>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</si>
  <si>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</si>
  <si>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</si>
  <si>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</si>
  <si>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</si>
  <si>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</si>
  <si>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</si>
  <si>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</si>
  <si>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</si>
  <si>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Facilitator chooses a Hydrologic Scenario in Row 15. Facilitator may or may not reveal the hydrologic scenario to the players. See HydrologicScenarios worksheet for some potential hydrologies.</t>
  </si>
  <si>
    <t>Description of Worksheets</t>
  </si>
  <si>
    <t>Master</t>
  </si>
  <si>
    <t>Blank model template. Copy to a new sheet before using. See directions above for use.</t>
  </si>
  <si>
    <t>Mellennium-DER</t>
  </si>
  <si>
    <t>HydrologicScenarios</t>
  </si>
  <si>
    <t>Potential hydrologic scenarios to use in the role play. Millennium drought, scrambled years, drier and wetter decades</t>
  </si>
  <si>
    <t>Powell-Elevation-Area</t>
  </si>
  <si>
    <t>The Lake Powell storage volume-elevation-area curve data downloaded from CRSS.</t>
  </si>
  <si>
    <t>A completed role play of the Millennium Drought continuing for 10 more years where David Rosenberg (DER) played all roles</t>
  </si>
  <si>
    <t>Role play again (steps #2-11) for different management decisions, hydrologic scenarios, one-time allocations of starting Lake Powell storage, allocations of natural flow, etc.</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</si>
  <si>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</si>
  <si>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</si>
  <si>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</si>
  <si>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</si>
  <si>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</si>
  <si>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</si>
  <si>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</si>
  <si>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</si>
  <si>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</si>
  <si>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This interactive water budget allows a facillitator and representatives of the Upper Basin, Lower Basin, and Mexico to role play Lake Powell management year by year. A facilitator decides the hydrology to use and reveals natural inflow to Lake Powell year-by-year to the players. Each player decides the volume to consumptively use/release/store each year. Additionally, the Upper Basin can voluntarily transfer stored water to the Lower Basin with compensation and Mexico can voluntarily transfer stored water to the Lower Basin with compensation. The interactive water budget tracks physical water budget items such as Powell evaporation rate, Powell starting storage, natural inflow to Lake Powell, and Evaporated volume on Rows 18, 19, 22, and 27. The interactive water budget also assigns the Upper Basin, Lower Basin, and Mexico a share of the evaporated volume based on each entity's share of total Lake Powell storage. The interactive water budget also tracks one time political (water manager) decisions such as Division of existing Powell storage and Division of Annual available water among users in Column B, Rows 24-26 and 33-34). The interactive water budget also tracks Annual political (water manager) decisions  such as the Mexico treaty bligation, Withdrawals/Consumptive Use from Lake Powell accounts, water transfers among users, and payments for transfers on Rows 28, 45-47, and 36-39).</t>
  </si>
  <si>
    <t>We recommend to move this Excel workbook into Google Docs so that all users can access syncronously.</t>
  </si>
  <si>
    <t>Model calculates available water to release/use. Each player enters their withdrawal from their Lake Powell account/consumptive use in Cells C45:C47. Check other players released/used water within their budget!!</t>
  </si>
  <si>
    <t>The Upper Basin and Mexico can additionally transfer water with payment to the Lower Basin in Cells C36:C39.</t>
  </si>
  <si>
    <t>Observe the Annual Powell release, ending storages in accounts, and Lake Powell ending storage in Cells C48:C53.</t>
  </si>
  <si>
    <t>Directions to complete the Interactive Water Budget:</t>
  </si>
  <si>
    <t>David E. Rosenberg (2021). "Interactive Water Budget and Role Play for Lake Powell, Colorado River." Utah State University, Logan, UT. https://github.com/dzeke/ColoradoRiverFutures/tree/master/InteractiveWaterBudget-LakePowell</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</si>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</sst>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s>
  <fonts count="6"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8" tint="0.59999389629810485"/>
        <bgColor indexed="64"/>
      </patternFill>
    </fill>
  </fills>
  <borders count="11">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6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3" fillId="2" borderId="1" xfId="2"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0" fontId="3" fillId="2" borderId="1" xfId="2" applyAlignment="1">
      <alignment horizontal="center"/>
    </xf>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0" fontId="1" fillId="7" borderId="9" xfId="0" applyFont="1" applyFill="1" applyBorder="1"/>
    <xf numFmtId="0" fontId="1" fillId="7" borderId="9" xfId="0" applyFont="1" applyFill="1"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27"/>
  <sheetViews>
    <sheetView zoomScale="150" zoomScaleNormal="150" workbookViewId="0"/>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127</v>
      </c>
      <c r="B1" s="1"/>
      <c r="C1" s="2"/>
      <c r="D1"/>
    </row>
    <row r="2" spans="1:12" x14ac:dyDescent="0.35">
      <c r="A2" s="1"/>
      <c r="B2" s="1"/>
      <c r="C2" s="2"/>
      <c r="D2"/>
    </row>
    <row r="3" spans="1:12" x14ac:dyDescent="0.35">
      <c r="A3" s="1" t="s">
        <v>39</v>
      </c>
      <c r="B3" s="1"/>
      <c r="C3" s="2"/>
      <c r="D3"/>
    </row>
    <row r="4" spans="1:12" ht="164.5" customHeight="1" x14ac:dyDescent="0.35">
      <c r="A4" s="60" t="s">
        <v>120</v>
      </c>
      <c r="B4" s="60"/>
      <c r="C4" s="60"/>
      <c r="D4" s="60"/>
      <c r="E4" s="60"/>
      <c r="F4" s="60"/>
      <c r="G4" s="60"/>
      <c r="H4" s="60"/>
      <c r="I4" s="60"/>
      <c r="J4" s="60"/>
      <c r="K4" s="60"/>
      <c r="L4" s="60"/>
    </row>
    <row r="5" spans="1:12" ht="13.5" customHeight="1" x14ac:dyDescent="0.35">
      <c r="B5" s="16"/>
      <c r="C5" s="16"/>
      <c r="D5" s="16"/>
      <c r="E5" s="16"/>
      <c r="F5" s="16"/>
      <c r="G5" s="16"/>
      <c r="H5" s="16"/>
      <c r="I5" s="16"/>
      <c r="J5" s="16"/>
      <c r="K5" s="16"/>
      <c r="L5" s="16"/>
    </row>
    <row r="6" spans="1:12" ht="16.5" customHeight="1" x14ac:dyDescent="0.35">
      <c r="A6" s="51" t="s">
        <v>125</v>
      </c>
      <c r="B6" s="52"/>
      <c r="C6" s="52"/>
      <c r="D6" s="52"/>
      <c r="E6" s="52"/>
      <c r="F6" s="52"/>
      <c r="G6" s="52"/>
      <c r="H6" s="52"/>
      <c r="I6" s="52"/>
      <c r="J6" s="52"/>
      <c r="K6" s="52"/>
      <c r="L6" s="53"/>
    </row>
    <row r="7" spans="1:12" ht="16.5" customHeight="1" x14ac:dyDescent="0.35">
      <c r="A7" s="29">
        <v>1</v>
      </c>
      <c r="B7" s="54" t="s">
        <v>121</v>
      </c>
      <c r="C7" s="54"/>
      <c r="D7" s="54"/>
      <c r="E7" s="54"/>
      <c r="F7" s="54"/>
      <c r="G7" s="54"/>
      <c r="H7" s="54"/>
      <c r="I7" s="54"/>
      <c r="J7" s="54"/>
      <c r="K7" s="54"/>
      <c r="L7" s="55"/>
    </row>
    <row r="8" spans="1:12" ht="16.5" customHeight="1" x14ac:dyDescent="0.35">
      <c r="A8" s="29">
        <v>2</v>
      </c>
      <c r="B8" s="54" t="s">
        <v>99</v>
      </c>
      <c r="C8" s="54"/>
      <c r="D8" s="54"/>
      <c r="E8" s="54"/>
      <c r="F8" s="54"/>
      <c r="G8" s="54"/>
      <c r="H8" s="54"/>
      <c r="I8" s="54"/>
      <c r="J8" s="54"/>
      <c r="K8" s="54"/>
      <c r="L8" s="55"/>
    </row>
    <row r="9" spans="1:12" ht="16.5" customHeight="1" x14ac:dyDescent="0.35">
      <c r="A9" s="29">
        <v>3</v>
      </c>
      <c r="B9" s="54" t="s">
        <v>55</v>
      </c>
      <c r="C9" s="54"/>
      <c r="D9" s="54"/>
      <c r="E9" s="54"/>
      <c r="F9" s="54"/>
      <c r="G9" s="54"/>
      <c r="H9" s="54"/>
      <c r="I9" s="54"/>
      <c r="J9" s="54"/>
      <c r="K9" s="54"/>
      <c r="L9" s="55"/>
    </row>
    <row r="10" spans="1:12" ht="32.5" customHeight="1" x14ac:dyDescent="0.35">
      <c r="A10" s="29">
        <v>4</v>
      </c>
      <c r="B10" s="54" t="s">
        <v>100</v>
      </c>
      <c r="C10" s="54"/>
      <c r="D10" s="54"/>
      <c r="E10" s="54"/>
      <c r="F10" s="54"/>
      <c r="G10" s="54"/>
      <c r="H10" s="54"/>
      <c r="I10" s="54"/>
      <c r="J10" s="54"/>
      <c r="K10" s="54"/>
      <c r="L10" s="55"/>
    </row>
    <row r="11" spans="1:12" ht="16.5" customHeight="1" x14ac:dyDescent="0.35">
      <c r="A11" s="29">
        <v>5</v>
      </c>
      <c r="B11" s="54" t="s">
        <v>57</v>
      </c>
      <c r="C11" s="54"/>
      <c r="D11" s="54"/>
      <c r="E11" s="54"/>
      <c r="F11" s="54"/>
      <c r="G11" s="54"/>
      <c r="H11" s="54"/>
      <c r="I11" s="54"/>
      <c r="J11" s="54"/>
      <c r="K11" s="54"/>
      <c r="L11" s="55"/>
    </row>
    <row r="12" spans="1:12" ht="16.5" customHeight="1" x14ac:dyDescent="0.35">
      <c r="A12" s="29">
        <v>6</v>
      </c>
      <c r="B12" s="54" t="s">
        <v>58</v>
      </c>
      <c r="C12" s="54"/>
      <c r="D12" s="54"/>
      <c r="E12" s="54"/>
      <c r="F12" s="54"/>
      <c r="G12" s="54"/>
      <c r="H12" s="54"/>
      <c r="I12" s="54"/>
      <c r="J12" s="54"/>
      <c r="K12" s="54"/>
      <c r="L12" s="55"/>
    </row>
    <row r="13" spans="1:12" ht="32.5" customHeight="1" x14ac:dyDescent="0.35">
      <c r="A13" s="29">
        <v>7</v>
      </c>
      <c r="B13" s="54" t="s">
        <v>122</v>
      </c>
      <c r="C13" s="54"/>
      <c r="D13" s="54"/>
      <c r="E13" s="54"/>
      <c r="F13" s="54"/>
      <c r="G13" s="54"/>
      <c r="H13" s="54"/>
      <c r="I13" s="54"/>
      <c r="J13" s="54"/>
      <c r="K13" s="54"/>
      <c r="L13" s="55"/>
    </row>
    <row r="14" spans="1:12" ht="16.5" customHeight="1" x14ac:dyDescent="0.35">
      <c r="A14" s="29">
        <v>8</v>
      </c>
      <c r="B14" s="54" t="s">
        <v>123</v>
      </c>
      <c r="C14" s="54"/>
      <c r="D14" s="54"/>
      <c r="E14" s="54"/>
      <c r="F14" s="54"/>
      <c r="G14" s="54"/>
      <c r="H14" s="54"/>
      <c r="I14" s="54"/>
      <c r="J14" s="54"/>
      <c r="K14" s="54"/>
      <c r="L14" s="55"/>
    </row>
    <row r="15" spans="1:12" ht="16.5" customHeight="1" x14ac:dyDescent="0.35">
      <c r="A15" s="29">
        <v>9</v>
      </c>
      <c r="B15" s="54" t="s">
        <v>124</v>
      </c>
      <c r="C15" s="54"/>
      <c r="D15" s="54"/>
      <c r="E15" s="54"/>
      <c r="F15" s="54"/>
      <c r="G15" s="54"/>
      <c r="H15" s="54"/>
      <c r="I15" s="54"/>
      <c r="J15" s="54"/>
      <c r="K15" s="54"/>
      <c r="L15" s="55"/>
    </row>
    <row r="16" spans="1:12" ht="16.5" customHeight="1" x14ac:dyDescent="0.35">
      <c r="A16" s="29">
        <v>10</v>
      </c>
      <c r="B16" s="54" t="s">
        <v>59</v>
      </c>
      <c r="C16" s="54"/>
      <c r="D16" s="54"/>
      <c r="E16" s="54"/>
      <c r="F16" s="54"/>
      <c r="G16" s="54"/>
      <c r="H16" s="54"/>
      <c r="I16" s="54"/>
      <c r="J16" s="54"/>
      <c r="K16" s="54"/>
      <c r="L16" s="55"/>
    </row>
    <row r="17" spans="1:12" ht="16.5" customHeight="1" x14ac:dyDescent="0.35">
      <c r="A17" s="29">
        <v>11</v>
      </c>
      <c r="B17" s="56" t="s">
        <v>60</v>
      </c>
      <c r="C17" s="56"/>
      <c r="D17" s="56"/>
      <c r="E17" s="56"/>
      <c r="F17" s="56"/>
      <c r="G17" s="56"/>
      <c r="H17" s="56"/>
      <c r="I17" s="56"/>
      <c r="J17" s="56"/>
      <c r="K17" s="56"/>
      <c r="L17" s="57"/>
    </row>
    <row r="18" spans="1:12" ht="32" customHeight="1" x14ac:dyDescent="0.35">
      <c r="A18" s="29">
        <v>12</v>
      </c>
      <c r="B18" s="58" t="s">
        <v>110</v>
      </c>
      <c r="C18" s="58"/>
      <c r="D18" s="58"/>
      <c r="E18" s="58"/>
      <c r="F18" s="58"/>
      <c r="G18" s="58"/>
      <c r="H18" s="58"/>
      <c r="I18" s="58"/>
      <c r="J18" s="58"/>
      <c r="K18" s="58"/>
      <c r="L18" s="59"/>
    </row>
    <row r="19" spans="1:12" ht="16.5" customHeight="1" x14ac:dyDescent="0.35">
      <c r="B19" s="27"/>
      <c r="C19" s="27"/>
      <c r="D19" s="27"/>
      <c r="E19" s="27"/>
      <c r="F19" s="27"/>
      <c r="G19" s="27"/>
      <c r="H19" s="27"/>
      <c r="I19" s="27"/>
      <c r="J19" s="27"/>
      <c r="K19" s="27"/>
      <c r="L19" s="27"/>
    </row>
    <row r="20" spans="1:12" x14ac:dyDescent="0.35">
      <c r="A20" s="1" t="s">
        <v>101</v>
      </c>
    </row>
    <row r="21" spans="1:12" x14ac:dyDescent="0.35">
      <c r="B21" s="2" t="s">
        <v>102</v>
      </c>
      <c r="C21" t="s">
        <v>103</v>
      </c>
    </row>
    <row r="22" spans="1:12" x14ac:dyDescent="0.35">
      <c r="B22" s="2" t="s">
        <v>105</v>
      </c>
      <c r="C22" t="s">
        <v>106</v>
      </c>
    </row>
    <row r="23" spans="1:12" x14ac:dyDescent="0.35">
      <c r="B23" s="2" t="s">
        <v>107</v>
      </c>
      <c r="C23" t="s">
        <v>108</v>
      </c>
    </row>
    <row r="24" spans="1:12" x14ac:dyDescent="0.35">
      <c r="B24" s="2" t="s">
        <v>104</v>
      </c>
      <c r="C24" t="s">
        <v>109</v>
      </c>
    </row>
    <row r="26" spans="1:12" x14ac:dyDescent="0.35">
      <c r="A26" s="1" t="s">
        <v>51</v>
      </c>
    </row>
    <row r="27" spans="1:12" ht="30.5" customHeight="1" x14ac:dyDescent="0.35">
      <c r="A27" s="50" t="s">
        <v>126</v>
      </c>
      <c r="B27" s="50"/>
      <c r="C27" s="50"/>
      <c r="D27" s="50"/>
      <c r="E27" s="50"/>
      <c r="F27" s="50"/>
      <c r="G27" s="50"/>
      <c r="H27" s="50"/>
      <c r="I27" s="50"/>
      <c r="J27" s="50"/>
      <c r="K27" s="50"/>
      <c r="L27" s="50"/>
    </row>
  </sheetData>
  <mergeCells count="15">
    <mergeCell ref="A4:L4"/>
    <mergeCell ref="B9:L9"/>
    <mergeCell ref="B11:L11"/>
    <mergeCell ref="B12:L12"/>
    <mergeCell ref="B13:L13"/>
    <mergeCell ref="A27:L27"/>
    <mergeCell ref="A6:L6"/>
    <mergeCell ref="B10:L10"/>
    <mergeCell ref="B7:L7"/>
    <mergeCell ref="B8:L8"/>
    <mergeCell ref="B14:L14"/>
    <mergeCell ref="B15:L15"/>
    <mergeCell ref="B16:L16"/>
    <mergeCell ref="B17:L17"/>
    <mergeCell ref="B18:L1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56767-5983-45FB-80E4-1C5DE08E38A0}">
  <dimension ref="A1:R62"/>
  <sheetViews>
    <sheetView tabSelected="1" topLeftCell="A23" zoomScale="150" zoomScaleNormal="150" workbookViewId="0">
      <selection activeCell="C57" sqref="C5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13"/>
      <c r="C5" s="61"/>
      <c r="D5" s="61"/>
      <c r="E5" s="61"/>
      <c r="F5" s="61"/>
      <c r="G5" s="61"/>
      <c r="H5" s="61"/>
    </row>
    <row r="6" spans="1:11" x14ac:dyDescent="0.35">
      <c r="A6" s="17" t="s">
        <v>41</v>
      </c>
      <c r="B6" s="13"/>
      <c r="C6" s="61"/>
      <c r="D6" s="61"/>
      <c r="E6" s="61"/>
      <c r="F6" s="61"/>
      <c r="G6" s="61"/>
      <c r="H6" s="61"/>
    </row>
    <row r="7" spans="1:11" x14ac:dyDescent="0.35">
      <c r="A7" s="17" t="s">
        <v>42</v>
      </c>
      <c r="B7" s="13"/>
      <c r="C7" s="61"/>
      <c r="D7" s="61"/>
      <c r="E7" s="61"/>
      <c r="F7" s="61"/>
      <c r="G7" s="61"/>
      <c r="H7" s="61"/>
    </row>
    <row r="8" spans="1:11" x14ac:dyDescent="0.35">
      <c r="A8" s="17" t="s">
        <v>43</v>
      </c>
      <c r="B8" s="13"/>
      <c r="C8" s="61"/>
      <c r="D8" s="61"/>
      <c r="E8" s="61"/>
      <c r="F8" s="61"/>
      <c r="G8" s="61"/>
      <c r="H8" s="61"/>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1" t="s">
        <v>36</v>
      </c>
      <c r="B21" s="1" t="s">
        <v>50</v>
      </c>
      <c r="C21" s="14" t="s">
        <v>6</v>
      </c>
      <c r="D21" s="14" t="s">
        <v>7</v>
      </c>
      <c r="E21" s="14" t="s">
        <v>8</v>
      </c>
      <c r="F21" s="14" t="s">
        <v>9</v>
      </c>
      <c r="G21" s="14" t="s">
        <v>10</v>
      </c>
      <c r="H21" s="14" t="s">
        <v>11</v>
      </c>
      <c r="I21" s="14" t="s">
        <v>12</v>
      </c>
      <c r="J21" s="14" t="s">
        <v>13</v>
      </c>
      <c r="K21" s="14" t="s">
        <v>37</v>
      </c>
      <c r="L21" s="14" t="s">
        <v>38</v>
      </c>
      <c r="M21" s="14" t="s">
        <v>119</v>
      </c>
    </row>
    <row r="22" spans="1:13" x14ac:dyDescent="0.35">
      <c r="A22" s="1" t="s">
        <v>46</v>
      </c>
      <c r="B22" s="1"/>
      <c r="C22" s="12">
        <v>10.5</v>
      </c>
      <c r="D22" s="12">
        <v>10.5</v>
      </c>
      <c r="E22" s="12"/>
      <c r="F22" s="12"/>
      <c r="G22" s="12"/>
      <c r="H22" s="12">
        <f t="shared" ref="F22:L22" si="0">G22</f>
        <v>0</v>
      </c>
      <c r="I22" s="12">
        <f t="shared" si="0"/>
        <v>0</v>
      </c>
      <c r="J22" s="12">
        <f t="shared" si="0"/>
        <v>0</v>
      </c>
      <c r="K22" s="12">
        <f t="shared" si="0"/>
        <v>0</v>
      </c>
      <c r="L22" s="12">
        <f t="shared" si="0"/>
        <v>0</v>
      </c>
    </row>
    <row r="23" spans="1:13" x14ac:dyDescent="0.35">
      <c r="A23" s="1" t="s">
        <v>140</v>
      </c>
      <c r="B23" s="1"/>
      <c r="C23" s="12">
        <f>IF(C$22&lt;&gt;"",0.8,"")</f>
        <v>0.8</v>
      </c>
      <c r="D23" s="12">
        <f t="shared" ref="D23:L23" si="1">IF(D$22&lt;&gt;"",0.8,"")</f>
        <v>0.8</v>
      </c>
      <c r="E23" s="12" t="str">
        <f t="shared" si="1"/>
        <v/>
      </c>
      <c r="F23" s="12" t="str">
        <f t="shared" si="1"/>
        <v/>
      </c>
      <c r="G23" s="12" t="str">
        <f t="shared" si="1"/>
        <v/>
      </c>
      <c r="H23" s="12">
        <f t="shared" si="1"/>
        <v>0.8</v>
      </c>
      <c r="I23" s="12">
        <f t="shared" si="1"/>
        <v>0.8</v>
      </c>
      <c r="J23" s="12">
        <f t="shared" si="1"/>
        <v>0.8</v>
      </c>
      <c r="K23" s="12">
        <f t="shared" si="1"/>
        <v>0.8</v>
      </c>
      <c r="L23" s="12">
        <f t="shared" si="1"/>
        <v>0.8</v>
      </c>
    </row>
    <row r="24" spans="1:13" x14ac:dyDescent="0.35">
      <c r="A24" s="1" t="s">
        <v>143</v>
      </c>
      <c r="B24" s="1"/>
      <c r="C24" s="15">
        <f>IF(C$22&lt;&gt;"",SUM(C25:C27),"")</f>
        <v>21.1</v>
      </c>
      <c r="D24" s="15">
        <f>IF(D$22&lt;&gt;"",C57,"")</f>
        <v>18.528102320000031</v>
      </c>
      <c r="E24" s="15" t="str">
        <f t="shared" ref="E24:L24" si="2">IF(E$22&lt;&gt;"",D57,"")</f>
        <v/>
      </c>
      <c r="F24" s="15" t="str">
        <f t="shared" si="2"/>
        <v/>
      </c>
      <c r="G24" s="15" t="str">
        <f t="shared" si="2"/>
        <v/>
      </c>
      <c r="H24" s="15" t="str">
        <f t="shared" si="2"/>
        <v/>
      </c>
      <c r="I24" s="15" t="e">
        <f t="shared" si="2"/>
        <v>#VALUE!</v>
      </c>
      <c r="J24" s="15" t="e">
        <f t="shared" si="2"/>
        <v>#VALUE!</v>
      </c>
      <c r="K24" s="15" t="e">
        <f t="shared" si="2"/>
        <v>#VALUE!</v>
      </c>
      <c r="L24" s="15" t="e">
        <f t="shared" si="2"/>
        <v>#VALUE!</v>
      </c>
    </row>
    <row r="25" spans="1:13" x14ac:dyDescent="0.35">
      <c r="A25" t="s">
        <v>135</v>
      </c>
      <c r="C25" s="15">
        <f>IF(C$22&lt;&gt;"",$B$19,"")</f>
        <v>11</v>
      </c>
      <c r="D25" s="15">
        <f>IF(D22&lt;&gt;"",C54,"")</f>
        <v>8.4172571336493043</v>
      </c>
      <c r="E25" s="15" t="str">
        <f t="shared" ref="E25:L25" si="3">IF(E22&lt;&gt;"",D54,"")</f>
        <v/>
      </c>
      <c r="F25" s="15" t="str">
        <f t="shared" si="3"/>
        <v/>
      </c>
      <c r="G25" s="15" t="str">
        <f t="shared" si="3"/>
        <v/>
      </c>
      <c r="H25" s="15" t="str">
        <f t="shared" si="3"/>
        <v/>
      </c>
      <c r="I25" s="15" t="e">
        <f t="shared" si="3"/>
        <v>#VALUE!</v>
      </c>
      <c r="J25" s="15" t="e">
        <f t="shared" si="3"/>
        <v>#VALUE!</v>
      </c>
      <c r="K25" s="15" t="e">
        <f t="shared" si="3"/>
        <v>#VALUE!</v>
      </c>
      <c r="L25" s="15" t="e">
        <f t="shared" si="3"/>
        <v>#VALUE!</v>
      </c>
    </row>
    <row r="26" spans="1:13" x14ac:dyDescent="0.35">
      <c r="A26" t="s">
        <v>136</v>
      </c>
      <c r="C26" s="15">
        <f>IF(C$22&lt;&gt;"",$C$19,"")</f>
        <v>10.1</v>
      </c>
      <c r="D26" s="15">
        <f>IF(D23&lt;&gt;"",C55,"")</f>
        <v>10.110845186350728</v>
      </c>
      <c r="E26" s="15" t="str">
        <f t="shared" ref="E26:L27" si="4">IF(E23&lt;&gt;"",D55,"")</f>
        <v/>
      </c>
      <c r="F26" s="15" t="str">
        <f t="shared" si="4"/>
        <v/>
      </c>
      <c r="G26" s="15" t="str">
        <f t="shared" si="4"/>
        <v/>
      </c>
      <c r="H26" s="15" t="str">
        <f t="shared" si="4"/>
        <v/>
      </c>
      <c r="I26" s="15" t="e">
        <f t="shared" si="4"/>
        <v>#VALUE!</v>
      </c>
      <c r="J26" s="15" t="e">
        <f t="shared" si="4"/>
        <v>#VALUE!</v>
      </c>
      <c r="K26" s="15" t="e">
        <f t="shared" si="4"/>
        <v>#VALUE!</v>
      </c>
      <c r="L26" s="15" t="e">
        <f t="shared" si="4"/>
        <v>#VALUE!</v>
      </c>
    </row>
    <row r="27" spans="1:13" x14ac:dyDescent="0.35">
      <c r="A27" t="s">
        <v>32</v>
      </c>
      <c r="C27" s="15">
        <f>IF(C22&lt;&gt;"",0,"")</f>
        <v>0</v>
      </c>
      <c r="D27" s="15">
        <f>IF(D24&lt;&gt;"",C56,"")</f>
        <v>0</v>
      </c>
      <c r="E27" s="15" t="str">
        <f t="shared" si="4"/>
        <v/>
      </c>
      <c r="F27" s="15" t="str">
        <f t="shared" si="4"/>
        <v/>
      </c>
      <c r="G27" s="15" t="str">
        <f t="shared" si="4"/>
        <v/>
      </c>
      <c r="H27" s="15" t="str">
        <f t="shared" si="4"/>
        <v/>
      </c>
      <c r="I27" s="15" t="e">
        <f t="shared" si="4"/>
        <v>#VALUE!</v>
      </c>
      <c r="J27" s="15" t="e">
        <f t="shared" si="4"/>
        <v>#VALUE!</v>
      </c>
      <c r="K27" s="15" t="e">
        <f t="shared" si="4"/>
        <v>#VALUE!</v>
      </c>
      <c r="L27" s="15" t="e">
        <f t="shared" si="4"/>
        <v>#VALUE!</v>
      </c>
    </row>
    <row r="28" spans="1:13" x14ac:dyDescent="0.35">
      <c r="A28" s="1" t="s">
        <v>134</v>
      </c>
      <c r="C28"/>
    </row>
    <row r="29" spans="1:13" x14ac:dyDescent="0.35">
      <c r="A29" t="s">
        <v>132</v>
      </c>
      <c r="B29" s="37">
        <v>0.5</v>
      </c>
      <c r="C29" s="15">
        <f>C25</f>
        <v>11</v>
      </c>
      <c r="D29" s="15">
        <f t="shared" ref="D29:L29" si="5">IF(D22&lt;&gt;"",$B29*D$24,"")</f>
        <v>9.2640511600000153</v>
      </c>
      <c r="E29" s="15" t="str">
        <f t="shared" si="5"/>
        <v/>
      </c>
      <c r="F29" s="15" t="str">
        <f t="shared" si="5"/>
        <v/>
      </c>
      <c r="G29" s="15" t="str">
        <f t="shared" si="5"/>
        <v/>
      </c>
      <c r="H29" s="15" t="e">
        <f t="shared" si="5"/>
        <v>#VALUE!</v>
      </c>
      <c r="I29" s="15" t="e">
        <f t="shared" si="5"/>
        <v>#VALUE!</v>
      </c>
      <c r="J29" s="15" t="e">
        <f t="shared" si="5"/>
        <v>#VALUE!</v>
      </c>
      <c r="K29" s="15" t="e">
        <f t="shared" si="5"/>
        <v>#VALUE!</v>
      </c>
      <c r="L29" s="15" t="e">
        <f t="shared" si="5"/>
        <v>#VALUE!</v>
      </c>
    </row>
    <row r="30" spans="1:13" x14ac:dyDescent="0.35">
      <c r="A30" t="s">
        <v>133</v>
      </c>
      <c r="B30" s="37">
        <f>1-B29</f>
        <v>0.5</v>
      </c>
      <c r="C30" s="15">
        <f>C26</f>
        <v>10.1</v>
      </c>
      <c r="D30" s="15">
        <f t="shared" ref="D30:L30" si="6">IF(D23&lt;&gt;"",$B30*D$24,"")</f>
        <v>9.2640511600000153</v>
      </c>
      <c r="E30" s="15" t="str">
        <f t="shared" si="6"/>
        <v/>
      </c>
      <c r="F30" s="15" t="str">
        <f t="shared" si="6"/>
        <v/>
      </c>
      <c r="G30" s="15" t="str">
        <f t="shared" si="6"/>
        <v/>
      </c>
      <c r="H30" s="15" t="e">
        <f t="shared" si="6"/>
        <v>#VALUE!</v>
      </c>
      <c r="I30" s="15" t="e">
        <f t="shared" si="6"/>
        <v>#VALUE!</v>
      </c>
      <c r="J30" s="15" t="e">
        <f t="shared" si="6"/>
        <v>#VALUE!</v>
      </c>
      <c r="K30" s="15" t="e">
        <f t="shared" si="6"/>
        <v>#VALUE!</v>
      </c>
      <c r="L30" s="15" t="e">
        <f t="shared" si="6"/>
        <v>#VALUE!</v>
      </c>
    </row>
    <row r="31" spans="1:13" x14ac:dyDescent="0.35">
      <c r="A31" s="1" t="s">
        <v>138</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0.94498607849939997</v>
      </c>
      <c r="E31" s="15" t="str">
        <f>IF(E$22&lt;&gt;"",VLOOKUP(E29*1000000,'Powell-Elevation-Area'!$B$5:$D$689,3)*$B$18/1000000 + VLOOKUP(E30*1000000,'Mead-Elevation-Area'!$B$5:$D$676,3)*$C$18/1000000,"")</f>
        <v/>
      </c>
      <c r="F31" s="15" t="str">
        <f>IF(F$22&lt;&gt;"",VLOOKUP(F29*1000000,'Powell-Elevation-Area'!$B$5:$D$689,3)*$B$18/1000000 + VLOOKUP(F30*1000000,'Mead-Elevation-Area'!$B$5:$D$676,3)*$C$18/1000000,"")</f>
        <v/>
      </c>
      <c r="G31" s="15" t="str">
        <f>IF(G$22&lt;&gt;"",VLOOKUP(G29*1000000,'Powell-Elevation-Area'!$B$5:$D$689,3)*$B$18/1000000 + VLOOKUP(G30*1000000,'Mead-Elevation-Area'!$B$5:$D$676,3)*$C$18/1000000,"")</f>
        <v/>
      </c>
      <c r="H31" s="15" t="e">
        <f>IF(H$22&lt;&gt;"",VLOOKUP(H29*1000000,'Powell-Elevation-Area'!$B$5:$D$689,3)*$B$18/1000000 + VLOOKUP(H30*1000000,'Mead-Elevation-Area'!$B$5:$D$676,3)*$C$18/1000000,"")</f>
        <v>#VALUE!</v>
      </c>
      <c r="I31" s="15" t="e">
        <f>IF(I$22&lt;&gt;"",VLOOKUP(I29*1000000,'Powell-Elevation-Area'!$B$5:$D$689,3)*$B$18/1000000 + VLOOKUP(I30*1000000,'Mead-Elevation-Area'!$B$5:$D$676,3)*$C$18/1000000,"")</f>
        <v>#VALUE!</v>
      </c>
      <c r="J31" s="15" t="e">
        <f>IF(J$22&lt;&gt;"",VLOOKUP(J29*1000000,'Powell-Elevation-Area'!$B$5:$D$689,3)*$B$18/1000000 + VLOOKUP(J30*1000000,'Mead-Elevation-Area'!$B$5:$D$676,3)*$C$18/1000000,"")</f>
        <v>#VALUE!</v>
      </c>
      <c r="K31" s="15" t="e">
        <f>IF(K$22&lt;&gt;"",VLOOKUP(K29*1000000,'Powell-Elevation-Area'!$B$5:$D$689,3)*$B$18/1000000 + VLOOKUP(K30*1000000,'Mead-Elevation-Area'!$B$5:$D$676,3)*$C$18/1000000,"")</f>
        <v>#VALUE!</v>
      </c>
      <c r="L31" s="15" t="e">
        <f>IF(L$22&lt;&gt;"",VLOOKUP(L29*1000000,'Powell-Elevation-Area'!$B$5:$D$689,3)*$B$18/1000000 + VLOOKUP(L30*1000000,'Mead-Elevation-Area'!$B$5:$D$676,3)*$C$18/1000000,"")</f>
        <v>#VALUE!</v>
      </c>
    </row>
    <row r="32" spans="1:13" x14ac:dyDescent="0.35">
      <c r="A32" t="s">
        <v>111</v>
      </c>
      <c r="B32" s="1"/>
      <c r="C32" s="15">
        <f>IF(C$22&lt;&gt;"",C$31*C25/C$24,"")</f>
        <v>0.5327428663506969</v>
      </c>
      <c r="D32" s="15">
        <f t="shared" ref="D32:L32" si="7">IF(D$22&lt;&gt;"",D$31*D25/D$24,"")</f>
        <v>0.42930412802514917</v>
      </c>
      <c r="E32" s="15" t="str">
        <f t="shared" si="7"/>
        <v/>
      </c>
      <c r="F32" s="15" t="str">
        <f t="shared" si="7"/>
        <v/>
      </c>
      <c r="G32" s="15" t="str">
        <f t="shared" si="7"/>
        <v/>
      </c>
      <c r="H32" s="15" t="e">
        <f t="shared" si="7"/>
        <v>#VALUE!</v>
      </c>
      <c r="I32" s="15" t="e">
        <f t="shared" si="7"/>
        <v>#VALUE!</v>
      </c>
      <c r="J32" s="15" t="e">
        <f t="shared" si="7"/>
        <v>#VALUE!</v>
      </c>
      <c r="K32" s="15" t="e">
        <f t="shared" si="7"/>
        <v>#VALUE!</v>
      </c>
      <c r="L32" s="15" t="e">
        <f t="shared" si="7"/>
        <v>#VALUE!</v>
      </c>
    </row>
    <row r="33" spans="1:13" x14ac:dyDescent="0.35">
      <c r="A33" t="s">
        <v>112</v>
      </c>
      <c r="B33" s="1"/>
      <c r="C33" s="15">
        <f>IF(C$22&lt;&gt;"",C$31*C26/C$24,"")</f>
        <v>0.48915481364927621</v>
      </c>
      <c r="D33" s="15">
        <f t="shared" ref="D33:L33" si="8">IF(D$22&lt;&gt;"",D$31*D26/D$24,"")</f>
        <v>0.51568195047425092</v>
      </c>
      <c r="E33" s="15" t="str">
        <f t="shared" si="8"/>
        <v/>
      </c>
      <c r="F33" s="15" t="str">
        <f t="shared" si="8"/>
        <v/>
      </c>
      <c r="G33" s="15" t="str">
        <f t="shared" si="8"/>
        <v/>
      </c>
      <c r="H33" s="15" t="e">
        <f t="shared" si="8"/>
        <v>#VALUE!</v>
      </c>
      <c r="I33" s="15" t="e">
        <f t="shared" si="8"/>
        <v>#VALUE!</v>
      </c>
      <c r="J33" s="15" t="e">
        <f t="shared" si="8"/>
        <v>#VALUE!</v>
      </c>
      <c r="K33" s="15" t="e">
        <f t="shared" si="8"/>
        <v>#VALUE!</v>
      </c>
      <c r="L33" s="15" t="e">
        <f t="shared" si="8"/>
        <v>#VALUE!</v>
      </c>
    </row>
    <row r="34" spans="1:13" x14ac:dyDescent="0.35">
      <c r="A34" t="s">
        <v>113</v>
      </c>
      <c r="B34" s="1"/>
      <c r="C34" s="15">
        <f>IF(C$22&lt;&gt;"",C$31*C27/C$24,"")</f>
        <v>0</v>
      </c>
      <c r="D34" s="15">
        <f t="shared" ref="D34:L34" si="9">IF(D$22&lt;&gt;"",D$31*D27/D$24,"")</f>
        <v>0</v>
      </c>
      <c r="E34" s="15" t="str">
        <f t="shared" si="9"/>
        <v/>
      </c>
      <c r="F34" s="15" t="str">
        <f t="shared" si="9"/>
        <v/>
      </c>
      <c r="G34" s="15" t="str">
        <f t="shared" si="9"/>
        <v/>
      </c>
      <c r="H34" s="15" t="e">
        <f t="shared" si="9"/>
        <v>#VALUE!</v>
      </c>
      <c r="I34" s="15" t="e">
        <f t="shared" si="9"/>
        <v>#VALUE!</v>
      </c>
      <c r="J34" s="15" t="e">
        <f t="shared" si="9"/>
        <v>#VALUE!</v>
      </c>
      <c r="K34" s="15" t="e">
        <f t="shared" si="9"/>
        <v>#VALUE!</v>
      </c>
      <c r="L34" s="15" t="e">
        <f t="shared" si="9"/>
        <v>#VALUE!</v>
      </c>
    </row>
    <row r="35" spans="1:13" x14ac:dyDescent="0.35">
      <c r="A35" s="1" t="s">
        <v>137</v>
      </c>
      <c r="B35" s="1"/>
      <c r="C35" s="26">
        <f>IF(C22&lt;&gt;"",1.5,"")</f>
        <v>1.5</v>
      </c>
      <c r="D35" s="26">
        <f t="shared" ref="D35:L35" si="10">IF(D22&lt;&gt;"",1.5,"")</f>
        <v>1.5</v>
      </c>
      <c r="E35" s="26" t="str">
        <f t="shared" si="10"/>
        <v/>
      </c>
      <c r="F35" s="26" t="str">
        <f t="shared" si="10"/>
        <v/>
      </c>
      <c r="G35" s="26" t="str">
        <f t="shared" si="10"/>
        <v/>
      </c>
      <c r="H35" s="26">
        <f t="shared" si="10"/>
        <v>1.5</v>
      </c>
      <c r="I35" s="26">
        <f t="shared" si="10"/>
        <v>1.5</v>
      </c>
      <c r="J35" s="26">
        <f t="shared" si="10"/>
        <v>1.5</v>
      </c>
      <c r="K35" s="26">
        <f t="shared" si="10"/>
        <v>1.5</v>
      </c>
      <c r="L35" s="26">
        <f t="shared" si="10"/>
        <v>1.5</v>
      </c>
    </row>
    <row r="36" spans="1:13" x14ac:dyDescent="0.35">
      <c r="A36" s="1" t="s">
        <v>152</v>
      </c>
      <c r="B36" s="1"/>
      <c r="C36" s="15">
        <f>IF(C$22&lt;&gt;"",C22-C35/2,"")</f>
        <v>9.75</v>
      </c>
      <c r="D36" s="15">
        <f t="shared" ref="D36:L36" si="11">IF(D$22&lt;&gt;"",D22-D35/2,"")</f>
        <v>9.75</v>
      </c>
      <c r="E36" s="15" t="str">
        <f t="shared" si="11"/>
        <v/>
      </c>
      <c r="F36" s="15" t="str">
        <f t="shared" si="11"/>
        <v/>
      </c>
      <c r="G36" s="15" t="str">
        <f t="shared" si="11"/>
        <v/>
      </c>
      <c r="H36" s="15">
        <f t="shared" si="11"/>
        <v>-0.75</v>
      </c>
      <c r="I36" s="15">
        <f t="shared" si="11"/>
        <v>-0.75</v>
      </c>
      <c r="J36" s="15">
        <f t="shared" si="11"/>
        <v>-0.75</v>
      </c>
      <c r="K36" s="15">
        <f t="shared" si="11"/>
        <v>-0.75</v>
      </c>
      <c r="L36" s="15">
        <f t="shared" si="11"/>
        <v>-0.75</v>
      </c>
    </row>
    <row r="37" spans="1:13" x14ac:dyDescent="0.35">
      <c r="A37" t="s">
        <v>0</v>
      </c>
      <c r="B37" s="25"/>
      <c r="C37" s="15">
        <f>IF(C22&lt;&gt;"",MAX(0,C36-C38),"")</f>
        <v>2.25</v>
      </c>
      <c r="D37" s="15">
        <f t="shared" ref="D37:L37" si="12">IF(D22&lt;&gt;"",MAX(0,D36-D38),"")</f>
        <v>2.25</v>
      </c>
      <c r="E37" s="15" t="str">
        <f t="shared" si="12"/>
        <v/>
      </c>
      <c r="F37" s="15" t="str">
        <f t="shared" si="12"/>
        <v/>
      </c>
      <c r="G37" s="15" t="str">
        <f t="shared" si="12"/>
        <v/>
      </c>
      <c r="H37" s="15">
        <f t="shared" si="12"/>
        <v>0</v>
      </c>
      <c r="I37" s="15">
        <f t="shared" si="12"/>
        <v>0</v>
      </c>
      <c r="J37" s="15">
        <f t="shared" si="12"/>
        <v>0</v>
      </c>
      <c r="K37" s="15">
        <f t="shared" si="12"/>
        <v>0</v>
      </c>
      <c r="L37" s="15">
        <f t="shared" si="12"/>
        <v>0</v>
      </c>
    </row>
    <row r="38" spans="1:13" x14ac:dyDescent="0.35">
      <c r="A38" t="s">
        <v>1</v>
      </c>
      <c r="B38" s="46">
        <v>7.5</v>
      </c>
      <c r="C38" s="15">
        <f>IF(C22&lt;&gt;"",IF(C36&gt;$B38,$B38,C36),"")</f>
        <v>7.5</v>
      </c>
      <c r="D38" s="15">
        <f t="shared" ref="D38:L38" si="13">IF(D22&lt;&gt;"",IF(D36&gt;$B38,$B38,D36),"")</f>
        <v>7.5</v>
      </c>
      <c r="E38" s="15" t="str">
        <f t="shared" si="13"/>
        <v/>
      </c>
      <c r="F38" s="15" t="str">
        <f t="shared" si="13"/>
        <v/>
      </c>
      <c r="G38" s="15" t="str">
        <f t="shared" si="13"/>
        <v/>
      </c>
      <c r="H38" s="15">
        <f t="shared" si="13"/>
        <v>-0.75</v>
      </c>
      <c r="I38" s="15">
        <f t="shared" si="13"/>
        <v>-0.75</v>
      </c>
      <c r="J38" s="15">
        <f t="shared" si="13"/>
        <v>-0.75</v>
      </c>
      <c r="K38" s="15">
        <f t="shared" si="13"/>
        <v>-0.75</v>
      </c>
      <c r="L38" s="15">
        <f t="shared" si="13"/>
        <v>-0.75</v>
      </c>
    </row>
    <row r="39" spans="1:13" x14ac:dyDescent="0.35">
      <c r="A39" s="1" t="s">
        <v>116</v>
      </c>
      <c r="C39"/>
    </row>
    <row r="40" spans="1:13" x14ac:dyDescent="0.35">
      <c r="A40" s="33" t="s">
        <v>114</v>
      </c>
      <c r="B40" s="1"/>
      <c r="C40" s="26">
        <v>0.25</v>
      </c>
      <c r="D40" s="26">
        <v>0.5</v>
      </c>
      <c r="E40" s="26">
        <v>0.75</v>
      </c>
      <c r="F40" s="26">
        <v>1</v>
      </c>
      <c r="G40" s="26"/>
      <c r="H40" s="26"/>
      <c r="I40" s="26"/>
      <c r="J40" s="26"/>
      <c r="K40" s="26"/>
      <c r="L40" s="26"/>
    </row>
    <row r="41" spans="1:13" x14ac:dyDescent="0.35">
      <c r="A41" s="33" t="s">
        <v>115</v>
      </c>
      <c r="B41" s="1"/>
      <c r="C41" s="32">
        <f>350*C40</f>
        <v>87.5</v>
      </c>
      <c r="D41" s="32">
        <f>350*D40</f>
        <v>175</v>
      </c>
      <c r="E41" s="32">
        <f>350*E40</f>
        <v>262.5</v>
      </c>
      <c r="F41" s="32">
        <f>350*F40</f>
        <v>350</v>
      </c>
      <c r="G41" s="32"/>
      <c r="H41" s="32"/>
      <c r="I41" s="32"/>
      <c r="J41" s="32"/>
      <c r="K41" s="32"/>
      <c r="L41" s="32"/>
      <c r="M41" s="34">
        <f>SUM(C41:L41)</f>
        <v>875</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12.467257133649303</v>
      </c>
      <c r="D45" s="15">
        <f t="shared" ref="D45:L45" si="14">IF(D$22&lt;&gt;"",D25+D37-D32-D40,"")</f>
        <v>9.7379530056241546</v>
      </c>
      <c r="E45" s="15" t="str">
        <f t="shared" si="14"/>
        <v/>
      </c>
      <c r="F45" s="15" t="str">
        <f>IF(F$22&lt;&gt;"",F25+F37-F32-F40,"")</f>
        <v/>
      </c>
      <c r="G45" s="15" t="str">
        <f t="shared" si="14"/>
        <v/>
      </c>
      <c r="H45" s="15" t="e">
        <f t="shared" si="14"/>
        <v>#VALUE!</v>
      </c>
      <c r="I45" s="15" t="e">
        <f t="shared" si="14"/>
        <v>#VALUE!</v>
      </c>
      <c r="J45" s="15" t="e">
        <f t="shared" si="14"/>
        <v>#VALUE!</v>
      </c>
      <c r="K45" s="15" t="e">
        <f t="shared" si="14"/>
        <v>#VALUE!</v>
      </c>
      <c r="L45" s="15" t="e">
        <f t="shared" si="14"/>
        <v>#VALUE!</v>
      </c>
    </row>
    <row r="46" spans="1:13" x14ac:dyDescent="0.35">
      <c r="A46" t="s">
        <v>3</v>
      </c>
      <c r="C46" s="15">
        <f>IF(C$22&lt;&gt;"",C26+C38-C33+C40+C42+C23-C35/2,"")</f>
        <v>17.410845186350727</v>
      </c>
      <c r="D46" s="15">
        <f t="shared" ref="D46:L46" si="15">IF(D$22&lt;&gt;"",D26+D38-D33+D40+D42+D23-D35/2,"")</f>
        <v>17.645163235876481</v>
      </c>
      <c r="E46" s="15" t="str">
        <f t="shared" si="15"/>
        <v/>
      </c>
      <c r="F46" s="15" t="str">
        <f t="shared" si="15"/>
        <v/>
      </c>
      <c r="G46" s="15" t="str">
        <f t="shared" si="15"/>
        <v/>
      </c>
      <c r="H46" s="15" t="e">
        <f t="shared" si="15"/>
        <v>#VALUE!</v>
      </c>
      <c r="I46" s="15" t="e">
        <f t="shared" si="15"/>
        <v>#VALUE!</v>
      </c>
      <c r="J46" s="15" t="e">
        <f t="shared" si="15"/>
        <v>#VALUE!</v>
      </c>
      <c r="K46" s="15" t="e">
        <f t="shared" si="15"/>
        <v>#VALUE!</v>
      </c>
      <c r="L46" s="15" t="e">
        <f t="shared" si="15"/>
        <v>#VALUE!</v>
      </c>
    </row>
    <row r="47" spans="1:13" x14ac:dyDescent="0.35">
      <c r="A47" t="s">
        <v>4</v>
      </c>
      <c r="C47" s="15">
        <f>IF(C$22&lt;&gt;"",C27+C35-C34-C42,"")</f>
        <v>1.5</v>
      </c>
      <c r="D47" s="15">
        <f t="shared" ref="D47:L47" si="16">IF(D$22&lt;&gt;"",D27+D35-D34-D42,"")</f>
        <v>1.5</v>
      </c>
      <c r="E47" s="15" t="str">
        <f t="shared" si="16"/>
        <v/>
      </c>
      <c r="F47" s="15" t="str">
        <f t="shared" si="16"/>
        <v/>
      </c>
      <c r="G47" s="15" t="str">
        <f t="shared" si="16"/>
        <v/>
      </c>
      <c r="H47" s="15" t="e">
        <f t="shared" si="16"/>
        <v>#VALUE!</v>
      </c>
      <c r="I47" s="15" t="e">
        <f t="shared" si="16"/>
        <v>#VALUE!</v>
      </c>
      <c r="J47" s="15" t="e">
        <f t="shared" si="16"/>
        <v>#VALUE!</v>
      </c>
      <c r="K47" s="15" t="e">
        <f t="shared" si="16"/>
        <v>#VALUE!</v>
      </c>
      <c r="L47" s="15" t="e">
        <f t="shared" si="16"/>
        <v>#VALUE!</v>
      </c>
    </row>
    <row r="48" spans="1:13" x14ac:dyDescent="0.35">
      <c r="A48" s="1" t="s">
        <v>153</v>
      </c>
      <c r="B48" s="1"/>
      <c r="C48" s="30"/>
      <c r="D48" s="2"/>
      <c r="E48" s="2"/>
      <c r="F48" s="2"/>
      <c r="G48" s="2"/>
      <c r="H48" s="2"/>
      <c r="I48" s="2"/>
      <c r="J48" s="2"/>
      <c r="K48" s="2"/>
      <c r="L48" s="2"/>
    </row>
    <row r="49" spans="1:18" x14ac:dyDescent="0.35">
      <c r="A49" t="s">
        <v>154</v>
      </c>
      <c r="C49" s="26">
        <f>4.3-C40</f>
        <v>4.05</v>
      </c>
      <c r="D49" s="26">
        <f>4.3-D40</f>
        <v>3.8</v>
      </c>
      <c r="E49" s="26">
        <f>4.3-E40</f>
        <v>3.55</v>
      </c>
      <c r="F49" s="26">
        <f>4.3-F40</f>
        <v>3.3</v>
      </c>
      <c r="G49" s="26">
        <v>2</v>
      </c>
      <c r="H49" s="26">
        <v>2</v>
      </c>
      <c r="I49" s="26">
        <v>2</v>
      </c>
      <c r="J49" s="26">
        <v>2</v>
      </c>
      <c r="K49" s="26">
        <v>2</v>
      </c>
      <c r="L49" s="26">
        <v>2</v>
      </c>
      <c r="N49" s="1" t="s">
        <v>146</v>
      </c>
    </row>
    <row r="50" spans="1:18" x14ac:dyDescent="0.35">
      <c r="A50" t="s">
        <v>155</v>
      </c>
      <c r="C50" s="45">
        <v>6.7</v>
      </c>
      <c r="D50" s="45">
        <f>C50</f>
        <v>6.7</v>
      </c>
      <c r="E50" s="45">
        <f t="shared" ref="E50:L50" si="17">D50</f>
        <v>6.7</v>
      </c>
      <c r="F50" s="45">
        <f t="shared" si="17"/>
        <v>6.7</v>
      </c>
      <c r="G50" s="45">
        <f t="shared" si="17"/>
        <v>6.7</v>
      </c>
      <c r="H50" s="45">
        <f t="shared" si="17"/>
        <v>6.7</v>
      </c>
      <c r="I50" s="45">
        <f t="shared" si="17"/>
        <v>6.7</v>
      </c>
      <c r="J50" s="45">
        <f t="shared" si="17"/>
        <v>6.7</v>
      </c>
      <c r="K50" s="45">
        <f t="shared" si="17"/>
        <v>6.7</v>
      </c>
      <c r="L50" s="45">
        <f t="shared" si="17"/>
        <v>6.7</v>
      </c>
      <c r="N50" s="39" t="s">
        <v>147</v>
      </c>
      <c r="O50" s="39" t="s">
        <v>148</v>
      </c>
      <c r="P50" s="40" t="s">
        <v>149</v>
      </c>
      <c r="Q50" s="40" t="s">
        <v>150</v>
      </c>
      <c r="R50" s="39" t="s">
        <v>151</v>
      </c>
    </row>
    <row r="51" spans="1:18" x14ac:dyDescent="0.35">
      <c r="A51" t="s">
        <v>156</v>
      </c>
      <c r="C51" s="12">
        <f>IF(C$22&lt;&gt;"",0.6,"")</f>
        <v>0.6</v>
      </c>
      <c r="D51" s="12">
        <f t="shared" ref="D51:L51" si="18">IF(D$22&lt;&gt;"",0.6,"")</f>
        <v>0.6</v>
      </c>
      <c r="E51" s="12" t="str">
        <f t="shared" si="18"/>
        <v/>
      </c>
      <c r="F51" s="12" t="str">
        <f t="shared" si="18"/>
        <v/>
      </c>
      <c r="G51" s="12" t="str">
        <f t="shared" si="18"/>
        <v/>
      </c>
      <c r="H51" s="12">
        <f t="shared" si="18"/>
        <v>0.6</v>
      </c>
      <c r="I51" s="12">
        <f t="shared" si="18"/>
        <v>0.6</v>
      </c>
      <c r="J51" s="12">
        <f t="shared" si="18"/>
        <v>0.6</v>
      </c>
      <c r="K51" s="12">
        <f t="shared" si="18"/>
        <v>0.6</v>
      </c>
      <c r="L51" s="12">
        <f t="shared" si="18"/>
        <v>0.6</v>
      </c>
      <c r="N51" s="41">
        <v>1025</v>
      </c>
      <c r="O51" s="42">
        <v>5.981122</v>
      </c>
      <c r="P51" s="43">
        <f t="shared" ref="P51:P58" si="19">R51-Q51</f>
        <v>1.2</v>
      </c>
      <c r="Q51" s="44">
        <v>0.125</v>
      </c>
      <c r="R51" s="43">
        <v>1.325</v>
      </c>
    </row>
    <row r="52" spans="1:18" x14ac:dyDescent="0.35">
      <c r="A52" t="s">
        <v>157</v>
      </c>
      <c r="C52" s="26">
        <v>1.5</v>
      </c>
      <c r="D52" s="26">
        <v>1.5</v>
      </c>
      <c r="E52" s="26">
        <v>1.5</v>
      </c>
      <c r="F52" s="26">
        <v>1.5</v>
      </c>
      <c r="G52" s="26">
        <v>1.5</v>
      </c>
      <c r="H52" s="26">
        <v>1.5</v>
      </c>
      <c r="I52" s="26">
        <v>1.5</v>
      </c>
      <c r="J52" s="26">
        <v>1.5</v>
      </c>
      <c r="K52" s="26">
        <v>1.5</v>
      </c>
      <c r="L52" s="26">
        <v>1.5</v>
      </c>
      <c r="N52" s="41">
        <v>1030</v>
      </c>
      <c r="O52" s="42">
        <v>6.305377</v>
      </c>
      <c r="P52" s="43">
        <f t="shared" si="19"/>
        <v>1.117</v>
      </c>
      <c r="Q52" s="44">
        <v>7.0000000000000007E-2</v>
      </c>
      <c r="R52" s="43">
        <v>1.1870000000000001</v>
      </c>
    </row>
    <row r="53" spans="1:18" x14ac:dyDescent="0.35">
      <c r="A53" s="1" t="s">
        <v>158</v>
      </c>
      <c r="B53" s="1"/>
      <c r="D53" s="2"/>
      <c r="E53" s="2"/>
      <c r="F53" s="2"/>
      <c r="G53" s="2"/>
      <c r="H53" s="2"/>
      <c r="I53" s="2"/>
      <c r="J53" s="2"/>
      <c r="K53" s="2"/>
      <c r="L53" s="2"/>
      <c r="N53" s="41">
        <v>1035</v>
      </c>
      <c r="O53" s="42">
        <v>6.6375080000000004</v>
      </c>
      <c r="P53" s="43">
        <f t="shared" si="19"/>
        <v>1.0669999999999999</v>
      </c>
      <c r="Q53" s="44">
        <v>7.0000000000000007E-2</v>
      </c>
      <c r="R53" s="43">
        <v>1.137</v>
      </c>
    </row>
    <row r="54" spans="1:18" x14ac:dyDescent="0.35">
      <c r="A54" t="s">
        <v>2</v>
      </c>
      <c r="C54" s="15">
        <f>IF(C$22&lt;&gt;"",C45-C49,"")</f>
        <v>8.4172571336493043</v>
      </c>
      <c r="D54" s="15">
        <f t="shared" ref="D54:L54" si="20">IF(D$22&lt;&gt;"",D45-D49,"")</f>
        <v>5.9379530056241547</v>
      </c>
      <c r="E54" s="15" t="str">
        <f t="shared" si="20"/>
        <v/>
      </c>
      <c r="F54" s="15" t="str">
        <f t="shared" si="20"/>
        <v/>
      </c>
      <c r="G54" s="15" t="str">
        <f t="shared" si="20"/>
        <v/>
      </c>
      <c r="H54" s="15" t="e">
        <f t="shared" si="20"/>
        <v>#VALUE!</v>
      </c>
      <c r="I54" s="15" t="e">
        <f t="shared" si="20"/>
        <v>#VALUE!</v>
      </c>
      <c r="J54" s="15" t="e">
        <f t="shared" si="20"/>
        <v>#VALUE!</v>
      </c>
      <c r="K54" s="15" t="e">
        <f t="shared" si="20"/>
        <v>#VALUE!</v>
      </c>
      <c r="L54" s="15" t="e">
        <f t="shared" si="20"/>
        <v>#VALUE!</v>
      </c>
      <c r="N54" s="41">
        <v>1040</v>
      </c>
      <c r="O54" s="42">
        <v>6.977665</v>
      </c>
      <c r="P54" s="43">
        <f t="shared" si="19"/>
        <v>1.0169999999999999</v>
      </c>
      <c r="Q54" s="44">
        <v>7.0000000000000007E-2</v>
      </c>
      <c r="R54" s="43">
        <v>1.087</v>
      </c>
    </row>
    <row r="55" spans="1:18" x14ac:dyDescent="0.35">
      <c r="A55" t="s">
        <v>3</v>
      </c>
      <c r="C55" s="15">
        <f>IF(C$22&lt;&gt;"",C46-C50-C51,"")</f>
        <v>10.110845186350728</v>
      </c>
      <c r="D55" s="15">
        <f t="shared" ref="D55:L55" si="21">IF(D$22&lt;&gt;"",D46-D50-D51,"")</f>
        <v>10.345163235876482</v>
      </c>
      <c r="E55" s="15" t="str">
        <f t="shared" si="21"/>
        <v/>
      </c>
      <c r="F55" s="15" t="str">
        <f t="shared" si="21"/>
        <v/>
      </c>
      <c r="G55" s="15" t="str">
        <f t="shared" si="21"/>
        <v/>
      </c>
      <c r="H55" s="15" t="e">
        <f t="shared" si="21"/>
        <v>#VALUE!</v>
      </c>
      <c r="I55" s="15" t="e">
        <f t="shared" si="21"/>
        <v>#VALUE!</v>
      </c>
      <c r="J55" s="15" t="e">
        <f t="shared" si="21"/>
        <v>#VALUE!</v>
      </c>
      <c r="K55" s="15" t="e">
        <f t="shared" si="21"/>
        <v>#VALUE!</v>
      </c>
      <c r="L55" s="15" t="e">
        <f t="shared" si="21"/>
        <v>#VALUE!</v>
      </c>
      <c r="N55" s="41">
        <v>1045</v>
      </c>
      <c r="O55" s="42">
        <v>7.3260519999999998</v>
      </c>
      <c r="P55" s="43">
        <f t="shared" si="19"/>
        <v>0.96699999999999986</v>
      </c>
      <c r="Q55" s="44">
        <v>7.0000000000000007E-2</v>
      </c>
      <c r="R55" s="43">
        <v>1.0369999999999999</v>
      </c>
    </row>
    <row r="56" spans="1:18" x14ac:dyDescent="0.35">
      <c r="A56" t="s">
        <v>4</v>
      </c>
      <c r="C56" s="15">
        <f>IF(C$22&lt;&gt;"",C47-C52,"")</f>
        <v>0</v>
      </c>
      <c r="D56" s="15">
        <f t="shared" ref="D56:L56" si="22">IF(D$22&lt;&gt;"",D47-D52,"")</f>
        <v>0</v>
      </c>
      <c r="E56" s="15" t="str">
        <f t="shared" si="22"/>
        <v/>
      </c>
      <c r="F56" s="15" t="str">
        <f t="shared" si="22"/>
        <v/>
      </c>
      <c r="G56" s="15" t="str">
        <f t="shared" si="22"/>
        <v/>
      </c>
      <c r="H56" s="15" t="e">
        <f t="shared" si="22"/>
        <v>#VALUE!</v>
      </c>
      <c r="I56" s="15" t="e">
        <f t="shared" si="22"/>
        <v>#VALUE!</v>
      </c>
      <c r="J56" s="15" t="e">
        <f t="shared" si="22"/>
        <v>#VALUE!</v>
      </c>
      <c r="K56" s="15" t="e">
        <f t="shared" si="22"/>
        <v>#VALUE!</v>
      </c>
      <c r="L56" s="15" t="e">
        <f t="shared" si="22"/>
        <v>#VALUE!</v>
      </c>
      <c r="N56" s="41">
        <v>1050</v>
      </c>
      <c r="O56" s="42">
        <v>7.6828779999999997</v>
      </c>
      <c r="P56" s="43">
        <f t="shared" si="19"/>
        <v>0.71700000000000008</v>
      </c>
      <c r="Q56" s="44">
        <v>7.0000000000000007E-2</v>
      </c>
      <c r="R56" s="43">
        <v>0.78700000000000003</v>
      </c>
    </row>
    <row r="57" spans="1:18" x14ac:dyDescent="0.35">
      <c r="A57" s="1" t="s">
        <v>142</v>
      </c>
      <c r="B57" s="1"/>
      <c r="C57" s="15">
        <f>IF(C$22&lt;&gt;"",SUM(C54:C56),"")</f>
        <v>18.528102320000031</v>
      </c>
      <c r="D57" s="15">
        <f t="shared" ref="D57:L57" si="23">IF(D$22&lt;&gt;"",SUM(D54:D56),"")</f>
        <v>16.283116241500636</v>
      </c>
      <c r="E57" s="15" t="str">
        <f t="shared" si="23"/>
        <v/>
      </c>
      <c r="F57" s="15" t="str">
        <f t="shared" si="23"/>
        <v/>
      </c>
      <c r="G57" s="15" t="str">
        <f t="shared" si="23"/>
        <v/>
      </c>
      <c r="H57" s="15" t="e">
        <f t="shared" si="23"/>
        <v>#VALUE!</v>
      </c>
      <c r="I57" s="15" t="e">
        <f t="shared" si="23"/>
        <v>#VALUE!</v>
      </c>
      <c r="J57" s="15" t="e">
        <f t="shared" si="23"/>
        <v>#VALUE!</v>
      </c>
      <c r="K57" s="15" t="e">
        <f t="shared" si="23"/>
        <v>#VALUE!</v>
      </c>
      <c r="L57" s="15" t="e">
        <f t="shared" si="23"/>
        <v>#VALUE!</v>
      </c>
      <c r="N57" s="41">
        <v>1075</v>
      </c>
      <c r="O57" s="42">
        <v>9.6009879999900001</v>
      </c>
      <c r="P57" s="43">
        <f t="shared" si="19"/>
        <v>0.63300000000000001</v>
      </c>
      <c r="Q57" s="44">
        <v>0.05</v>
      </c>
      <c r="R57" s="43">
        <v>0.68300000000000005</v>
      </c>
    </row>
    <row r="58" spans="1:18" x14ac:dyDescent="0.35">
      <c r="N58" s="41">
        <v>1090</v>
      </c>
      <c r="O58" s="42">
        <v>10.857008</v>
      </c>
      <c r="P58" s="43">
        <f t="shared" si="19"/>
        <v>0.3</v>
      </c>
      <c r="Q58" s="40"/>
      <c r="R58" s="43">
        <v>0.3</v>
      </c>
    </row>
    <row r="59" spans="1:18" x14ac:dyDescent="0.35">
      <c r="A59" s="1" t="s">
        <v>144</v>
      </c>
      <c r="C59" s="12">
        <f>IF(C$22&lt;&gt;"",0.2,"")</f>
        <v>0.2</v>
      </c>
      <c r="D59" s="12">
        <f t="shared" ref="D59:L59" si="24">IF(D$22&lt;&gt;"",0.2,"")</f>
        <v>0.2</v>
      </c>
      <c r="E59" s="12" t="str">
        <f t="shared" si="24"/>
        <v/>
      </c>
      <c r="F59" s="12" t="str">
        <f t="shared" si="24"/>
        <v/>
      </c>
      <c r="G59" s="12" t="str">
        <f t="shared" si="24"/>
        <v/>
      </c>
      <c r="H59" s="12">
        <f t="shared" si="24"/>
        <v>0.2</v>
      </c>
      <c r="I59" s="12">
        <f t="shared" si="24"/>
        <v>0.2</v>
      </c>
      <c r="J59" s="12">
        <f t="shared" si="24"/>
        <v>0.2</v>
      </c>
      <c r="K59" s="12">
        <f t="shared" si="24"/>
        <v>0.2</v>
      </c>
      <c r="L59" s="12">
        <f t="shared" si="24"/>
        <v>0.2</v>
      </c>
    </row>
    <row r="60" spans="1:18" x14ac:dyDescent="0.35">
      <c r="A60" t="s">
        <v>145</v>
      </c>
      <c r="C60" s="15">
        <f>IF(C$22&lt;&gt;"",C50+C59,"")</f>
        <v>6.9</v>
      </c>
      <c r="D60" s="15">
        <f t="shared" ref="D60:L60" si="25">IF(D$22&lt;&gt;"",D50+D59,"")</f>
        <v>6.9</v>
      </c>
      <c r="E60" s="15" t="str">
        <f t="shared" si="25"/>
        <v/>
      </c>
      <c r="F60" s="15" t="str">
        <f t="shared" si="25"/>
        <v/>
      </c>
      <c r="G60" s="15" t="str">
        <f t="shared" si="25"/>
        <v/>
      </c>
      <c r="H60" s="15">
        <f t="shared" si="25"/>
        <v>6.9</v>
      </c>
      <c r="I60" s="15">
        <f t="shared" si="25"/>
        <v>6.9</v>
      </c>
      <c r="J60" s="15">
        <f t="shared" si="25"/>
        <v>6.9</v>
      </c>
      <c r="K60" s="15">
        <f t="shared" si="25"/>
        <v>6.9</v>
      </c>
      <c r="L60" s="15">
        <f t="shared" si="25"/>
        <v>6.9</v>
      </c>
    </row>
    <row r="62" spans="1:18" x14ac:dyDescent="0.35">
      <c r="D62" s="19"/>
    </row>
  </sheetData>
  <mergeCells count="4">
    <mergeCell ref="C5:H5"/>
    <mergeCell ref="C6:H6"/>
    <mergeCell ref="C7:H7"/>
    <mergeCell ref="C8:H8"/>
  </mergeCells>
  <conditionalFormatting sqref="C49:L49">
    <cfRule type="cellIs" dxfId="32" priority="32" operator="greaterThan">
      <formula>$C$45</formula>
    </cfRule>
  </conditionalFormatting>
  <conditionalFormatting sqref="C49:F49">
    <cfRule type="cellIs" dxfId="31" priority="31" operator="greaterThan">
      <formula>$C$45</formula>
    </cfRule>
  </conditionalFormatting>
  <conditionalFormatting sqref="E49:F49">
    <cfRule type="cellIs" dxfId="30" priority="30" operator="greaterThan">
      <formula>$E$45</formula>
    </cfRule>
  </conditionalFormatting>
  <conditionalFormatting sqref="D49:F49">
    <cfRule type="cellIs" dxfId="29" priority="29" operator="greaterThan">
      <formula>$D$45</formula>
    </cfRule>
  </conditionalFormatting>
  <conditionalFormatting sqref="F49">
    <cfRule type="cellIs" dxfId="28" priority="28" operator="greaterThan">
      <formula>$F$45</formula>
    </cfRule>
  </conditionalFormatting>
  <conditionalFormatting sqref="G49">
    <cfRule type="cellIs" dxfId="27" priority="27" operator="greaterThan">
      <formula>$G$45</formula>
    </cfRule>
  </conditionalFormatting>
  <conditionalFormatting sqref="H49">
    <cfRule type="cellIs" dxfId="26" priority="26" operator="greaterThan">
      <formula>$H$45</formula>
    </cfRule>
  </conditionalFormatting>
  <conditionalFormatting sqref="I49">
    <cfRule type="cellIs" dxfId="25" priority="25" operator="greaterThan">
      <formula>$I$45</formula>
    </cfRule>
  </conditionalFormatting>
  <conditionalFormatting sqref="J49">
    <cfRule type="cellIs" dxfId="24" priority="24" operator="greaterThan">
      <formula>$J$45</formula>
    </cfRule>
  </conditionalFormatting>
  <conditionalFormatting sqref="K49">
    <cfRule type="cellIs" dxfId="23" priority="23" operator="greaterThan">
      <formula>$K$45</formula>
    </cfRule>
  </conditionalFormatting>
  <conditionalFormatting sqref="L49">
    <cfRule type="cellIs" dxfId="22" priority="22" operator="greaterThan">
      <formula>$L$45</formula>
    </cfRule>
  </conditionalFormatting>
  <conditionalFormatting sqref="C50">
    <cfRule type="cellIs" dxfId="21" priority="21" operator="greaterThan">
      <formula>$C$46</formula>
    </cfRule>
  </conditionalFormatting>
  <conditionalFormatting sqref="D50:L50">
    <cfRule type="cellIs" dxfId="20" priority="20" operator="greaterThan">
      <formula>$D$46</formula>
    </cfRule>
  </conditionalFormatting>
  <conditionalFormatting sqref="E50">
    <cfRule type="cellIs" dxfId="19" priority="19" operator="greaterThan">
      <formula>$E$46</formula>
    </cfRule>
  </conditionalFormatting>
  <conditionalFormatting sqref="F50">
    <cfRule type="cellIs" dxfId="18" priority="18" operator="greaterThan">
      <formula>$F$46</formula>
    </cfRule>
  </conditionalFormatting>
  <conditionalFormatting sqref="G50">
    <cfRule type="cellIs" dxfId="17" priority="17" operator="greaterThan">
      <formula>$G$46</formula>
    </cfRule>
    <cfRule type="cellIs" dxfId="16" priority="16" operator="greaterThan">
      <formula>$G$46</formula>
    </cfRule>
  </conditionalFormatting>
  <conditionalFormatting sqref="H50">
    <cfRule type="cellIs" dxfId="15" priority="15" operator="greaterThan">
      <formula>$H$46</formula>
    </cfRule>
  </conditionalFormatting>
  <conditionalFormatting sqref="I50">
    <cfRule type="cellIs" dxfId="14" priority="14" operator="greaterThan">
      <formula>$I$46</formula>
    </cfRule>
  </conditionalFormatting>
  <conditionalFormatting sqref="J50">
    <cfRule type="cellIs" dxfId="13" priority="13" operator="greaterThan">
      <formula>$J$46</formula>
    </cfRule>
  </conditionalFormatting>
  <conditionalFormatting sqref="K50">
    <cfRule type="cellIs" dxfId="12" priority="12" operator="greaterThan">
      <formula>$K$46</formula>
    </cfRule>
  </conditionalFormatting>
  <conditionalFormatting sqref="L50">
    <cfRule type="cellIs" dxfId="11" priority="11" operator="greaterThan">
      <formula>$L$46</formula>
    </cfRule>
  </conditionalFormatting>
  <conditionalFormatting sqref="C52">
    <cfRule type="cellIs" dxfId="10" priority="10" operator="greaterThan">
      <formula>$C$47</formula>
    </cfRule>
  </conditionalFormatting>
  <conditionalFormatting sqref="D52">
    <cfRule type="cellIs" dxfId="9" priority="9" operator="greaterThan">
      <formula>$D$47</formula>
    </cfRule>
  </conditionalFormatting>
  <conditionalFormatting sqref="E52">
    <cfRule type="cellIs" dxfId="8" priority="8" operator="greaterThan">
      <formula>$E$47</formula>
    </cfRule>
  </conditionalFormatting>
  <conditionalFormatting sqref="F52">
    <cfRule type="cellIs" dxfId="7" priority="7" operator="greaterThan">
      <formula>$F$47</formula>
    </cfRule>
  </conditionalFormatting>
  <conditionalFormatting sqref="G52">
    <cfRule type="cellIs" dxfId="6" priority="6" operator="greaterThan">
      <formula>$G$47</formula>
    </cfRule>
  </conditionalFormatting>
  <conditionalFormatting sqref="H52">
    <cfRule type="cellIs" dxfId="5" priority="5" operator="greaterThan">
      <formula>$H$47</formula>
    </cfRule>
  </conditionalFormatting>
  <conditionalFormatting sqref="I52">
    <cfRule type="cellIs" dxfId="4" priority="4" operator="greaterThan">
      <formula>$I$47</formula>
    </cfRule>
  </conditionalFormatting>
  <conditionalFormatting sqref="J52">
    <cfRule type="cellIs" dxfId="3" priority="3" operator="greaterThan">
      <formula>$J$47</formula>
    </cfRule>
  </conditionalFormatting>
  <conditionalFormatting sqref="K52">
    <cfRule type="cellIs" dxfId="2" priority="2" operator="greaterThan">
      <formula>$K$47</formula>
    </cfRule>
  </conditionalFormatting>
  <conditionalFormatting sqref="L52">
    <cfRule type="cellIs" dxfId="1" priority="1" operator="greaterThan">
      <formula>$L$47</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616F-FCF2-4465-9405-C17989B2BC95}">
  <dimension ref="A1:R62"/>
  <sheetViews>
    <sheetView topLeftCell="A34" zoomScale="150" zoomScaleNormal="150" workbookViewId="0">
      <selection activeCell="A50" sqref="A5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127</v>
      </c>
      <c r="B1" s="1"/>
    </row>
    <row r="2" spans="1:11" x14ac:dyDescent="0.35">
      <c r="A2" s="1"/>
      <c r="B2" s="1"/>
    </row>
    <row r="3" spans="1:11" ht="16.5" customHeight="1" x14ac:dyDescent="0.35">
      <c r="A3" s="27" t="s">
        <v>52</v>
      </c>
      <c r="B3" s="27"/>
      <c r="C3" s="27"/>
      <c r="D3" s="27"/>
      <c r="E3" s="27"/>
      <c r="F3" s="27"/>
      <c r="G3" s="27"/>
      <c r="H3" s="27"/>
      <c r="I3" s="27"/>
      <c r="J3" s="27"/>
      <c r="K3" s="27"/>
    </row>
    <row r="4" spans="1:11" x14ac:dyDescent="0.35">
      <c r="A4" s="18" t="s">
        <v>40</v>
      </c>
      <c r="B4" s="14" t="s">
        <v>44</v>
      </c>
      <c r="C4" s="1" t="s">
        <v>45</v>
      </c>
    </row>
    <row r="5" spans="1:11" x14ac:dyDescent="0.35">
      <c r="A5" s="28" t="s">
        <v>53</v>
      </c>
      <c r="B5" s="36"/>
      <c r="C5" s="61"/>
      <c r="D5" s="61"/>
      <c r="E5" s="61"/>
      <c r="F5" s="61"/>
      <c r="G5" s="61"/>
      <c r="H5" s="61"/>
    </row>
    <row r="6" spans="1:11" x14ac:dyDescent="0.35">
      <c r="A6" s="17" t="s">
        <v>41</v>
      </c>
      <c r="B6" s="36"/>
      <c r="C6" s="61"/>
      <c r="D6" s="61"/>
      <c r="E6" s="61"/>
      <c r="F6" s="61"/>
      <c r="G6" s="61"/>
      <c r="H6" s="61"/>
    </row>
    <row r="7" spans="1:11" x14ac:dyDescent="0.35">
      <c r="A7" s="17" t="s">
        <v>42</v>
      </c>
      <c r="B7" s="36"/>
      <c r="C7" s="61"/>
      <c r="D7" s="61"/>
      <c r="E7" s="61"/>
      <c r="F7" s="61"/>
      <c r="G7" s="61"/>
      <c r="H7" s="61"/>
    </row>
    <row r="8" spans="1:11" x14ac:dyDescent="0.35">
      <c r="A8" s="17" t="s">
        <v>43</v>
      </c>
      <c r="B8" s="36"/>
      <c r="C8" s="61"/>
      <c r="D8" s="61"/>
      <c r="E8" s="61"/>
      <c r="F8" s="61"/>
      <c r="G8" s="61"/>
      <c r="H8" s="61"/>
    </row>
    <row r="9" spans="1:11" x14ac:dyDescent="0.35">
      <c r="A9" s="17"/>
      <c r="B9" s="2"/>
      <c r="C9"/>
    </row>
    <row r="10" spans="1:11" x14ac:dyDescent="0.35">
      <c r="A10" s="20" t="s">
        <v>47</v>
      </c>
      <c r="B10" s="2"/>
      <c r="C10"/>
    </row>
    <row r="11" spans="1:11" x14ac:dyDescent="0.35">
      <c r="A11" s="21" t="s">
        <v>54</v>
      </c>
    </row>
    <row r="12" spans="1:11" x14ac:dyDescent="0.35">
      <c r="A12" s="23" t="s">
        <v>49</v>
      </c>
      <c r="B12" s="20"/>
    </row>
    <row r="13" spans="1:11" x14ac:dyDescent="0.35">
      <c r="A13" s="22" t="s">
        <v>48</v>
      </c>
    </row>
    <row r="15" spans="1:11" x14ac:dyDescent="0.35">
      <c r="A15" s="1" t="s">
        <v>56</v>
      </c>
      <c r="D15" s="21"/>
    </row>
    <row r="17" spans="1:13" x14ac:dyDescent="0.35">
      <c r="A17" s="1" t="s">
        <v>33</v>
      </c>
      <c r="B17" s="1" t="s">
        <v>129</v>
      </c>
      <c r="C17" s="14" t="s">
        <v>130</v>
      </c>
    </row>
    <row r="18" spans="1:13" x14ac:dyDescent="0.35">
      <c r="A18" t="s">
        <v>128</v>
      </c>
      <c r="B18" s="12">
        <v>5.73</v>
      </c>
      <c r="C18" s="12">
        <v>6</v>
      </c>
      <c r="D18" s="24" t="s">
        <v>131</v>
      </c>
    </row>
    <row r="19" spans="1:13" x14ac:dyDescent="0.35">
      <c r="A19" t="s">
        <v>34</v>
      </c>
      <c r="B19" s="12">
        <v>11</v>
      </c>
      <c r="C19" s="12">
        <v>10.1</v>
      </c>
      <c r="D19" s="11" t="s">
        <v>35</v>
      </c>
    </row>
    <row r="21" spans="1:13" s="1" customFormat="1" x14ac:dyDescent="0.35">
      <c r="A21" s="48" t="s">
        <v>36</v>
      </c>
      <c r="B21" s="48" t="s">
        <v>50</v>
      </c>
      <c r="C21" s="49" t="s">
        <v>6</v>
      </c>
      <c r="D21" s="49" t="s">
        <v>7</v>
      </c>
      <c r="E21" s="49" t="s">
        <v>8</v>
      </c>
      <c r="F21" s="49" t="s">
        <v>9</v>
      </c>
      <c r="G21" s="49" t="s">
        <v>10</v>
      </c>
      <c r="H21" s="49" t="s">
        <v>11</v>
      </c>
      <c r="I21" s="49" t="s">
        <v>12</v>
      </c>
      <c r="J21" s="49" t="s">
        <v>13</v>
      </c>
      <c r="K21" s="49" t="s">
        <v>37</v>
      </c>
      <c r="L21" s="49" t="s">
        <v>38</v>
      </c>
      <c r="M21" s="49" t="s">
        <v>119</v>
      </c>
    </row>
    <row r="22" spans="1:13" x14ac:dyDescent="0.35">
      <c r="A22" s="1" t="s">
        <v>46</v>
      </c>
      <c r="B22" s="1"/>
      <c r="C22" s="47">
        <v>12.4</v>
      </c>
      <c r="D22" s="47">
        <v>12.4</v>
      </c>
      <c r="E22" s="47">
        <v>12.4</v>
      </c>
      <c r="F22" s="47">
        <v>12.4</v>
      </c>
      <c r="G22" s="47">
        <v>12.4</v>
      </c>
      <c r="H22" s="47">
        <v>12.4</v>
      </c>
      <c r="I22" s="47">
        <v>12.4</v>
      </c>
      <c r="J22" s="47">
        <v>12.4</v>
      </c>
      <c r="K22" s="47">
        <v>12.4</v>
      </c>
      <c r="L22" s="47">
        <v>12.4</v>
      </c>
    </row>
    <row r="23" spans="1:13" x14ac:dyDescent="0.35">
      <c r="A23" s="1" t="s">
        <v>140</v>
      </c>
      <c r="B23" s="1"/>
      <c r="C23" s="12">
        <f>IF(C$22&lt;&gt;"",0.8,"")</f>
        <v>0.8</v>
      </c>
      <c r="D23" s="12">
        <f t="shared" ref="D23:L23" si="0">IF(D$22&lt;&gt;"",0.8,"")</f>
        <v>0.8</v>
      </c>
      <c r="E23" s="12">
        <f t="shared" si="0"/>
        <v>0.8</v>
      </c>
      <c r="F23" s="12">
        <f t="shared" si="0"/>
        <v>0.8</v>
      </c>
      <c r="G23" s="12">
        <f t="shared" si="0"/>
        <v>0.8</v>
      </c>
      <c r="H23" s="12">
        <f t="shared" si="0"/>
        <v>0.8</v>
      </c>
      <c r="I23" s="12">
        <f t="shared" si="0"/>
        <v>0.8</v>
      </c>
      <c r="J23" s="12">
        <f t="shared" si="0"/>
        <v>0.8</v>
      </c>
      <c r="K23" s="12">
        <f t="shared" si="0"/>
        <v>0.8</v>
      </c>
      <c r="L23" s="12">
        <f t="shared" si="0"/>
        <v>0.8</v>
      </c>
    </row>
    <row r="24" spans="1:13" x14ac:dyDescent="0.35">
      <c r="A24" s="1" t="s">
        <v>143</v>
      </c>
      <c r="B24" s="1"/>
      <c r="C24" s="15">
        <f>IF(C$22&lt;&gt;"",SUM(C25:C27),"")</f>
        <v>21.1</v>
      </c>
      <c r="D24" s="15">
        <f>IF(D$22&lt;&gt;"",C57,"")</f>
        <v>20.111102320000029</v>
      </c>
      <c r="E24" s="15">
        <f t="shared" ref="E24:L24" si="1">IF(E$22&lt;&gt;"",D57,"")</f>
        <v>19.152398230000031</v>
      </c>
      <c r="F24" s="15">
        <f t="shared" si="1"/>
        <v>18.305145995499462</v>
      </c>
      <c r="G24" s="15">
        <f t="shared" si="1"/>
        <v>17.483102955998888</v>
      </c>
      <c r="H24" s="15">
        <f t="shared" si="1"/>
        <v>16.687176630999463</v>
      </c>
      <c r="I24" s="15">
        <f t="shared" si="1"/>
        <v>15.917071501000038</v>
      </c>
      <c r="J24" s="15">
        <f t="shared" si="1"/>
        <v>15.170396558498869</v>
      </c>
      <c r="K24" s="15">
        <f t="shared" si="1"/>
        <v>14.446953803498872</v>
      </c>
      <c r="L24" s="15">
        <f t="shared" si="1"/>
        <v>13.997460283398901</v>
      </c>
    </row>
    <row r="25" spans="1:13" x14ac:dyDescent="0.35">
      <c r="A25" t="s">
        <v>135</v>
      </c>
      <c r="C25" s="15">
        <f>IF(C$22&lt;&gt;"",$B$19,"")</f>
        <v>11</v>
      </c>
      <c r="D25" s="15">
        <f>IF(D22&lt;&gt;"",C54,"")</f>
        <v>10.417257133649304</v>
      </c>
      <c r="E25" s="15">
        <f t="shared" ref="E25:L25" si="2">IF(E22&lt;&gt;"",D54,"")</f>
        <v>9.8535689060404223</v>
      </c>
      <c r="F25" s="15">
        <f t="shared" si="2"/>
        <v>9.3074782482881169</v>
      </c>
      <c r="G25" s="15">
        <f t="shared" si="2"/>
        <v>8.7800101818489402</v>
      </c>
      <c r="H25" s="15">
        <f t="shared" si="2"/>
        <v>8.2715387967094642</v>
      </c>
      <c r="I25" s="15">
        <f t="shared" si="2"/>
        <v>7.7818164481176071</v>
      </c>
      <c r="J25" s="15">
        <f t="shared" si="2"/>
        <v>7.3095679287866249</v>
      </c>
      <c r="K25" s="15">
        <f t="shared" si="2"/>
        <v>6.8546165233148004</v>
      </c>
      <c r="L25" s="15">
        <f t="shared" si="2"/>
        <v>6.417216518429254</v>
      </c>
    </row>
    <row r="26" spans="1:13" x14ac:dyDescent="0.35">
      <c r="A26" t="s">
        <v>136</v>
      </c>
      <c r="C26" s="15">
        <f>IF(C$22&lt;&gt;"",$C$19,"")</f>
        <v>10.1</v>
      </c>
      <c r="D26" s="15">
        <f>IF(D23&lt;&gt;"",C55,"")</f>
        <v>9.6938451863507265</v>
      </c>
      <c r="E26" s="15">
        <f t="shared" ref="E26:L27" si="3">IF(E23&lt;&gt;"",D55,"")</f>
        <v>9.2988293239596107</v>
      </c>
      <c r="F26" s="15">
        <f t="shared" si="3"/>
        <v>8.9976677472113451</v>
      </c>
      <c r="G26" s="15">
        <f t="shared" si="3"/>
        <v>8.7030927741499475</v>
      </c>
      <c r="H26" s="15">
        <f t="shared" si="3"/>
        <v>8.4156378342899991</v>
      </c>
      <c r="I26" s="15">
        <f t="shared" si="3"/>
        <v>8.1352550528824317</v>
      </c>
      <c r="J26" s="15">
        <f t="shared" si="3"/>
        <v>7.8608286297122429</v>
      </c>
      <c r="K26" s="15">
        <f t="shared" si="3"/>
        <v>7.5923372801840703</v>
      </c>
      <c r="L26" s="15">
        <f t="shared" si="3"/>
        <v>7.5802437649696461</v>
      </c>
    </row>
    <row r="27" spans="1:13" x14ac:dyDescent="0.35">
      <c r="A27" t="s">
        <v>32</v>
      </c>
      <c r="C27" s="15">
        <f>IF(C22&lt;&gt;"",0,"")</f>
        <v>0</v>
      </c>
      <c r="D27" s="15">
        <f>IF(D24&lt;&gt;"",C56,"")</f>
        <v>0</v>
      </c>
      <c r="E27" s="15">
        <f t="shared" si="3"/>
        <v>0</v>
      </c>
      <c r="F27" s="15">
        <f t="shared" si="3"/>
        <v>0</v>
      </c>
      <c r="G27" s="15">
        <f t="shared" si="3"/>
        <v>0</v>
      </c>
      <c r="H27" s="15">
        <f t="shared" si="3"/>
        <v>0</v>
      </c>
      <c r="I27" s="15">
        <f t="shared" si="3"/>
        <v>0</v>
      </c>
      <c r="J27" s="15">
        <f t="shared" si="3"/>
        <v>0</v>
      </c>
      <c r="K27" s="15">
        <f t="shared" si="3"/>
        <v>0</v>
      </c>
      <c r="L27" s="15">
        <f t="shared" si="3"/>
        <v>0</v>
      </c>
    </row>
    <row r="28" spans="1:13" x14ac:dyDescent="0.35">
      <c r="A28" s="1" t="s">
        <v>134</v>
      </c>
      <c r="C28"/>
    </row>
    <row r="29" spans="1:13" x14ac:dyDescent="0.35">
      <c r="A29" t="s">
        <v>132</v>
      </c>
      <c r="B29" s="37">
        <v>0.5</v>
      </c>
      <c r="C29" s="15">
        <f>C25</f>
        <v>11</v>
      </c>
      <c r="D29" s="15">
        <f t="shared" ref="D29:L30" si="4">IF(D22&lt;&gt;"",$B29*D$24,"")</f>
        <v>10.055551160000014</v>
      </c>
      <c r="E29" s="15">
        <f t="shared" si="4"/>
        <v>9.5761991150000156</v>
      </c>
      <c r="F29" s="15">
        <f t="shared" si="4"/>
        <v>9.152572997749731</v>
      </c>
      <c r="G29" s="15">
        <f t="shared" si="4"/>
        <v>8.7415514779994439</v>
      </c>
      <c r="H29" s="15">
        <f t="shared" si="4"/>
        <v>8.3435883154997317</v>
      </c>
      <c r="I29" s="15">
        <f t="shared" si="4"/>
        <v>7.9585357505000189</v>
      </c>
      <c r="J29" s="15">
        <f t="shared" si="4"/>
        <v>7.5851982792494343</v>
      </c>
      <c r="K29" s="15">
        <f t="shared" si="4"/>
        <v>7.2234769017494358</v>
      </c>
      <c r="L29" s="15">
        <f t="shared" si="4"/>
        <v>6.9987301416994505</v>
      </c>
    </row>
    <row r="30" spans="1:13" x14ac:dyDescent="0.35">
      <c r="A30" t="s">
        <v>133</v>
      </c>
      <c r="B30" s="37">
        <f>1-B29</f>
        <v>0.5</v>
      </c>
      <c r="C30" s="15">
        <f>C26</f>
        <v>10.1</v>
      </c>
      <c r="D30" s="15">
        <f t="shared" si="4"/>
        <v>10.055551160000014</v>
      </c>
      <c r="E30" s="15">
        <f t="shared" si="4"/>
        <v>9.5761991150000156</v>
      </c>
      <c r="F30" s="15">
        <f t="shared" si="4"/>
        <v>9.152572997749731</v>
      </c>
      <c r="G30" s="15">
        <f t="shared" si="4"/>
        <v>8.7415514779994439</v>
      </c>
      <c r="H30" s="15">
        <f t="shared" si="4"/>
        <v>8.3435883154997317</v>
      </c>
      <c r="I30" s="15">
        <f t="shared" si="4"/>
        <v>7.9585357505000189</v>
      </c>
      <c r="J30" s="15">
        <f t="shared" si="4"/>
        <v>7.5851982792494343</v>
      </c>
      <c r="K30" s="15">
        <f t="shared" si="4"/>
        <v>7.2234769017494358</v>
      </c>
      <c r="L30" s="15">
        <f t="shared" si="4"/>
        <v>6.9987301416994505</v>
      </c>
    </row>
    <row r="31" spans="1:13" x14ac:dyDescent="0.35">
      <c r="A31" s="1" t="s">
        <v>138</v>
      </c>
      <c r="B31" s="1"/>
      <c r="C31" s="15">
        <f>IF(C$22&lt;&gt;"",VLOOKUP(C29*1000000,'Powell-Elevation-Area'!$B$5:$D$689,3)*$B$18/1000000 + VLOOKUP(C30*1000000,'Mead-Elevation-Area'!$B$5:$D$676,3)*$C$18/1000000,"")</f>
        <v>1.0218976799999733</v>
      </c>
      <c r="D31" s="15">
        <f>IF(D$22&lt;&gt;"",VLOOKUP(D29*1000000,'Powell-Elevation-Area'!$B$5:$D$689,3)*$B$18/1000000 + VLOOKUP(D30*1000000,'Mead-Elevation-Area'!$B$5:$D$676,3)*$C$18/1000000,"")</f>
        <v>0.99170409000000004</v>
      </c>
      <c r="E31" s="15">
        <f>IF(E$22&lt;&gt;"",VLOOKUP(E29*1000000,'Powell-Elevation-Area'!$B$5:$D$689,3)*$B$18/1000000 + VLOOKUP(E30*1000000,'Mead-Elevation-Area'!$B$5:$D$676,3)*$C$18/1000000,"")</f>
        <v>0.96425223450057307</v>
      </c>
      <c r="F31" s="15">
        <f>IF(F$22&lt;&gt;"",VLOOKUP(F29*1000000,'Powell-Elevation-Area'!$B$5:$D$689,3)*$B$18/1000000 + VLOOKUP(F30*1000000,'Mead-Elevation-Area'!$B$5:$D$676,3)*$C$18/1000000,"")</f>
        <v>0.939043039500573</v>
      </c>
      <c r="G31" s="15">
        <f>IF(G$22&lt;&gt;"",VLOOKUP(G29*1000000,'Powell-Elevation-Area'!$B$5:$D$689,3)*$B$18/1000000 + VLOOKUP(G30*1000000,'Mead-Elevation-Area'!$B$5:$D$676,3)*$C$18/1000000,"")</f>
        <v>0.91292632499942705</v>
      </c>
      <c r="H31" s="15">
        <f>IF(H$22&lt;&gt;"",VLOOKUP(H29*1000000,'Powell-Elevation-Area'!$B$5:$D$689,3)*$B$18/1000000 + VLOOKUP(H30*1000000,'Mead-Elevation-Area'!$B$5:$D$676,3)*$C$18/1000000,"")</f>
        <v>0.88710512999942703</v>
      </c>
      <c r="I31" s="15">
        <f>IF(I$22&lt;&gt;"",VLOOKUP(I29*1000000,'Powell-Elevation-Area'!$B$5:$D$689,3)*$B$18/1000000 + VLOOKUP(I30*1000000,'Mead-Elevation-Area'!$B$5:$D$676,3)*$C$18/1000000,"")</f>
        <v>0.86367494250117305</v>
      </c>
      <c r="J31" s="15">
        <f>IF(J$22&lt;&gt;"",VLOOKUP(J29*1000000,'Powell-Elevation-Area'!$B$5:$D$689,3)*$B$18/1000000 + VLOOKUP(J30*1000000,'Mead-Elevation-Area'!$B$5:$D$676,3)*$C$18/1000000,"")</f>
        <v>0.84044275499999999</v>
      </c>
      <c r="K31" s="15">
        <f>IF(K$22&lt;&gt;"",VLOOKUP(K29*1000000,'Powell-Elevation-Area'!$B$5:$D$689,3)*$B$18/1000000 + VLOOKUP(K30*1000000,'Mead-Elevation-Area'!$B$5:$D$676,3)*$C$18/1000000,"")</f>
        <v>0.816493520099973</v>
      </c>
      <c r="L31" s="15">
        <f>IF(L$22&lt;&gt;"",VLOOKUP(L29*1000000,'Powell-Elevation-Area'!$B$5:$D$689,3)*$B$18/1000000 + VLOOKUP(L30*1000000,'Mead-Elevation-Area'!$B$5:$D$676,3)*$C$18/1000000,"")</f>
        <v>0.80186540759997305</v>
      </c>
    </row>
    <row r="32" spans="1:13" x14ac:dyDescent="0.35">
      <c r="A32" t="s">
        <v>111</v>
      </c>
      <c r="B32" s="1"/>
      <c r="C32" s="15">
        <f>IF(C$22&lt;&gt;"",C$31*C25/C$24,"")</f>
        <v>0.5327428663506969</v>
      </c>
      <c r="D32" s="15">
        <f t="shared" ref="D32:L32" si="5">IF(D$22&lt;&gt;"",D$31*D25/D$24,"")</f>
        <v>0.51368822760888211</v>
      </c>
      <c r="E32" s="15">
        <f t="shared" si="5"/>
        <v>0.49609065775230743</v>
      </c>
      <c r="F32" s="15">
        <f t="shared" si="5"/>
        <v>0.47746806643917539</v>
      </c>
      <c r="G32" s="15">
        <f t="shared" si="5"/>
        <v>0.45847138513947755</v>
      </c>
      <c r="H32" s="15">
        <f t="shared" si="5"/>
        <v>0.43972234859185805</v>
      </c>
      <c r="I32" s="15">
        <f t="shared" si="5"/>
        <v>0.42224851933098323</v>
      </c>
      <c r="J32" s="15">
        <f t="shared" si="5"/>
        <v>0.40495140547182634</v>
      </c>
      <c r="K32" s="15">
        <f t="shared" si="5"/>
        <v>0.38740000488554738</v>
      </c>
      <c r="L32" s="15">
        <f t="shared" si="5"/>
        <v>0.36761982781336749</v>
      </c>
    </row>
    <row r="33" spans="1:13" x14ac:dyDescent="0.35">
      <c r="A33" t="s">
        <v>112</v>
      </c>
      <c r="B33" s="1"/>
      <c r="C33" s="15">
        <f>IF(C$22&lt;&gt;"",C$31*C26/C$24,"")</f>
        <v>0.48915481364927621</v>
      </c>
      <c r="D33" s="15">
        <f t="shared" ref="D33:L33" si="6">IF(D$22&lt;&gt;"",D$31*D26/D$24,"")</f>
        <v>0.47801586239111798</v>
      </c>
      <c r="E33" s="15">
        <f t="shared" si="6"/>
        <v>0.46816157674826575</v>
      </c>
      <c r="F33" s="15">
        <f t="shared" si="6"/>
        <v>0.46157497306139766</v>
      </c>
      <c r="G33" s="15">
        <f t="shared" si="6"/>
        <v>0.45445493985994956</v>
      </c>
      <c r="H33" s="15">
        <f t="shared" si="6"/>
        <v>0.44738278140756899</v>
      </c>
      <c r="I33" s="15">
        <f t="shared" si="6"/>
        <v>0.44142642317018987</v>
      </c>
      <c r="J33" s="15">
        <f t="shared" si="6"/>
        <v>0.43549134952817353</v>
      </c>
      <c r="K33" s="15">
        <f t="shared" si="6"/>
        <v>0.42909351521442557</v>
      </c>
      <c r="L33" s="15">
        <f t="shared" si="6"/>
        <v>0.4342455797866055</v>
      </c>
    </row>
    <row r="34" spans="1:13" x14ac:dyDescent="0.35">
      <c r="A34" t="s">
        <v>113</v>
      </c>
      <c r="B34" s="1"/>
      <c r="C34" s="15">
        <f>IF(C$22&lt;&gt;"",C$31*C27/C$24,"")</f>
        <v>0</v>
      </c>
      <c r="D34" s="15">
        <f t="shared" ref="D34:L34" si="7">IF(D$22&lt;&gt;"",D$31*D27/D$24,"")</f>
        <v>0</v>
      </c>
      <c r="E34" s="15">
        <f t="shared" si="7"/>
        <v>0</v>
      </c>
      <c r="F34" s="15">
        <f t="shared" si="7"/>
        <v>0</v>
      </c>
      <c r="G34" s="15">
        <f t="shared" si="7"/>
        <v>0</v>
      </c>
      <c r="H34" s="15">
        <f t="shared" si="7"/>
        <v>0</v>
      </c>
      <c r="I34" s="15">
        <f t="shared" si="7"/>
        <v>0</v>
      </c>
      <c r="J34" s="15">
        <f t="shared" si="7"/>
        <v>0</v>
      </c>
      <c r="K34" s="15">
        <f t="shared" si="7"/>
        <v>0</v>
      </c>
      <c r="L34" s="15">
        <f t="shared" si="7"/>
        <v>0</v>
      </c>
    </row>
    <row r="35" spans="1:13" x14ac:dyDescent="0.35">
      <c r="A35" s="1" t="s">
        <v>137</v>
      </c>
      <c r="B35" s="1"/>
      <c r="C35" s="26">
        <v>1.5</v>
      </c>
      <c r="D35" s="26">
        <f>C35</f>
        <v>1.5</v>
      </c>
      <c r="E35" s="26">
        <f t="shared" ref="E35:L35" si="8">D35</f>
        <v>1.5</v>
      </c>
      <c r="F35" s="26">
        <f t="shared" si="8"/>
        <v>1.5</v>
      </c>
      <c r="G35" s="26">
        <f t="shared" si="8"/>
        <v>1.5</v>
      </c>
      <c r="H35" s="26">
        <f t="shared" si="8"/>
        <v>1.5</v>
      </c>
      <c r="I35" s="26">
        <f t="shared" si="8"/>
        <v>1.5</v>
      </c>
      <c r="J35" s="26">
        <f t="shared" si="8"/>
        <v>1.5</v>
      </c>
      <c r="K35" s="26">
        <f t="shared" si="8"/>
        <v>1.5</v>
      </c>
      <c r="L35" s="26">
        <f t="shared" si="8"/>
        <v>1.5</v>
      </c>
    </row>
    <row r="36" spans="1:13" x14ac:dyDescent="0.35">
      <c r="A36" s="1" t="s">
        <v>152</v>
      </c>
      <c r="B36" s="1"/>
      <c r="C36" s="15">
        <f>IF(C$22&lt;&gt;"",C22-C35/2,"")</f>
        <v>11.65</v>
      </c>
      <c r="D36" s="15">
        <f t="shared" ref="D36:L36" si="9">IF(D$22&lt;&gt;"",D22-D35/2,"")</f>
        <v>11.65</v>
      </c>
      <c r="E36" s="15">
        <f t="shared" si="9"/>
        <v>11.65</v>
      </c>
      <c r="F36" s="15">
        <f t="shared" si="9"/>
        <v>11.65</v>
      </c>
      <c r="G36" s="15">
        <f t="shared" si="9"/>
        <v>11.65</v>
      </c>
      <c r="H36" s="15">
        <f t="shared" si="9"/>
        <v>11.65</v>
      </c>
      <c r="I36" s="15">
        <f t="shared" si="9"/>
        <v>11.65</v>
      </c>
      <c r="J36" s="15">
        <f t="shared" si="9"/>
        <v>11.65</v>
      </c>
      <c r="K36" s="15">
        <f t="shared" si="9"/>
        <v>11.65</v>
      </c>
      <c r="L36" s="15">
        <f t="shared" si="9"/>
        <v>11.65</v>
      </c>
    </row>
    <row r="37" spans="1:13" x14ac:dyDescent="0.35">
      <c r="A37" t="s">
        <v>0</v>
      </c>
      <c r="B37" s="25"/>
      <c r="C37" s="15">
        <f>IF(C21&lt;&gt;"",MAX(0,C36-C38),"")</f>
        <v>4.1500000000000004</v>
      </c>
      <c r="D37" s="15">
        <f t="shared" ref="D37:L37" si="10">IF(D21&lt;&gt;"",MAX(0,D36-D38),"")</f>
        <v>4.1500000000000004</v>
      </c>
      <c r="E37" s="15">
        <f t="shared" si="10"/>
        <v>4.1500000000000004</v>
      </c>
      <c r="F37" s="15">
        <f t="shared" si="10"/>
        <v>4.1500000000000004</v>
      </c>
      <c r="G37" s="15">
        <f t="shared" si="10"/>
        <v>4.1500000000000004</v>
      </c>
      <c r="H37" s="15">
        <f t="shared" si="10"/>
        <v>4.1500000000000004</v>
      </c>
      <c r="I37" s="15">
        <f t="shared" si="10"/>
        <v>4.1500000000000004</v>
      </c>
      <c r="J37" s="15">
        <f t="shared" si="10"/>
        <v>4.1500000000000004</v>
      </c>
      <c r="K37" s="15">
        <f t="shared" si="10"/>
        <v>4.1500000000000004</v>
      </c>
      <c r="L37" s="15">
        <f t="shared" si="10"/>
        <v>4.1500000000000004</v>
      </c>
    </row>
    <row r="38" spans="1:13" x14ac:dyDescent="0.35">
      <c r="A38" t="s">
        <v>1</v>
      </c>
      <c r="B38" s="46">
        <v>7.5</v>
      </c>
      <c r="C38" s="15">
        <f>IF(C22&lt;&gt;"",IF(C36&gt;$B38,$B38,C36),"")</f>
        <v>7.5</v>
      </c>
      <c r="D38" s="15">
        <f t="shared" ref="D38:L38" si="11">IF(D22&lt;&gt;"",IF(D36&gt;$B38,$B38,D36),"")</f>
        <v>7.5</v>
      </c>
      <c r="E38" s="15">
        <f t="shared" si="11"/>
        <v>7.5</v>
      </c>
      <c r="F38" s="15">
        <f t="shared" si="11"/>
        <v>7.5</v>
      </c>
      <c r="G38" s="15">
        <f t="shared" si="11"/>
        <v>7.5</v>
      </c>
      <c r="H38" s="15">
        <f t="shared" si="11"/>
        <v>7.5</v>
      </c>
      <c r="I38" s="15">
        <f t="shared" si="11"/>
        <v>7.5</v>
      </c>
      <c r="J38" s="15">
        <f t="shared" si="11"/>
        <v>7.5</v>
      </c>
      <c r="K38" s="15">
        <f t="shared" si="11"/>
        <v>7.5</v>
      </c>
      <c r="L38" s="15">
        <f t="shared" si="11"/>
        <v>7.5</v>
      </c>
    </row>
    <row r="39" spans="1:13" x14ac:dyDescent="0.35">
      <c r="A39" s="1" t="s">
        <v>116</v>
      </c>
      <c r="C39"/>
    </row>
    <row r="40" spans="1:13" x14ac:dyDescent="0.35">
      <c r="A40" s="33" t="s">
        <v>114</v>
      </c>
      <c r="B40" s="1"/>
      <c r="C40" s="26"/>
      <c r="D40" s="26"/>
      <c r="E40" s="26"/>
      <c r="F40" s="26"/>
      <c r="G40" s="26"/>
      <c r="H40" s="26"/>
      <c r="I40" s="26"/>
      <c r="J40" s="26"/>
      <c r="K40" s="26"/>
      <c r="L40" s="26"/>
    </row>
    <row r="41" spans="1:13" x14ac:dyDescent="0.35">
      <c r="A41" s="33" t="s">
        <v>115</v>
      </c>
      <c r="B41" s="1"/>
      <c r="C41" s="32"/>
      <c r="D41" s="32"/>
      <c r="E41" s="32"/>
      <c r="F41" s="32"/>
      <c r="G41" s="32"/>
      <c r="H41" s="32"/>
      <c r="I41" s="32"/>
      <c r="J41" s="32"/>
      <c r="K41" s="32"/>
      <c r="L41" s="32"/>
      <c r="M41" s="34">
        <f>SUM(C41:L41)</f>
        <v>0</v>
      </c>
    </row>
    <row r="42" spans="1:13" x14ac:dyDescent="0.35">
      <c r="A42" s="33" t="s">
        <v>117</v>
      </c>
      <c r="B42" s="1"/>
      <c r="C42" s="26"/>
      <c r="D42" s="26"/>
      <c r="E42" s="26"/>
      <c r="F42" s="26"/>
      <c r="G42" s="26"/>
      <c r="H42" s="26"/>
      <c r="I42" s="26"/>
      <c r="J42" s="26"/>
      <c r="K42" s="26"/>
      <c r="L42" s="26"/>
      <c r="M42" s="35"/>
    </row>
    <row r="43" spans="1:13" x14ac:dyDescent="0.35">
      <c r="A43" s="33" t="s">
        <v>118</v>
      </c>
      <c r="B43" s="1"/>
      <c r="C43" s="32"/>
      <c r="D43" s="32"/>
      <c r="E43" s="32"/>
      <c r="F43" s="32"/>
      <c r="G43" s="32"/>
      <c r="H43" s="32"/>
      <c r="I43" s="32"/>
      <c r="J43" s="32"/>
      <c r="K43" s="32"/>
      <c r="L43" s="32"/>
      <c r="M43" s="34">
        <f>SUM(C43:L43)</f>
        <v>0</v>
      </c>
    </row>
    <row r="44" spans="1:13" x14ac:dyDescent="0.35">
      <c r="A44" s="1" t="s">
        <v>141</v>
      </c>
      <c r="B44" s="1"/>
      <c r="C44"/>
    </row>
    <row r="45" spans="1:13" x14ac:dyDescent="0.35">
      <c r="A45" t="s">
        <v>2</v>
      </c>
      <c r="C45" s="15">
        <f>IF(C$22&lt;&gt;"",C25+C37-C32-C40,"")</f>
        <v>14.617257133649304</v>
      </c>
      <c r="D45" s="15">
        <f t="shared" ref="D45:L45" si="12">IF(D$22&lt;&gt;"",D25+D37-D32-D40,"")</f>
        <v>14.053568906040422</v>
      </c>
      <c r="E45" s="15">
        <f t="shared" si="12"/>
        <v>13.507478248288116</v>
      </c>
      <c r="F45" s="15">
        <f t="shared" si="12"/>
        <v>12.980010181848941</v>
      </c>
      <c r="G45" s="15">
        <f t="shared" si="12"/>
        <v>12.471538796709464</v>
      </c>
      <c r="H45" s="15">
        <f t="shared" si="12"/>
        <v>11.981816448117607</v>
      </c>
      <c r="I45" s="15">
        <f t="shared" si="12"/>
        <v>11.509567928786625</v>
      </c>
      <c r="J45" s="15">
        <f t="shared" si="12"/>
        <v>11.054616523314801</v>
      </c>
      <c r="K45" s="15">
        <f t="shared" si="12"/>
        <v>10.617216518429254</v>
      </c>
      <c r="L45" s="15">
        <f t="shared" si="12"/>
        <v>10.199596690615888</v>
      </c>
    </row>
    <row r="46" spans="1:13" x14ac:dyDescent="0.35">
      <c r="A46" t="s">
        <v>3</v>
      </c>
      <c r="C46" s="15">
        <f>IF(C$22&lt;&gt;"",C26+C38-C33+C40+C42+C23-C35/2,"")</f>
        <v>17.160845186350727</v>
      </c>
      <c r="D46" s="15">
        <f t="shared" ref="D46:L46" si="13">IF(D$22&lt;&gt;"",D26+D38-D33+D40+D42+D23-D35/2,"")</f>
        <v>16.765829323959611</v>
      </c>
      <c r="E46" s="15">
        <f t="shared" si="13"/>
        <v>16.380667747211344</v>
      </c>
      <c r="F46" s="15">
        <f t="shared" si="13"/>
        <v>16.086092774149947</v>
      </c>
      <c r="G46" s="15">
        <f t="shared" si="13"/>
        <v>15.798637834289998</v>
      </c>
      <c r="H46" s="15">
        <f t="shared" si="13"/>
        <v>15.518255052882431</v>
      </c>
      <c r="I46" s="15">
        <f t="shared" si="13"/>
        <v>15.243828629712242</v>
      </c>
      <c r="J46" s="15">
        <f t="shared" si="13"/>
        <v>14.975337280184069</v>
      </c>
      <c r="K46" s="15">
        <f t="shared" si="13"/>
        <v>14.713243764969645</v>
      </c>
      <c r="L46" s="15">
        <f t="shared" si="13"/>
        <v>14.695998185183042</v>
      </c>
    </row>
    <row r="47" spans="1:13" x14ac:dyDescent="0.35">
      <c r="A47" t="s">
        <v>4</v>
      </c>
      <c r="C47" s="15">
        <f>IF(C$22&lt;&gt;"",C27+C35-C34-C42,"")</f>
        <v>1.5</v>
      </c>
      <c r="D47" s="15">
        <f t="shared" ref="D47:L47" si="14">IF(D$22&lt;&gt;"",D27+D35-D34-D42,"")</f>
        <v>1.5</v>
      </c>
      <c r="E47" s="15">
        <f t="shared" si="14"/>
        <v>1.5</v>
      </c>
      <c r="F47" s="15">
        <f t="shared" si="14"/>
        <v>1.5</v>
      </c>
      <c r="G47" s="15">
        <f t="shared" si="14"/>
        <v>1.5</v>
      </c>
      <c r="H47" s="15">
        <f t="shared" si="14"/>
        <v>1.5</v>
      </c>
      <c r="I47" s="15">
        <f t="shared" si="14"/>
        <v>1.5</v>
      </c>
      <c r="J47" s="15">
        <f t="shared" si="14"/>
        <v>1.5</v>
      </c>
      <c r="K47" s="15">
        <f t="shared" si="14"/>
        <v>1.5</v>
      </c>
      <c r="L47" s="15">
        <f t="shared" si="14"/>
        <v>1.5</v>
      </c>
    </row>
    <row r="48" spans="1:13" x14ac:dyDescent="0.35">
      <c r="A48" s="1" t="s">
        <v>153</v>
      </c>
      <c r="B48" s="1"/>
      <c r="C48" s="30"/>
      <c r="D48" s="2"/>
      <c r="E48" s="2"/>
      <c r="F48" s="2"/>
      <c r="G48" s="2"/>
      <c r="H48" s="2"/>
      <c r="I48" s="2"/>
      <c r="J48" s="2"/>
      <c r="K48" s="2"/>
      <c r="L48" s="2"/>
    </row>
    <row r="49" spans="1:18" x14ac:dyDescent="0.35">
      <c r="A49" t="s">
        <v>154</v>
      </c>
      <c r="C49" s="26">
        <v>4.2</v>
      </c>
      <c r="D49" s="26">
        <f>C49</f>
        <v>4.2</v>
      </c>
      <c r="E49" s="26">
        <f>D49</f>
        <v>4.2</v>
      </c>
      <c r="F49" s="26">
        <f t="shared" ref="F49:L49" si="15">E49</f>
        <v>4.2</v>
      </c>
      <c r="G49" s="26">
        <f t="shared" si="15"/>
        <v>4.2</v>
      </c>
      <c r="H49" s="26">
        <f t="shared" si="15"/>
        <v>4.2</v>
      </c>
      <c r="I49" s="26">
        <f t="shared" si="15"/>
        <v>4.2</v>
      </c>
      <c r="J49" s="26">
        <f t="shared" si="15"/>
        <v>4.2</v>
      </c>
      <c r="K49" s="26">
        <f t="shared" si="15"/>
        <v>4.2</v>
      </c>
      <c r="L49" s="26">
        <f t="shared" si="15"/>
        <v>4.2</v>
      </c>
      <c r="N49" s="1" t="s">
        <v>146</v>
      </c>
    </row>
    <row r="50" spans="1:18" x14ac:dyDescent="0.35">
      <c r="A50" t="s">
        <v>155</v>
      </c>
      <c r="C50" s="45">
        <f>7.5-IF(C26&lt;$O$51,$P$51,IF(C26&lt;=$O$58,VLOOKUP(C26,$O$51:$P$58,2),0))</f>
        <v>6.867</v>
      </c>
      <c r="D50" s="45">
        <f t="shared" ref="D50:L50" si="16">7.5-IF(D26&lt;$O$51,$P$51,IF(D26&lt;=$O$58,VLOOKUP(D26,$O$51:$P$58,2),0))</f>
        <v>6.867</v>
      </c>
      <c r="E50" s="45">
        <f t="shared" si="16"/>
        <v>6.7829999999999995</v>
      </c>
      <c r="F50" s="45">
        <f t="shared" si="16"/>
        <v>6.7829999999999995</v>
      </c>
      <c r="G50" s="45">
        <f t="shared" si="16"/>
        <v>6.7829999999999995</v>
      </c>
      <c r="H50" s="45">
        <f t="shared" si="16"/>
        <v>6.7829999999999995</v>
      </c>
      <c r="I50" s="45">
        <f t="shared" si="16"/>
        <v>6.7829999999999995</v>
      </c>
      <c r="J50" s="45">
        <f t="shared" si="16"/>
        <v>6.7829999999999995</v>
      </c>
      <c r="K50" s="45">
        <f t="shared" si="16"/>
        <v>6.5330000000000004</v>
      </c>
      <c r="L50" s="45">
        <f t="shared" si="16"/>
        <v>6.5330000000000004</v>
      </c>
      <c r="N50" s="39" t="s">
        <v>147</v>
      </c>
      <c r="O50" s="39" t="s">
        <v>148</v>
      </c>
      <c r="P50" s="40" t="s">
        <v>149</v>
      </c>
      <c r="Q50" s="40" t="s">
        <v>150</v>
      </c>
      <c r="R50" s="39" t="s">
        <v>151</v>
      </c>
    </row>
    <row r="51" spans="1:18" x14ac:dyDescent="0.35">
      <c r="A51" t="s">
        <v>156</v>
      </c>
      <c r="C51" s="12">
        <f>IF(C$22&lt;&gt;"",0.6,"")</f>
        <v>0.6</v>
      </c>
      <c r="D51" s="12">
        <f t="shared" ref="D51:L51" si="17">IF(D$22&lt;&gt;"",0.6,"")</f>
        <v>0.6</v>
      </c>
      <c r="E51" s="12">
        <f t="shared" si="17"/>
        <v>0.6</v>
      </c>
      <c r="F51" s="12">
        <f t="shared" si="17"/>
        <v>0.6</v>
      </c>
      <c r="G51" s="12">
        <f t="shared" si="17"/>
        <v>0.6</v>
      </c>
      <c r="H51" s="12">
        <f t="shared" si="17"/>
        <v>0.6</v>
      </c>
      <c r="I51" s="12">
        <f t="shared" si="17"/>
        <v>0.6</v>
      </c>
      <c r="J51" s="12">
        <f t="shared" si="17"/>
        <v>0.6</v>
      </c>
      <c r="K51" s="12">
        <f t="shared" si="17"/>
        <v>0.6</v>
      </c>
      <c r="L51" s="12">
        <f t="shared" si="17"/>
        <v>0.6</v>
      </c>
      <c r="N51" s="41">
        <v>1025</v>
      </c>
      <c r="O51" s="42">
        <v>5.981122</v>
      </c>
      <c r="P51" s="43">
        <f t="shared" ref="P51:P58" si="18">R51-Q51</f>
        <v>1.2</v>
      </c>
      <c r="Q51" s="44">
        <v>0.125</v>
      </c>
      <c r="R51" s="43">
        <v>1.325</v>
      </c>
    </row>
    <row r="52" spans="1:18" x14ac:dyDescent="0.35">
      <c r="A52" t="s">
        <v>157</v>
      </c>
      <c r="C52" s="26">
        <v>1.5</v>
      </c>
      <c r="D52" s="26">
        <f>C52</f>
        <v>1.5</v>
      </c>
      <c r="E52" s="26">
        <f>D52</f>
        <v>1.5</v>
      </c>
      <c r="F52" s="26">
        <f t="shared" ref="F52:L52" si="19">E52</f>
        <v>1.5</v>
      </c>
      <c r="G52" s="26">
        <f t="shared" si="19"/>
        <v>1.5</v>
      </c>
      <c r="H52" s="26">
        <f t="shared" si="19"/>
        <v>1.5</v>
      </c>
      <c r="I52" s="26">
        <f t="shared" si="19"/>
        <v>1.5</v>
      </c>
      <c r="J52" s="26">
        <f t="shared" si="19"/>
        <v>1.5</v>
      </c>
      <c r="K52" s="26">
        <f t="shared" si="19"/>
        <v>1.5</v>
      </c>
      <c r="L52" s="26">
        <f t="shared" si="19"/>
        <v>1.5</v>
      </c>
      <c r="N52" s="41">
        <v>1030</v>
      </c>
      <c r="O52" s="42">
        <v>6.305377</v>
      </c>
      <c r="P52" s="43">
        <f t="shared" si="18"/>
        <v>1.117</v>
      </c>
      <c r="Q52" s="44">
        <v>7.0000000000000007E-2</v>
      </c>
      <c r="R52" s="43">
        <v>1.1870000000000001</v>
      </c>
    </row>
    <row r="53" spans="1:18" x14ac:dyDescent="0.35">
      <c r="A53" s="1" t="s">
        <v>5</v>
      </c>
      <c r="B53" s="1"/>
      <c r="D53" s="2"/>
      <c r="E53" s="2"/>
      <c r="F53" s="2"/>
      <c r="G53" s="2"/>
      <c r="H53" s="2"/>
      <c r="I53" s="2"/>
      <c r="J53" s="2"/>
      <c r="K53" s="2"/>
      <c r="L53" s="2"/>
      <c r="N53" s="41">
        <v>1035</v>
      </c>
      <c r="O53" s="42">
        <v>6.6375080000000004</v>
      </c>
      <c r="P53" s="43">
        <f t="shared" si="18"/>
        <v>1.0669999999999999</v>
      </c>
      <c r="Q53" s="44">
        <v>7.0000000000000007E-2</v>
      </c>
      <c r="R53" s="43">
        <v>1.137</v>
      </c>
    </row>
    <row r="54" spans="1:18" x14ac:dyDescent="0.35">
      <c r="A54" t="s">
        <v>2</v>
      </c>
      <c r="C54" s="15">
        <f>IF(C$22&lt;&gt;"",C45-C49,"")</f>
        <v>10.417257133649304</v>
      </c>
      <c r="D54" s="15">
        <f t="shared" ref="D54:L54" si="20">IF(D$22&lt;&gt;"",D45-D49,"")</f>
        <v>9.8535689060404223</v>
      </c>
      <c r="E54" s="15">
        <f t="shared" si="20"/>
        <v>9.3074782482881169</v>
      </c>
      <c r="F54" s="15">
        <f t="shared" si="20"/>
        <v>8.7800101818489402</v>
      </c>
      <c r="G54" s="15">
        <f t="shared" si="20"/>
        <v>8.2715387967094642</v>
      </c>
      <c r="H54" s="15">
        <f t="shared" si="20"/>
        <v>7.7818164481176071</v>
      </c>
      <c r="I54" s="15">
        <f t="shared" si="20"/>
        <v>7.3095679287866249</v>
      </c>
      <c r="J54" s="15">
        <f t="shared" si="20"/>
        <v>6.8546165233148004</v>
      </c>
      <c r="K54" s="15">
        <f t="shared" si="20"/>
        <v>6.417216518429254</v>
      </c>
      <c r="L54" s="15">
        <f t="shared" si="20"/>
        <v>5.9995966906158875</v>
      </c>
      <c r="N54" s="41">
        <v>1040</v>
      </c>
      <c r="O54" s="42">
        <v>6.977665</v>
      </c>
      <c r="P54" s="43">
        <f t="shared" si="18"/>
        <v>1.0169999999999999</v>
      </c>
      <c r="Q54" s="44">
        <v>7.0000000000000007E-2</v>
      </c>
      <c r="R54" s="43">
        <v>1.087</v>
      </c>
    </row>
    <row r="55" spans="1:18" x14ac:dyDescent="0.35">
      <c r="A55" t="s">
        <v>3</v>
      </c>
      <c r="C55" s="15">
        <f>IF(C$22&lt;&gt;"",C46-C50-C51,"")</f>
        <v>9.6938451863507265</v>
      </c>
      <c r="D55" s="15">
        <f t="shared" ref="D55:L55" si="21">IF(D$22&lt;&gt;"",D46-D50-D51,"")</f>
        <v>9.2988293239596107</v>
      </c>
      <c r="E55" s="15">
        <f t="shared" si="21"/>
        <v>8.9976677472113451</v>
      </c>
      <c r="F55" s="15">
        <f t="shared" si="21"/>
        <v>8.7030927741499475</v>
      </c>
      <c r="G55" s="15">
        <f t="shared" si="21"/>
        <v>8.4156378342899991</v>
      </c>
      <c r="H55" s="15">
        <f t="shared" si="21"/>
        <v>8.1352550528824317</v>
      </c>
      <c r="I55" s="15">
        <f t="shared" si="21"/>
        <v>7.8608286297122429</v>
      </c>
      <c r="J55" s="15">
        <f t="shared" si="21"/>
        <v>7.5923372801840703</v>
      </c>
      <c r="K55" s="15">
        <f t="shared" si="21"/>
        <v>7.5802437649696461</v>
      </c>
      <c r="L55" s="15">
        <f>IF(L$22&lt;&gt;"",L46-L50-L51,"")</f>
        <v>7.5629981851830426</v>
      </c>
      <c r="N55" s="41">
        <v>1045</v>
      </c>
      <c r="O55" s="42">
        <v>7.3260519999999998</v>
      </c>
      <c r="P55" s="43">
        <f t="shared" si="18"/>
        <v>0.96699999999999986</v>
      </c>
      <c r="Q55" s="44">
        <v>7.0000000000000007E-2</v>
      </c>
      <c r="R55" s="43">
        <v>1.0369999999999999</v>
      </c>
    </row>
    <row r="56" spans="1:18" x14ac:dyDescent="0.35">
      <c r="A56" t="s">
        <v>4</v>
      </c>
      <c r="C56" s="15">
        <f>IF(C$22&lt;&gt;"",C47-C52,"")</f>
        <v>0</v>
      </c>
      <c r="D56" s="15">
        <f t="shared" ref="D56:L56" si="22">IF(D$22&lt;&gt;"",D47-D52,"")</f>
        <v>0</v>
      </c>
      <c r="E56" s="15">
        <f t="shared" si="22"/>
        <v>0</v>
      </c>
      <c r="F56" s="15">
        <f t="shared" si="22"/>
        <v>0</v>
      </c>
      <c r="G56" s="15">
        <f t="shared" si="22"/>
        <v>0</v>
      </c>
      <c r="H56" s="15">
        <f t="shared" si="22"/>
        <v>0</v>
      </c>
      <c r="I56" s="15">
        <f t="shared" si="22"/>
        <v>0</v>
      </c>
      <c r="J56" s="15">
        <f t="shared" si="22"/>
        <v>0</v>
      </c>
      <c r="K56" s="15">
        <f t="shared" si="22"/>
        <v>0</v>
      </c>
      <c r="L56" s="15">
        <f t="shared" si="22"/>
        <v>0</v>
      </c>
      <c r="N56" s="41">
        <v>1050</v>
      </c>
      <c r="O56" s="42">
        <v>7.6828779999999997</v>
      </c>
      <c r="P56" s="43">
        <f t="shared" si="18"/>
        <v>0.71700000000000008</v>
      </c>
      <c r="Q56" s="44">
        <v>7.0000000000000007E-2</v>
      </c>
      <c r="R56" s="43">
        <v>0.78700000000000003</v>
      </c>
    </row>
    <row r="57" spans="1:18" x14ac:dyDescent="0.35">
      <c r="A57" s="1" t="s">
        <v>142</v>
      </c>
      <c r="B57" s="1"/>
      <c r="C57" s="15">
        <f>IF(C$22&lt;&gt;"",SUM(C54:C56),"")</f>
        <v>20.111102320000029</v>
      </c>
      <c r="D57" s="15">
        <f t="shared" ref="D57:L57" si="23">IF(D$22&lt;&gt;"",SUM(D54:D56),"")</f>
        <v>19.152398230000031</v>
      </c>
      <c r="E57" s="15">
        <f t="shared" si="23"/>
        <v>18.305145995499462</v>
      </c>
      <c r="F57" s="15">
        <f t="shared" si="23"/>
        <v>17.483102955998888</v>
      </c>
      <c r="G57" s="15">
        <f t="shared" si="23"/>
        <v>16.687176630999463</v>
      </c>
      <c r="H57" s="15">
        <f t="shared" si="23"/>
        <v>15.917071501000038</v>
      </c>
      <c r="I57" s="15">
        <f t="shared" si="23"/>
        <v>15.170396558498869</v>
      </c>
      <c r="J57" s="15">
        <f t="shared" si="23"/>
        <v>14.446953803498872</v>
      </c>
      <c r="K57" s="15">
        <f t="shared" si="23"/>
        <v>13.997460283398901</v>
      </c>
      <c r="L57" s="15">
        <f t="shared" si="23"/>
        <v>13.562594875798929</v>
      </c>
      <c r="N57" s="41">
        <v>1075</v>
      </c>
      <c r="O57" s="42">
        <v>9.6009879999900001</v>
      </c>
      <c r="P57" s="43">
        <f t="shared" si="18"/>
        <v>0.63300000000000001</v>
      </c>
      <c r="Q57" s="44">
        <v>0.05</v>
      </c>
      <c r="R57" s="43">
        <v>0.68300000000000005</v>
      </c>
    </row>
    <row r="58" spans="1:18" x14ac:dyDescent="0.35">
      <c r="N58" s="41">
        <v>1090</v>
      </c>
      <c r="O58" s="42">
        <v>10.857008</v>
      </c>
      <c r="P58" s="43">
        <f t="shared" si="18"/>
        <v>0.3</v>
      </c>
      <c r="Q58" s="40"/>
      <c r="R58" s="43">
        <v>0.3</v>
      </c>
    </row>
    <row r="59" spans="1:18" x14ac:dyDescent="0.35">
      <c r="A59" s="1" t="s">
        <v>144</v>
      </c>
      <c r="C59" s="12">
        <f>IF(C$22&lt;&gt;"",0.2,"")</f>
        <v>0.2</v>
      </c>
      <c r="D59" s="12">
        <f t="shared" ref="D59:L59" si="24">IF(D$22&lt;&gt;"",0.2,"")</f>
        <v>0.2</v>
      </c>
      <c r="E59" s="12">
        <f t="shared" si="24"/>
        <v>0.2</v>
      </c>
      <c r="F59" s="12">
        <f t="shared" si="24"/>
        <v>0.2</v>
      </c>
      <c r="G59" s="12">
        <f t="shared" si="24"/>
        <v>0.2</v>
      </c>
      <c r="H59" s="12">
        <f t="shared" si="24"/>
        <v>0.2</v>
      </c>
      <c r="I59" s="12">
        <f t="shared" si="24"/>
        <v>0.2</v>
      </c>
      <c r="J59" s="12">
        <f t="shared" si="24"/>
        <v>0.2</v>
      </c>
      <c r="K59" s="12">
        <f t="shared" si="24"/>
        <v>0.2</v>
      </c>
      <c r="L59" s="12">
        <f t="shared" si="24"/>
        <v>0.2</v>
      </c>
    </row>
    <row r="60" spans="1:18" x14ac:dyDescent="0.35">
      <c r="A60" t="s">
        <v>145</v>
      </c>
      <c r="C60" s="15">
        <f>IF(C$22&lt;&gt;"",C50+C59,"")</f>
        <v>7.0670000000000002</v>
      </c>
      <c r="D60" s="15">
        <f t="shared" ref="D60:L60" si="25">IF(D$22&lt;&gt;"",D50+D59,"")</f>
        <v>7.0670000000000002</v>
      </c>
      <c r="E60" s="15">
        <f t="shared" si="25"/>
        <v>6.9829999999999997</v>
      </c>
      <c r="F60" s="15">
        <f t="shared" si="25"/>
        <v>6.9829999999999997</v>
      </c>
      <c r="G60" s="15">
        <f t="shared" si="25"/>
        <v>6.9829999999999997</v>
      </c>
      <c r="H60" s="15">
        <f t="shared" si="25"/>
        <v>6.9829999999999997</v>
      </c>
      <c r="I60" s="15">
        <f t="shared" si="25"/>
        <v>6.9829999999999997</v>
      </c>
      <c r="J60" s="15">
        <f t="shared" si="25"/>
        <v>6.9829999999999997</v>
      </c>
      <c r="K60" s="15">
        <f t="shared" si="25"/>
        <v>6.7330000000000005</v>
      </c>
      <c r="L60" s="15">
        <f t="shared" si="25"/>
        <v>6.7330000000000005</v>
      </c>
    </row>
    <row r="62" spans="1:18" x14ac:dyDescent="0.35">
      <c r="D62" s="19"/>
    </row>
  </sheetData>
  <mergeCells count="4">
    <mergeCell ref="C5:H5"/>
    <mergeCell ref="C6:H6"/>
    <mergeCell ref="C7:H7"/>
    <mergeCell ref="C8:H8"/>
  </mergeCells>
  <conditionalFormatting sqref="C49:L49 D52:L52">
    <cfRule type="cellIs" dxfId="0" priority="1" operator="greaterThan">
      <formula>$C$45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61</v>
      </c>
    </row>
    <row r="3" spans="1:24" x14ac:dyDescent="0.35">
      <c r="A3" t="s">
        <v>83</v>
      </c>
    </row>
    <row r="5" spans="1:24" s="1" customFormat="1" x14ac:dyDescent="0.35">
      <c r="A5" s="1" t="s">
        <v>63</v>
      </c>
      <c r="B5" s="1" t="s">
        <v>62</v>
      </c>
      <c r="C5" s="14" t="s">
        <v>6</v>
      </c>
      <c r="D5" s="14" t="s">
        <v>7</v>
      </c>
      <c r="E5" s="14" t="s">
        <v>8</v>
      </c>
      <c r="F5" s="14" t="s">
        <v>9</v>
      </c>
      <c r="G5" s="14" t="s">
        <v>10</v>
      </c>
      <c r="H5" s="14" t="s">
        <v>11</v>
      </c>
      <c r="I5" s="14" t="s">
        <v>12</v>
      </c>
      <c r="J5" s="14" t="s">
        <v>13</v>
      </c>
      <c r="K5" s="14" t="s">
        <v>37</v>
      </c>
      <c r="L5" s="14" t="s">
        <v>38</v>
      </c>
      <c r="M5" s="14" t="s">
        <v>66</v>
      </c>
      <c r="N5" s="14" t="s">
        <v>67</v>
      </c>
      <c r="O5" s="14" t="s">
        <v>68</v>
      </c>
      <c r="P5" s="14" t="s">
        <v>69</v>
      </c>
      <c r="Q5" s="14" t="s">
        <v>70</v>
      </c>
      <c r="R5" s="14" t="s">
        <v>71</v>
      </c>
      <c r="S5" s="14" t="s">
        <v>72</v>
      </c>
      <c r="T5" s="14" t="s">
        <v>73</v>
      </c>
      <c r="U5" s="14" t="s">
        <v>74</v>
      </c>
      <c r="V5" s="1" t="s">
        <v>90</v>
      </c>
      <c r="W5" s="1" t="s">
        <v>91</v>
      </c>
      <c r="X5" s="1" t="s">
        <v>64</v>
      </c>
    </row>
    <row r="6" spans="1:24" x14ac:dyDescent="0.35">
      <c r="A6" t="s">
        <v>93</v>
      </c>
      <c r="B6" t="s">
        <v>94</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30">
        <f>AVERAGE(C6:L6)</f>
        <v>12.400000000000002</v>
      </c>
      <c r="W6" s="30">
        <f>AVERAGE(C6:U6)</f>
        <v>12.400000000000004</v>
      </c>
      <c r="X6" t="s">
        <v>78</v>
      </c>
    </row>
    <row r="7" spans="1:24" x14ac:dyDescent="0.35">
      <c r="A7" t="s">
        <v>95</v>
      </c>
      <c r="B7" t="s">
        <v>65</v>
      </c>
      <c r="C7" s="30">
        <v>10.541308000000001</v>
      </c>
      <c r="D7" s="30">
        <v>11.023149</v>
      </c>
      <c r="E7" s="30">
        <v>5.870736</v>
      </c>
      <c r="F7" s="30">
        <v>10.455249</v>
      </c>
      <c r="G7" s="30">
        <v>9.4432220000000004</v>
      </c>
      <c r="H7" s="30">
        <v>17.117932</v>
      </c>
      <c r="I7" s="30">
        <v>12.627808</v>
      </c>
      <c r="J7" s="30">
        <v>12.567529</v>
      </c>
      <c r="K7" s="30">
        <v>16.3156</v>
      </c>
      <c r="L7" s="30">
        <v>14.306982</v>
      </c>
      <c r="M7" s="30">
        <v>12.326231999999999</v>
      </c>
      <c r="N7" s="30">
        <v>20.207163000000001</v>
      </c>
      <c r="O7" s="30">
        <v>8.4420540000000006</v>
      </c>
      <c r="P7" s="30">
        <v>8.9732859999999999</v>
      </c>
      <c r="Q7" s="30">
        <v>14.100669999999999</v>
      </c>
      <c r="R7" s="30">
        <v>13.433123999999999</v>
      </c>
      <c r="S7" s="30">
        <v>13.477814</v>
      </c>
      <c r="T7" s="30">
        <v>16.476396999999999</v>
      </c>
      <c r="U7" s="30">
        <v>8.6142029999999998</v>
      </c>
      <c r="V7" s="30">
        <f t="shared" ref="V7:V13" si="1">AVERAGE(C7:L7)</f>
        <v>12.026951499999999</v>
      </c>
      <c r="W7" s="30">
        <f t="shared" ref="W7:W13" si="2">AVERAGE(C7:U7)</f>
        <v>12.437918842105264</v>
      </c>
      <c r="X7" t="s">
        <v>78</v>
      </c>
    </row>
    <row r="8" spans="1:24" x14ac:dyDescent="0.35">
      <c r="A8" t="s">
        <v>96</v>
      </c>
      <c r="B8" t="s">
        <v>80</v>
      </c>
      <c r="C8" s="30">
        <f>INDEX($C$7:$U$7, _xlfn.RANK.EQ(C19, $C19:$U19) + COUNTIF($C19:C19, C19) - 1)</f>
        <v>12.627808</v>
      </c>
      <c r="D8" s="30">
        <f>INDEX($C$7:$U$7, _xlfn.RANK.EQ(D19, $C19:$U19) + COUNTIF($C19:D19, D19) - 1)</f>
        <v>12.326231999999999</v>
      </c>
      <c r="E8" s="30">
        <f>INDEX($C$7:$U$7, _xlfn.RANK.EQ(E19, $C19:$U19) + COUNTIF($C19:E19, E19) - 1)</f>
        <v>10.455249</v>
      </c>
      <c r="F8" s="30">
        <f>INDEX($C$7:$U$7, _xlfn.RANK.EQ(F19, $C19:$U19) + COUNTIF($C19:F19, F19) - 1)</f>
        <v>5.870736</v>
      </c>
      <c r="G8" s="30">
        <f>INDEX($C$7:$U$7, _xlfn.RANK.EQ(G19, $C19:$U19) + COUNTIF($C19:G19, G19) - 1)</f>
        <v>14.100669999999999</v>
      </c>
      <c r="H8" s="30">
        <f>INDEX($C$7:$U$7, _xlfn.RANK.EQ(H19, $C19:$U19) + COUNTIF($C19:H19, H19) - 1)</f>
        <v>10.541308000000001</v>
      </c>
      <c r="I8" s="30">
        <f>INDEX($C$7:$U$7, _xlfn.RANK.EQ(I19, $C19:$U19) + COUNTIF($C19:I19, I19) - 1)</f>
        <v>17.117932</v>
      </c>
      <c r="J8" s="30">
        <f>INDEX($C$7:$U$7, _xlfn.RANK.EQ(J19, $C19:$U19) + COUNTIF($C19:J19, J19) - 1)</f>
        <v>9.4432220000000004</v>
      </c>
      <c r="K8" s="30">
        <f>INDEX($C$7:$U$7, _xlfn.RANK.EQ(K19, $C19:$U19) + COUNTIF($C19:K19, K19) - 1)</f>
        <v>20.207163000000001</v>
      </c>
      <c r="L8" s="30">
        <f>INDEX($C$7:$U$7, _xlfn.RANK.EQ(L19, $C19:$U19) + COUNTIF($C19:L19, L19) - 1)</f>
        <v>12.567529</v>
      </c>
      <c r="M8" s="30">
        <f>INDEX($C$7:$U$7, _xlfn.RANK.EQ(M19, $C19:$U19) + COUNTIF($C19:M19, M19) - 1)</f>
        <v>14.306982</v>
      </c>
      <c r="N8" s="30">
        <f>INDEX($C$7:$U$7, _xlfn.RANK.EQ(N19, $C19:$U19) + COUNTIF($C19:N19, N19) - 1)</f>
        <v>11.023149</v>
      </c>
      <c r="O8" s="30">
        <f>INDEX($C$7:$U$7, _xlfn.RANK.EQ(O19, $C19:$U19) + COUNTIF($C19:O19, O19) - 1)</f>
        <v>8.4420540000000006</v>
      </c>
      <c r="P8" s="30">
        <f>INDEX($C$7:$U$7, _xlfn.RANK.EQ(P19, $C19:$U19) + COUNTIF($C19:P19, P19) - 1)</f>
        <v>8.9732859999999999</v>
      </c>
      <c r="Q8" s="30">
        <f>INDEX($C$7:$U$7, _xlfn.RANK.EQ(Q19, $C19:$U19) + COUNTIF($C19:Q19, Q19) - 1)</f>
        <v>16.476396999999999</v>
      </c>
      <c r="R8" s="30">
        <f>INDEX($C$7:$U$7, _xlfn.RANK.EQ(R19, $C19:$U19) + COUNTIF($C19:R19, R19) - 1)</f>
        <v>16.3156</v>
      </c>
      <c r="S8" s="30">
        <f>INDEX($C$7:$U$7, _xlfn.RANK.EQ(S19, $C19:$U19) + COUNTIF($C19:S19, S19) - 1)</f>
        <v>13.477814</v>
      </c>
      <c r="T8" s="30">
        <f>INDEX($C$7:$U$7, _xlfn.RANK.EQ(T19, $C19:$U19) + COUNTIF($C19:T19, T19) - 1)</f>
        <v>13.433123999999999</v>
      </c>
      <c r="U8" s="30">
        <f>INDEX($C$7:$U$7, _xlfn.RANK.EQ(U19, $C19:$U19) + COUNTIF($C19:U19, U19) - 1)</f>
        <v>8.6142029999999998</v>
      </c>
      <c r="V8" s="30">
        <f t="shared" si="1"/>
        <v>12.525784900000001</v>
      </c>
      <c r="W8" s="30">
        <f t="shared" si="2"/>
        <v>12.437918842105264</v>
      </c>
      <c r="X8" t="s">
        <v>79</v>
      </c>
    </row>
    <row r="9" spans="1:24" x14ac:dyDescent="0.35">
      <c r="A9" t="s">
        <v>96</v>
      </c>
      <c r="B9" t="s">
        <v>81</v>
      </c>
      <c r="C9" s="30">
        <f>INDEX($C$7:$U$7, _xlfn.RANK.EQ(C20, $C20:$U20) + COUNTIF($C20:C20, C20) - 1)</f>
        <v>17.117932</v>
      </c>
      <c r="D9" s="30">
        <f>INDEX($C$7:$U$7, _xlfn.RANK.EQ(D20, $C20:$U20) + COUNTIF($C20:D20, D20) - 1)</f>
        <v>10.541308000000001</v>
      </c>
      <c r="E9" s="30">
        <f>INDEX($C$7:$U$7, _xlfn.RANK.EQ(E20, $C20:$U20) + COUNTIF($C20:E20, E20) - 1)</f>
        <v>14.100669999999999</v>
      </c>
      <c r="F9" s="30">
        <f>INDEX($C$7:$U$7, _xlfn.RANK.EQ(F20, $C20:$U20) + COUNTIF($C20:F20, F20) - 1)</f>
        <v>14.306982</v>
      </c>
      <c r="G9" s="30">
        <f>INDEX($C$7:$U$7, _xlfn.RANK.EQ(G20, $C20:$U20) + COUNTIF($C20:G20, G20) - 1)</f>
        <v>8.6142029999999998</v>
      </c>
      <c r="H9" s="30">
        <f>INDEX($C$7:$U$7, _xlfn.RANK.EQ(H20, $C20:$U20) + COUNTIF($C20:H20, H20) - 1)</f>
        <v>12.326231999999999</v>
      </c>
      <c r="I9" s="30">
        <f>INDEX($C$7:$U$7, _xlfn.RANK.EQ(I20, $C20:$U20) + COUNTIF($C20:I20, I20) - 1)</f>
        <v>10.455249</v>
      </c>
      <c r="J9" s="30">
        <f>INDEX($C$7:$U$7, _xlfn.RANK.EQ(J20, $C20:$U20) + COUNTIF($C20:J20, J20) - 1)</f>
        <v>5.870736</v>
      </c>
      <c r="K9" s="30">
        <f>INDEX($C$7:$U$7, _xlfn.RANK.EQ(K20, $C20:$U20) + COUNTIF($C20:K20, K20) - 1)</f>
        <v>13.433123999999999</v>
      </c>
      <c r="L9" s="30">
        <f>INDEX($C$7:$U$7, _xlfn.RANK.EQ(L20, $C20:$U20) + COUNTIF($C20:L20, L20) - 1)</f>
        <v>11.023149</v>
      </c>
      <c r="M9" s="30">
        <f>INDEX($C$7:$U$7, _xlfn.RANK.EQ(M20, $C20:$U20) + COUNTIF($C20:M20, M20) - 1)</f>
        <v>8.4420540000000006</v>
      </c>
      <c r="N9" s="30">
        <f>INDEX($C$7:$U$7, _xlfn.RANK.EQ(N20, $C20:$U20) + COUNTIF($C20:N20, N20) - 1)</f>
        <v>16.476396999999999</v>
      </c>
      <c r="O9" s="30">
        <f>INDEX($C$7:$U$7, _xlfn.RANK.EQ(O20, $C20:$U20) + COUNTIF($C20:O20, O20) - 1)</f>
        <v>20.207163000000001</v>
      </c>
      <c r="P9" s="30">
        <f>INDEX($C$7:$U$7, _xlfn.RANK.EQ(P20, $C20:$U20) + COUNTIF($C20:P20, P20) - 1)</f>
        <v>12.567529</v>
      </c>
      <c r="Q9" s="30">
        <f>INDEX($C$7:$U$7, _xlfn.RANK.EQ(Q20, $C20:$U20) + COUNTIF($C20:Q20, Q20) - 1)</f>
        <v>8.9732859999999999</v>
      </c>
      <c r="R9" s="30">
        <f>INDEX($C$7:$U$7, _xlfn.RANK.EQ(R20, $C20:$U20) + COUNTIF($C20:R20, R20) - 1)</f>
        <v>12.627808</v>
      </c>
      <c r="S9" s="30">
        <f>INDEX($C$7:$U$7, _xlfn.RANK.EQ(S20, $C20:$U20) + COUNTIF($C20:S20, S20) - 1)</f>
        <v>13.477814</v>
      </c>
      <c r="T9" s="30">
        <f>INDEX($C$7:$U$7, _xlfn.RANK.EQ(T20, $C20:$U20) + COUNTIF($C20:T20, T20) - 1)</f>
        <v>9.4432220000000004</v>
      </c>
      <c r="U9" s="30">
        <f>INDEX($C$7:$U$7, _xlfn.RANK.EQ(U20, $C20:$U20) + COUNTIF($C20:U20, U20) - 1)</f>
        <v>16.3156</v>
      </c>
      <c r="V9" s="30">
        <f t="shared" si="1"/>
        <v>11.7789585</v>
      </c>
      <c r="W9" s="30">
        <f t="shared" si="2"/>
        <v>12.437918842105262</v>
      </c>
      <c r="X9" t="s">
        <v>79</v>
      </c>
    </row>
    <row r="10" spans="1:24" x14ac:dyDescent="0.35">
      <c r="A10" t="s">
        <v>96</v>
      </c>
      <c r="B10" t="s">
        <v>82</v>
      </c>
      <c r="C10" s="30">
        <f>INDEX($C$7:$U$7, _xlfn.RANK.EQ(C21, $C21:$U21) + COUNTIF($C21:C21, C21) - 1)</f>
        <v>20.207163000000001</v>
      </c>
      <c r="D10" s="30">
        <f>INDEX($C$7:$U$7, _xlfn.RANK.EQ(D21, $C21:$U21) + COUNTIF($C21:D21, D21) - 1)</f>
        <v>17.117932</v>
      </c>
      <c r="E10" s="30">
        <f>INDEX($C$7:$U$7, _xlfn.RANK.EQ(E21, $C21:$U21) + COUNTIF($C21:E21, E21) - 1)</f>
        <v>16.476396999999999</v>
      </c>
      <c r="F10" s="30">
        <f>INDEX($C$7:$U$7, _xlfn.RANK.EQ(F21, $C21:$U21) + COUNTIF($C21:F21, F21) - 1)</f>
        <v>12.326231999999999</v>
      </c>
      <c r="G10" s="30">
        <f>INDEX($C$7:$U$7, _xlfn.RANK.EQ(G21, $C21:$U21) + COUNTIF($C21:G21, G21) - 1)</f>
        <v>12.627808</v>
      </c>
      <c r="H10" s="30">
        <f>INDEX($C$7:$U$7, _xlfn.RANK.EQ(H21, $C21:$U21) + COUNTIF($C21:H21, H21) - 1)</f>
        <v>13.433123999999999</v>
      </c>
      <c r="I10" s="30">
        <f>INDEX($C$7:$U$7, _xlfn.RANK.EQ(I21, $C21:$U21) + COUNTIF($C21:I21, I21) - 1)</f>
        <v>10.541308000000001</v>
      </c>
      <c r="J10" s="30">
        <f>INDEX($C$7:$U$7, _xlfn.RANK.EQ(J21, $C21:$U21) + COUNTIF($C21:J21, J21) - 1)</f>
        <v>16.3156</v>
      </c>
      <c r="K10" s="30">
        <f>INDEX($C$7:$U$7, _xlfn.RANK.EQ(K21, $C21:$U21) + COUNTIF($C21:K21, K21) - 1)</f>
        <v>9.4432220000000004</v>
      </c>
      <c r="L10" s="30">
        <f>INDEX($C$7:$U$7, _xlfn.RANK.EQ(L21, $C21:$U21) + COUNTIF($C21:L21, L21) - 1)</f>
        <v>14.306982</v>
      </c>
      <c r="M10" s="30">
        <f>INDEX($C$7:$U$7, _xlfn.RANK.EQ(M21, $C21:$U21) + COUNTIF($C21:M21, M21) - 1)</f>
        <v>8.6142029999999998</v>
      </c>
      <c r="N10" s="30">
        <f>INDEX($C$7:$U$7, _xlfn.RANK.EQ(N21, $C21:$U21) + COUNTIF($C21:N21, N21) - 1)</f>
        <v>10.455249</v>
      </c>
      <c r="O10" s="30">
        <f>INDEX($C$7:$U$7, _xlfn.RANK.EQ(O21, $C21:$U21) + COUNTIF($C21:O21, O21) - 1)</f>
        <v>8.4420540000000006</v>
      </c>
      <c r="P10" s="30">
        <f>INDEX($C$7:$U$7, _xlfn.RANK.EQ(P21, $C21:$U21) + COUNTIF($C21:P21, P21) - 1)</f>
        <v>8.9732859999999999</v>
      </c>
      <c r="Q10" s="30">
        <f>INDEX($C$7:$U$7, _xlfn.RANK.EQ(Q21, $C21:$U21) + COUNTIF($C21:Q21, Q21) - 1)</f>
        <v>14.100669999999999</v>
      </c>
      <c r="R10" s="30">
        <f>INDEX($C$7:$U$7, _xlfn.RANK.EQ(R21, $C21:$U21) + COUNTIF($C21:R21, R21) - 1)</f>
        <v>13.477814</v>
      </c>
      <c r="S10" s="30">
        <f>INDEX($C$7:$U$7, _xlfn.RANK.EQ(S21, $C21:$U21) + COUNTIF($C21:S21, S21) - 1)</f>
        <v>5.870736</v>
      </c>
      <c r="T10" s="30">
        <f>INDEX($C$7:$U$7, _xlfn.RANK.EQ(T21, $C21:$U21) + COUNTIF($C21:T21, T21) - 1)</f>
        <v>12.567529</v>
      </c>
      <c r="U10" s="30">
        <f>INDEX($C$7:$U$7, _xlfn.RANK.EQ(U21, $C21:$U21) + COUNTIF($C21:U21, U21) - 1)</f>
        <v>11.023149</v>
      </c>
      <c r="V10" s="30">
        <f t="shared" si="1"/>
        <v>14.279576800000001</v>
      </c>
      <c r="W10" s="30">
        <f t="shared" si="2"/>
        <v>12.437918842105265</v>
      </c>
      <c r="X10" t="s">
        <v>79</v>
      </c>
    </row>
    <row r="11" spans="1:24" x14ac:dyDescent="0.35">
      <c r="A11" t="s">
        <v>84</v>
      </c>
      <c r="B11" t="s">
        <v>97</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30">
        <f t="shared" si="1"/>
        <v>11.400000000000002</v>
      </c>
      <c r="W11" s="30">
        <f t="shared" si="2"/>
        <v>11.400000000000004</v>
      </c>
    </row>
    <row r="12" spans="1:24" x14ac:dyDescent="0.35">
      <c r="A12" t="s">
        <v>86</v>
      </c>
      <c r="B12" t="s">
        <v>87</v>
      </c>
      <c r="C12" s="30">
        <v>8.0656773127944597</v>
      </c>
      <c r="D12" s="30">
        <v>12.179497010248401</v>
      </c>
      <c r="E12" s="30">
        <v>10.4021452093777</v>
      </c>
      <c r="F12" s="30">
        <v>13.518813794409299</v>
      </c>
      <c r="G12" s="30">
        <v>16.316885566837801</v>
      </c>
      <c r="H12" s="30">
        <v>8.2963173615850092</v>
      </c>
      <c r="I12" s="30">
        <v>8.2334084440403892</v>
      </c>
      <c r="J12" s="30">
        <v>8.0507265516528701</v>
      </c>
      <c r="K12" s="30">
        <v>10.939025533005399</v>
      </c>
      <c r="L12" s="30">
        <v>17.117619193537298</v>
      </c>
      <c r="M12" s="30">
        <v>15.180122066368499</v>
      </c>
      <c r="N12" s="30">
        <v>18.434952033152101</v>
      </c>
      <c r="O12" s="30">
        <v>12.0058419359474</v>
      </c>
      <c r="P12" s="30">
        <v>6.7697458167134199</v>
      </c>
      <c r="Q12" s="30">
        <v>14.549174163850401</v>
      </c>
      <c r="R12" s="30">
        <v>7.0958145122825593</v>
      </c>
      <c r="S12" s="30">
        <v>14.9052393166876</v>
      </c>
      <c r="T12" s="30">
        <v>15.428213164007099</v>
      </c>
      <c r="U12" s="30">
        <v>17.679933099266101</v>
      </c>
      <c r="V12" s="30">
        <f t="shared" si="1"/>
        <v>11.312011597748862</v>
      </c>
      <c r="W12" s="30">
        <f t="shared" si="2"/>
        <v>12.377323793987571</v>
      </c>
      <c r="X12" t="s">
        <v>89</v>
      </c>
    </row>
    <row r="13" spans="1:24" x14ac:dyDescent="0.35">
      <c r="A13" t="s">
        <v>88</v>
      </c>
      <c r="B13" t="s">
        <v>87</v>
      </c>
      <c r="C13" s="30">
        <v>13.6721827614197</v>
      </c>
      <c r="D13" s="30">
        <v>12.666445529103701</v>
      </c>
      <c r="E13" s="30">
        <v>8.2123208856145009</v>
      </c>
      <c r="F13" s="30">
        <v>7.2985106981092596</v>
      </c>
      <c r="G13" s="30">
        <v>8.9240344766710908</v>
      </c>
      <c r="H13" s="30">
        <v>12.2239805462057</v>
      </c>
      <c r="I13" s="30">
        <v>12.116028475951</v>
      </c>
      <c r="J13" s="30">
        <v>9.3868894956851907</v>
      </c>
      <c r="K13" s="30">
        <v>5.7100895102609304</v>
      </c>
      <c r="L13" s="30">
        <v>7.6367030909024995</v>
      </c>
      <c r="M13" s="30">
        <v>17.908698431934599</v>
      </c>
      <c r="N13" s="30">
        <v>17.3439222124933</v>
      </c>
      <c r="O13" s="30">
        <v>16.712138882108398</v>
      </c>
      <c r="P13" s="30">
        <v>10.8627427743835</v>
      </c>
      <c r="Q13" s="30">
        <v>18.956338967251</v>
      </c>
      <c r="R13" s="30">
        <v>22.2800107884749</v>
      </c>
      <c r="S13" s="30">
        <v>19.616776674012698</v>
      </c>
      <c r="T13" s="30">
        <v>14.694013971958199</v>
      </c>
      <c r="U13" s="30">
        <v>13.8158034044588</v>
      </c>
      <c r="V13" s="30">
        <f t="shared" si="1"/>
        <v>9.7847185469923588</v>
      </c>
      <c r="W13" s="30">
        <f t="shared" si="2"/>
        <v>13.159875346157838</v>
      </c>
      <c r="X13" t="s">
        <v>89</v>
      </c>
    </row>
    <row r="14" spans="1:24" x14ac:dyDescent="0.35">
      <c r="A14" t="s">
        <v>85</v>
      </c>
      <c r="B14" t="s">
        <v>87</v>
      </c>
      <c r="C14" s="30">
        <v>8.6387119999999999</v>
      </c>
      <c r="D14" s="30">
        <v>16.724910999999999</v>
      </c>
      <c r="E14" s="30">
        <v>23.729841</v>
      </c>
      <c r="F14" s="30">
        <v>24.177980999999999</v>
      </c>
      <c r="G14" s="30">
        <v>21.044574999999998</v>
      </c>
      <c r="H14" s="30">
        <v>22.368445000000001</v>
      </c>
      <c r="I14" s="30">
        <v>16.596464999999998</v>
      </c>
      <c r="J14" s="30">
        <v>11.668810000000001</v>
      </c>
      <c r="K14" s="30">
        <v>9.5522320000000001</v>
      </c>
      <c r="L14" s="30">
        <v>8.9740110000000008</v>
      </c>
      <c r="M14" s="30">
        <v>12.344601000000001</v>
      </c>
      <c r="N14" s="30">
        <v>11.068530000000001</v>
      </c>
      <c r="O14" s="30">
        <v>18.697527999999998</v>
      </c>
      <c r="P14" s="30">
        <v>10.611249000000001</v>
      </c>
      <c r="Q14" s="30">
        <v>19.872761000000001</v>
      </c>
      <c r="R14" s="30">
        <v>14.052944999999999</v>
      </c>
      <c r="S14" s="30">
        <v>21.184925</v>
      </c>
      <c r="T14" s="30">
        <v>16.968572999999999</v>
      </c>
      <c r="U14" s="30">
        <v>16.452831</v>
      </c>
      <c r="V14" s="30">
        <f t="shared" ref="V14" si="4">AVERAGE(C14:L14)</f>
        <v>16.347598299999998</v>
      </c>
      <c r="W14" s="30">
        <f t="shared" ref="W14" si="5">AVERAGE(C14:U14)</f>
        <v>16.038417157894738</v>
      </c>
      <c r="X14" t="s">
        <v>78</v>
      </c>
    </row>
    <row r="15" spans="1:24" x14ac:dyDescent="0.35">
      <c r="A15" t="s">
        <v>92</v>
      </c>
      <c r="B15" t="s">
        <v>80</v>
      </c>
      <c r="C15" s="30">
        <f>INDEX($C$14:$U$14, _xlfn.RANK.EQ(C19, $C19:$U19) + COUNTIF($C19:C19, C19) - 1)</f>
        <v>16.596464999999998</v>
      </c>
      <c r="D15" s="30">
        <f>INDEX($C$14:$U$14, _xlfn.RANK.EQ(D19, $C19:$U19) + COUNTIF($C19:D19, D19) - 1)</f>
        <v>12.344601000000001</v>
      </c>
      <c r="E15" s="30">
        <f>INDEX($C$14:$U$14, _xlfn.RANK.EQ(E19, $C19:$U19) + COUNTIF($C19:E19, E19) - 1)</f>
        <v>24.177980999999999</v>
      </c>
      <c r="F15" s="30">
        <f>INDEX($C$14:$U$14, _xlfn.RANK.EQ(F19, $C19:$U19) + COUNTIF($C19:F19, F19) - 1)</f>
        <v>23.729841</v>
      </c>
      <c r="G15" s="30">
        <f>INDEX($C$14:$U$14, _xlfn.RANK.EQ(G19, $C19:$U19) + COUNTIF($C19:G19, G19) - 1)</f>
        <v>19.872761000000001</v>
      </c>
      <c r="H15" s="30">
        <f>INDEX($C$14:$U$14, _xlfn.RANK.EQ(H19, $C19:$U19) + COUNTIF($C19:H19, H19) - 1)</f>
        <v>8.6387119999999999</v>
      </c>
      <c r="I15" s="30">
        <f>INDEX($C$14:$U$14, _xlfn.RANK.EQ(I19, $C19:$U19) + COUNTIF($C19:I19, I19) - 1)</f>
        <v>22.368445000000001</v>
      </c>
      <c r="J15" s="30">
        <f>INDEX($C$14:$U$14, _xlfn.RANK.EQ(J19, $C19:$U19) + COUNTIF($C19:J19, J19) - 1)</f>
        <v>21.044574999999998</v>
      </c>
      <c r="K15" s="30">
        <f>INDEX($C$14:$U$14, _xlfn.RANK.EQ(K19, $C19:$U19) + COUNTIF($C19:K19, K19) - 1)</f>
        <v>11.068530000000001</v>
      </c>
      <c r="L15" s="30">
        <f>INDEX($C$14:$U$14, _xlfn.RANK.EQ(L19, $C19:$U19) + COUNTIF($C19:L19, L19) - 1)</f>
        <v>11.668810000000001</v>
      </c>
      <c r="M15" s="30">
        <f>INDEX($C$14:$U$14, _xlfn.RANK.EQ(M19, $C19:$U19) + COUNTIF($C19:M19, M19) - 1)</f>
        <v>8.9740110000000008</v>
      </c>
      <c r="N15" s="30">
        <f>INDEX($C$14:$U$14, _xlfn.RANK.EQ(N19, $C19:$U19) + COUNTIF($C19:N19, N19) - 1)</f>
        <v>16.724910999999999</v>
      </c>
      <c r="O15" s="30">
        <f>INDEX($C$14:$U$14, _xlfn.RANK.EQ(O19, $C19:$U19) + COUNTIF($C19:O19, O19) - 1)</f>
        <v>18.697527999999998</v>
      </c>
      <c r="P15" s="30">
        <f>INDEX($C$14:$U$14, _xlfn.RANK.EQ(P19, $C19:$U19) + COUNTIF($C19:P19, P19) - 1)</f>
        <v>10.611249000000001</v>
      </c>
      <c r="Q15" s="30">
        <f>INDEX($C$14:$U$14, _xlfn.RANK.EQ(Q19, $C19:$U19) + COUNTIF($C19:Q19, Q19) - 1)</f>
        <v>16.968572999999999</v>
      </c>
      <c r="R15" s="30">
        <f>INDEX($C$14:$U$14, _xlfn.RANK.EQ(R19, $C19:$U19) + COUNTIF($C19:R19, R19) - 1)</f>
        <v>9.5522320000000001</v>
      </c>
      <c r="S15" s="30">
        <f>INDEX($C$14:$U$14, _xlfn.RANK.EQ(S19, $C19:$U19) + COUNTIF($C19:S19, S19) - 1)</f>
        <v>21.184925</v>
      </c>
      <c r="T15" s="30">
        <f>INDEX($C$14:$U$14, _xlfn.RANK.EQ(T19, $C19:$U19) + COUNTIF($C19:T19, T19) - 1)</f>
        <v>14.052944999999999</v>
      </c>
      <c r="U15" s="30">
        <f>INDEX($C$14:$U$14, _xlfn.RANK.EQ(U19, $C19:$U19) + COUNTIF($C19:U19, U19) - 1)</f>
        <v>16.452831</v>
      </c>
      <c r="V15" s="30">
        <f t="shared" ref="V15:V16" si="6">AVERAGE(C15:L15)</f>
        <v>17.1510721</v>
      </c>
      <c r="W15" s="30">
        <f t="shared" ref="W15:W16" si="7">AVERAGE(C15:U15)</f>
        <v>16.038417157894738</v>
      </c>
      <c r="X15" t="s">
        <v>79</v>
      </c>
    </row>
    <row r="16" spans="1:24" x14ac:dyDescent="0.35">
      <c r="A16" t="s">
        <v>92</v>
      </c>
      <c r="B16" t="s">
        <v>81</v>
      </c>
      <c r="C16" s="30">
        <f>INDEX($C$14:$U$14, _xlfn.RANK.EQ(C20, $C20:$U20) + COUNTIF($C20:C20, C20) - 1)</f>
        <v>22.368445000000001</v>
      </c>
      <c r="D16" s="30">
        <f>INDEX($C$14:$U$14, _xlfn.RANK.EQ(D20, $C20:$U20) + COUNTIF($C20:D20, D20) - 1)</f>
        <v>8.6387119999999999</v>
      </c>
      <c r="E16" s="30">
        <f>INDEX($C$14:$U$14, _xlfn.RANK.EQ(E20, $C20:$U20) + COUNTIF($C20:E20, E20) - 1)</f>
        <v>19.872761000000001</v>
      </c>
      <c r="F16" s="30">
        <f>INDEX($C$14:$U$14, _xlfn.RANK.EQ(F20, $C20:$U20) + COUNTIF($C20:F20, F20) - 1)</f>
        <v>8.9740110000000008</v>
      </c>
      <c r="G16" s="30">
        <f>INDEX($C$14:$U$14, _xlfn.RANK.EQ(G20, $C20:$U20) + COUNTIF($C20:G20, G20) - 1)</f>
        <v>16.452831</v>
      </c>
      <c r="H16" s="30">
        <f>INDEX($C$14:$U$14, _xlfn.RANK.EQ(H20, $C20:$U20) + COUNTIF($C20:H20, H20) - 1)</f>
        <v>12.344601000000001</v>
      </c>
      <c r="I16" s="30">
        <f>INDEX($C$14:$U$14, _xlfn.RANK.EQ(I20, $C20:$U20) + COUNTIF($C20:I20, I20) - 1)</f>
        <v>24.177980999999999</v>
      </c>
      <c r="J16" s="30">
        <f>INDEX($C$14:$U$14, _xlfn.RANK.EQ(J20, $C20:$U20) + COUNTIF($C20:J20, J20) - 1)</f>
        <v>23.729841</v>
      </c>
      <c r="K16" s="30">
        <f>INDEX($C$14:$U$14, _xlfn.RANK.EQ(K20, $C20:$U20) + COUNTIF($C20:K20, K20) - 1)</f>
        <v>14.052944999999999</v>
      </c>
      <c r="L16" s="30">
        <f>INDEX($C$14:$U$14, _xlfn.RANK.EQ(L20, $C20:$U20) + COUNTIF($C20:L20, L20) - 1)</f>
        <v>16.724910999999999</v>
      </c>
      <c r="M16" s="30">
        <f>INDEX($C$14:$U$14, _xlfn.RANK.EQ(M20, $C20:$U20) + COUNTIF($C20:M20, M20) - 1)</f>
        <v>18.697527999999998</v>
      </c>
      <c r="N16" s="30">
        <f>INDEX($C$14:$U$14, _xlfn.RANK.EQ(N20, $C20:$U20) + COUNTIF($C20:N20, N20) - 1)</f>
        <v>16.968572999999999</v>
      </c>
      <c r="O16" s="30">
        <f>INDEX($C$14:$U$14, _xlfn.RANK.EQ(O20, $C20:$U20) + COUNTIF($C20:O20, O20) - 1)</f>
        <v>11.068530000000001</v>
      </c>
      <c r="P16" s="30">
        <f>INDEX($C$14:$U$14, _xlfn.RANK.EQ(P20, $C20:$U20) + COUNTIF($C20:P20, P20) - 1)</f>
        <v>11.668810000000001</v>
      </c>
      <c r="Q16" s="30">
        <f>INDEX($C$14:$U$14, _xlfn.RANK.EQ(Q20, $C20:$U20) + COUNTIF($C20:Q20, Q20) - 1)</f>
        <v>10.611249000000001</v>
      </c>
      <c r="R16" s="30">
        <f>INDEX($C$14:$U$14, _xlfn.RANK.EQ(R20, $C20:$U20) + COUNTIF($C20:R20, R20) - 1)</f>
        <v>16.596464999999998</v>
      </c>
      <c r="S16" s="30">
        <f>INDEX($C$14:$U$14, _xlfn.RANK.EQ(S20, $C20:$U20) + COUNTIF($C20:S20, S20) - 1)</f>
        <v>21.184925</v>
      </c>
      <c r="T16" s="30">
        <f>INDEX($C$14:$U$14, _xlfn.RANK.EQ(T20, $C20:$U20) + COUNTIF($C20:T20, T20) - 1)</f>
        <v>21.044574999999998</v>
      </c>
      <c r="U16" s="30">
        <f>INDEX($C$14:$U$14, _xlfn.RANK.EQ(U20, $C20:$U20) + COUNTIF($C20:U20, U20) - 1)</f>
        <v>9.5522320000000001</v>
      </c>
      <c r="V16" s="30">
        <f t="shared" si="6"/>
        <v>16.733703900000002</v>
      </c>
      <c r="W16" s="30">
        <f t="shared" si="7"/>
        <v>16.038417157894738</v>
      </c>
      <c r="X16" t="s">
        <v>79</v>
      </c>
    </row>
    <row r="18" spans="1:21" x14ac:dyDescent="0.35">
      <c r="A18" s="1" t="s">
        <v>98</v>
      </c>
    </row>
    <row r="19" spans="1:21" x14ac:dyDescent="0.35">
      <c r="A19" t="s">
        <v>75</v>
      </c>
      <c r="C19" s="31">
        <v>0.67644387335744371</v>
      </c>
      <c r="D19" s="31">
        <v>0.47418579468589028</v>
      </c>
      <c r="E19" s="31">
        <v>0.79191284201733858</v>
      </c>
      <c r="F19" s="31">
        <v>0.85845050624319708</v>
      </c>
      <c r="G19" s="31">
        <v>0.29119580343142981</v>
      </c>
      <c r="H19" s="31">
        <v>0.96698220369983379</v>
      </c>
      <c r="I19" s="31">
        <v>0.71660723236774859</v>
      </c>
      <c r="J19" s="31">
        <v>0.76657250740819849</v>
      </c>
      <c r="K19" s="31">
        <v>0.37210589764212265</v>
      </c>
      <c r="L19" s="31">
        <v>0.67238760239552131</v>
      </c>
      <c r="M19" s="31">
        <v>0.54861280840425941</v>
      </c>
      <c r="N19" s="31">
        <v>0.93847094237556061</v>
      </c>
      <c r="O19" s="31">
        <v>0.37036993145978159</v>
      </c>
      <c r="P19" s="31">
        <v>0.37012384678989274</v>
      </c>
      <c r="Q19" s="31">
        <v>5.0129257600194155E-2</v>
      </c>
      <c r="R19" s="31">
        <v>0.66224607523003343</v>
      </c>
      <c r="S19" s="31">
        <v>7.3598766477379618E-2</v>
      </c>
      <c r="T19" s="31">
        <v>0.14075741794709939</v>
      </c>
      <c r="U19" s="31">
        <v>4.0761876740060932E-2</v>
      </c>
    </row>
    <row r="20" spans="1:21" x14ac:dyDescent="0.35">
      <c r="A20" t="s">
        <v>76</v>
      </c>
      <c r="C20" s="31">
        <v>0.71178139473095614</v>
      </c>
      <c r="D20" s="31">
        <v>0.90508858194637953</v>
      </c>
      <c r="E20" s="31">
        <v>0.17598711058710848</v>
      </c>
      <c r="F20" s="31">
        <v>0.46040924842222275</v>
      </c>
      <c r="G20" s="31">
        <v>1.1082729617274412E-3</v>
      </c>
      <c r="H20" s="31">
        <v>0.4469646580924429</v>
      </c>
      <c r="I20" s="31">
        <v>0.76533202050878746</v>
      </c>
      <c r="J20" s="31">
        <v>0.83884971961311028</v>
      </c>
      <c r="K20" s="31">
        <v>0.13861192500449215</v>
      </c>
      <c r="L20" s="31">
        <v>0.86445706016894996</v>
      </c>
      <c r="M20" s="31">
        <v>0.27880519114550062</v>
      </c>
      <c r="N20" s="31">
        <v>4.9331580912537532E-2</v>
      </c>
      <c r="O20" s="31">
        <v>0.44358552686154573</v>
      </c>
      <c r="P20" s="31">
        <v>0.51627460025941363</v>
      </c>
      <c r="Q20" s="31">
        <v>0.19589373219881623</v>
      </c>
      <c r="R20" s="31">
        <v>0.57711767229760702</v>
      </c>
      <c r="S20" s="31">
        <v>0.11578704812173612</v>
      </c>
      <c r="T20" s="31">
        <v>0.75445830147475079</v>
      </c>
      <c r="U20" s="31">
        <v>0.50908150625985971</v>
      </c>
    </row>
    <row r="21" spans="1:21" x14ac:dyDescent="0.35">
      <c r="A21" t="s">
        <v>77</v>
      </c>
      <c r="C21" s="31">
        <v>0.49942177488685924</v>
      </c>
      <c r="D21" s="31">
        <v>0.73533205529292978</v>
      </c>
      <c r="E21" s="31">
        <v>3.6281905650776269E-2</v>
      </c>
      <c r="F21" s="31">
        <v>0.51032194818600674</v>
      </c>
      <c r="G21" s="31">
        <v>0.72301799545372614</v>
      </c>
      <c r="H21" s="31">
        <v>0.18140139614899009</v>
      </c>
      <c r="I21" s="31">
        <v>0.96487922099534429</v>
      </c>
      <c r="J21" s="31">
        <v>0.58598497382130921</v>
      </c>
      <c r="K21" s="31">
        <v>0.81220936811505928</v>
      </c>
      <c r="L21" s="31">
        <v>0.56799175094937815</v>
      </c>
      <c r="M21" s="31">
        <v>1.6868147569877312E-3</v>
      </c>
      <c r="N21" s="31">
        <v>0.81525247724513761</v>
      </c>
      <c r="O21" s="31">
        <v>0.43869003462286138</v>
      </c>
      <c r="P21" s="31">
        <v>0.41310932122101518</v>
      </c>
      <c r="Q21" s="31">
        <v>0.31390513036414502</v>
      </c>
      <c r="R21" s="31">
        <v>8.330275026684264E-2</v>
      </c>
      <c r="S21" s="31">
        <v>0.8318657658083044</v>
      </c>
      <c r="T21" s="31">
        <v>0.65077408918348401</v>
      </c>
      <c r="U21" s="31">
        <v>0.92682339319863516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14</v>
      </c>
    </row>
    <row r="2" spans="1:19" x14ac:dyDescent="0.35">
      <c r="A2" t="s">
        <v>15</v>
      </c>
    </row>
    <row r="4" spans="1:19" x14ac:dyDescent="0.35">
      <c r="A4" s="3" t="s">
        <v>16</v>
      </c>
      <c r="B4" s="3" t="s">
        <v>17</v>
      </c>
      <c r="C4" s="3" t="s">
        <v>18</v>
      </c>
      <c r="D4" s="3" t="s">
        <v>19</v>
      </c>
      <c r="E4" s="4" t="s">
        <v>20</v>
      </c>
      <c r="G4" s="3" t="s">
        <v>21</v>
      </c>
      <c r="H4" s="3" t="s">
        <v>22</v>
      </c>
      <c r="J4" s="3" t="s">
        <v>23</v>
      </c>
    </row>
    <row r="5" spans="1:19" x14ac:dyDescent="0.35">
      <c r="A5" s="5">
        <v>3370</v>
      </c>
      <c r="B5" s="6">
        <v>0</v>
      </c>
      <c r="C5" s="6">
        <v>1895000</v>
      </c>
      <c r="D5" s="6">
        <v>20303</v>
      </c>
      <c r="E5" s="2">
        <v>1</v>
      </c>
      <c r="G5" s="7">
        <f>C5</f>
        <v>1895000</v>
      </c>
      <c r="H5" s="8">
        <f>A5</f>
        <v>3370</v>
      </c>
      <c r="J5" t="s">
        <v>24</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25</v>
      </c>
      <c r="K7" t="s">
        <v>19</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26</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25</v>
      </c>
      <c r="K12" s="9" t="s">
        <v>20</v>
      </c>
      <c r="L12" t="s">
        <v>27</v>
      </c>
      <c r="M12" t="s">
        <v>28</v>
      </c>
      <c r="N12" t="s">
        <v>29</v>
      </c>
      <c r="O12" t="s">
        <v>30</v>
      </c>
      <c r="P12" t="s">
        <v>31</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139</v>
      </c>
    </row>
    <row r="2" spans="1:13" x14ac:dyDescent="0.35">
      <c r="A2" t="s">
        <v>15</v>
      </c>
    </row>
    <row r="3" spans="1:13" x14ac:dyDescent="0.35">
      <c r="C3">
        <v>2035000</v>
      </c>
    </row>
    <row r="4" spans="1:13" x14ac:dyDescent="0.35">
      <c r="A4" s="3" t="s">
        <v>16</v>
      </c>
      <c r="B4" s="3" t="s">
        <v>17</v>
      </c>
      <c r="C4" s="3" t="s">
        <v>18</v>
      </c>
      <c r="D4" s="3" t="s">
        <v>19</v>
      </c>
      <c r="E4" s="4" t="s">
        <v>20</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8">
        <v>60736</v>
      </c>
      <c r="C9" s="6">
        <f t="shared" si="0"/>
        <v>2095736</v>
      </c>
      <c r="D9" s="6">
        <v>30563.999999899999</v>
      </c>
      <c r="E9" s="2">
        <v>5</v>
      </c>
    </row>
    <row r="10" spans="1:13" x14ac:dyDescent="0.35">
      <c r="A10" s="5">
        <v>897.5</v>
      </c>
      <c r="B10" s="38">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ReadMe-Directions</vt:lpstr>
      <vt:lpstr>Master</vt:lpstr>
      <vt:lpstr>Millenium-LawOfRiver</vt:lpstr>
      <vt:lpstr>HydrologicScenarios</vt:lpstr>
      <vt:lpstr>Powell-Elevation-Area</vt:lpstr>
      <vt:lpstr>Mead-Elevation-Area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2021-05-07T22:13:21Z</dcterms:modified>
</cp:coreProperties>
</file>