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3"/>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3ED6CDEE-426E-4B5C-B516-5BCF757E79CF}" xr6:coauthVersionLast="36" xr6:coauthVersionMax="36" xr10:uidLastSave="{00000000-0000-0000-0000-000000000000}"/>
  <bookViews>
    <workbookView xWindow="0" yWindow="0" windowWidth="19200" windowHeight="6640" firstSheet="2" activeTab="4" xr2:uid="{5373AB19-D84C-490D-97DC-C516D358024A}"/>
  </bookViews>
  <sheets>
    <sheet name="ReadMe-Directions" sheetId="6" r:id="rId1"/>
    <sheet name="Master" sheetId="5" r:id="rId2"/>
    <sheet name="Millenium-LawOfRiver" sheetId="11" r:id="rId3"/>
    <sheet name="HydrologicScenarios" sheetId="7" r:id="rId4"/>
    <sheet name="Powell-Elevation-Area" sheetId="2" r:id="rId5"/>
    <sheet name="Mead-Elevation-Area" sheetId="10" r:id="rId6"/>
  </sheets>
  <externalReferences>
    <externalReference r:id="rId7"/>
  </externalReferenc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37" i="5" l="1"/>
  <c r="H37" i="5"/>
  <c r="I37" i="5"/>
  <c r="J37" i="5"/>
  <c r="K37" i="5"/>
  <c r="L37" i="5"/>
  <c r="D35" i="5"/>
  <c r="E35" i="5"/>
  <c r="F35" i="5"/>
  <c r="G35" i="5"/>
  <c r="H35" i="5"/>
  <c r="I35" i="5"/>
  <c r="J35" i="5"/>
  <c r="K35" i="5"/>
  <c r="L35" i="5"/>
  <c r="C35" i="5"/>
  <c r="C36" i="5" s="1"/>
  <c r="L59" i="11"/>
  <c r="K59" i="11"/>
  <c r="J59" i="11"/>
  <c r="I59" i="11"/>
  <c r="H59" i="11"/>
  <c r="G59" i="11"/>
  <c r="F59" i="11"/>
  <c r="E59" i="11"/>
  <c r="D59" i="11"/>
  <c r="C59" i="11"/>
  <c r="P58" i="11"/>
  <c r="O58" i="11"/>
  <c r="P57" i="11"/>
  <c r="O57" i="11"/>
  <c r="P56" i="11"/>
  <c r="O56" i="11"/>
  <c r="P55" i="11"/>
  <c r="O55" i="11"/>
  <c r="P54" i="11"/>
  <c r="O54" i="11"/>
  <c r="P53" i="11"/>
  <c r="O53" i="11"/>
  <c r="P52" i="11"/>
  <c r="O52" i="11"/>
  <c r="E52" i="11"/>
  <c r="F52" i="11" s="1"/>
  <c r="G52" i="11" s="1"/>
  <c r="H52" i="11" s="1"/>
  <c r="I52" i="11" s="1"/>
  <c r="J52" i="11" s="1"/>
  <c r="K52" i="11" s="1"/>
  <c r="L52" i="11" s="1"/>
  <c r="D52" i="11"/>
  <c r="P51" i="11"/>
  <c r="O51" i="11"/>
  <c r="L51" i="11"/>
  <c r="K51" i="11"/>
  <c r="J51" i="11"/>
  <c r="I51" i="11"/>
  <c r="H51" i="11"/>
  <c r="G51" i="11"/>
  <c r="F51" i="11"/>
  <c r="E51" i="11"/>
  <c r="D51" i="11"/>
  <c r="C51" i="11"/>
  <c r="D49" i="11"/>
  <c r="E49" i="11" s="1"/>
  <c r="F49" i="11" s="1"/>
  <c r="G49" i="11" s="1"/>
  <c r="H49" i="11" s="1"/>
  <c r="I49" i="11" s="1"/>
  <c r="J49" i="11" s="1"/>
  <c r="K49" i="11" s="1"/>
  <c r="L49" i="11" s="1"/>
  <c r="M43" i="11"/>
  <c r="M41" i="11"/>
  <c r="C36" i="11"/>
  <c r="C38" i="11" s="1"/>
  <c r="E35" i="11"/>
  <c r="E36" i="11" s="1"/>
  <c r="D35" i="11"/>
  <c r="D36" i="11" s="1"/>
  <c r="B30" i="11"/>
  <c r="C29" i="11"/>
  <c r="C27" i="11"/>
  <c r="C26" i="11"/>
  <c r="C50" i="11" s="1"/>
  <c r="C60" i="11" s="1"/>
  <c r="C25" i="11"/>
  <c r="L23" i="11"/>
  <c r="K23" i="11"/>
  <c r="J23" i="11"/>
  <c r="I23" i="11"/>
  <c r="H23" i="11"/>
  <c r="G23" i="11"/>
  <c r="F23" i="11"/>
  <c r="E23" i="11"/>
  <c r="D23" i="11"/>
  <c r="C23" i="11"/>
  <c r="P58" i="5"/>
  <c r="O58" i="5"/>
  <c r="P57" i="5"/>
  <c r="O57" i="5"/>
  <c r="P56" i="5"/>
  <c r="O56" i="5"/>
  <c r="P55" i="5"/>
  <c r="O55" i="5"/>
  <c r="P54" i="5"/>
  <c r="O54" i="5"/>
  <c r="P53" i="5"/>
  <c r="O53" i="5"/>
  <c r="P52" i="5"/>
  <c r="O52" i="5"/>
  <c r="P51" i="5"/>
  <c r="O51" i="5"/>
  <c r="F51" i="5"/>
  <c r="G51" i="5"/>
  <c r="H51" i="5"/>
  <c r="I51" i="5"/>
  <c r="J51" i="5"/>
  <c r="K51" i="5"/>
  <c r="L51" i="5"/>
  <c r="D51" i="5"/>
  <c r="E51" i="5"/>
  <c r="D23" i="5"/>
  <c r="E23" i="5"/>
  <c r="F23" i="5"/>
  <c r="G23" i="5"/>
  <c r="H23" i="5"/>
  <c r="I23" i="5"/>
  <c r="J23" i="5"/>
  <c r="K23" i="5"/>
  <c r="L23" i="5"/>
  <c r="C51" i="5"/>
  <c r="D59" i="5"/>
  <c r="E59" i="5"/>
  <c r="F59" i="5"/>
  <c r="G59" i="5"/>
  <c r="H59" i="5"/>
  <c r="I59" i="5"/>
  <c r="J59" i="5"/>
  <c r="K59" i="5"/>
  <c r="L59" i="5"/>
  <c r="C59" i="5"/>
  <c r="C23" i="5"/>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B30" i="5"/>
  <c r="C27" i="5"/>
  <c r="C26" i="5"/>
  <c r="C25" i="5"/>
  <c r="C29" i="5" s="1"/>
  <c r="C31" i="5" l="1"/>
  <c r="C33" i="5" s="1"/>
  <c r="C30" i="5"/>
  <c r="D38" i="11"/>
  <c r="D37" i="11"/>
  <c r="E38" i="11"/>
  <c r="E37" i="11" s="1"/>
  <c r="F35" i="11"/>
  <c r="C24" i="11"/>
  <c r="C37" i="11"/>
  <c r="C30" i="11"/>
  <c r="C31" i="11"/>
  <c r="C38" i="5"/>
  <c r="C37" i="5" s="1"/>
  <c r="C60" i="5"/>
  <c r="C24" i="5"/>
  <c r="C32" i="5" l="1"/>
  <c r="C34" i="5"/>
  <c r="C47" i="5" s="1"/>
  <c r="C56" i="5" s="1"/>
  <c r="C46" i="5"/>
  <c r="F36" i="11"/>
  <c r="G35" i="11"/>
  <c r="C34" i="11"/>
  <c r="C47" i="11" s="1"/>
  <c r="C56" i="11" s="1"/>
  <c r="C33" i="11"/>
  <c r="C46" i="11" s="1"/>
  <c r="C55" i="11" s="1"/>
  <c r="D26" i="11" s="1"/>
  <c r="C32" i="11"/>
  <c r="C45" i="11" s="1"/>
  <c r="C54" i="11" s="1"/>
  <c r="C57" i="11" l="1"/>
  <c r="D24" i="11" s="1"/>
  <c r="D25" i="11"/>
  <c r="D50" i="11"/>
  <c r="D60" i="11" s="1"/>
  <c r="G36" i="11"/>
  <c r="H35" i="11"/>
  <c r="F38" i="11"/>
  <c r="F37" i="11"/>
  <c r="D31" i="11" l="1"/>
  <c r="G37" i="11"/>
  <c r="G38" i="11"/>
  <c r="D30" i="11"/>
  <c r="D29" i="11"/>
  <c r="D27" i="11"/>
  <c r="H36" i="11"/>
  <c r="I35" i="11"/>
  <c r="D34" i="11" l="1"/>
  <c r="D47" i="11" s="1"/>
  <c r="D56" i="11" s="1"/>
  <c r="D33" i="11"/>
  <c r="D46" i="11" s="1"/>
  <c r="D55" i="11" s="1"/>
  <c r="E26" i="11" s="1"/>
  <c r="D32" i="11"/>
  <c r="D45" i="11" s="1"/>
  <c r="D54" i="11" s="1"/>
  <c r="I36" i="11"/>
  <c r="J35" i="11"/>
  <c r="H38" i="11"/>
  <c r="H37" i="11" s="1"/>
  <c r="E50" i="11" l="1"/>
  <c r="E60" i="11" s="1"/>
  <c r="J36" i="11"/>
  <c r="K35" i="11"/>
  <c r="I38" i="11"/>
  <c r="I37" i="11" s="1"/>
  <c r="D57" i="11"/>
  <c r="E24" i="11" s="1"/>
  <c r="E25" i="11"/>
  <c r="E31" i="11" l="1"/>
  <c r="J38" i="11"/>
  <c r="J37" i="11" s="1"/>
  <c r="E29" i="11"/>
  <c r="E27" i="11"/>
  <c r="E30" i="11"/>
  <c r="L35" i="11"/>
  <c r="L36" i="11" s="1"/>
  <c r="K36" i="11"/>
  <c r="K38" i="11" l="1"/>
  <c r="K37" i="11" s="1"/>
  <c r="L38" i="11"/>
  <c r="L37" i="11" s="1"/>
  <c r="E34" i="11"/>
  <c r="E47" i="11" s="1"/>
  <c r="E56" i="11" s="1"/>
  <c r="E33" i="11"/>
  <c r="E46" i="11" s="1"/>
  <c r="E55" i="11" s="1"/>
  <c r="F26" i="11" s="1"/>
  <c r="E32" i="11"/>
  <c r="E45" i="11" s="1"/>
  <c r="E54" i="11" s="1"/>
  <c r="F25" i="11" l="1"/>
  <c r="E57" i="11"/>
  <c r="F24" i="11" s="1"/>
  <c r="F50" i="11"/>
  <c r="F60" i="11" s="1"/>
  <c r="F31" i="11" l="1"/>
  <c r="F29" i="11"/>
  <c r="F27" i="11"/>
  <c r="F30" i="11"/>
  <c r="F33" i="11" l="1"/>
  <c r="F46" i="11" s="1"/>
  <c r="F55" i="11" s="1"/>
  <c r="G26" i="11" s="1"/>
  <c r="F32" i="11"/>
  <c r="F45" i="11" s="1"/>
  <c r="F54" i="11" s="1"/>
  <c r="F34" i="11"/>
  <c r="F47" i="11" s="1"/>
  <c r="F56" i="11" s="1"/>
  <c r="G25" i="11" l="1"/>
  <c r="F57" i="11"/>
  <c r="G24" i="11" s="1"/>
  <c r="G50" i="11"/>
  <c r="G60" i="11" s="1"/>
  <c r="G27" i="11" l="1"/>
  <c r="G29" i="11"/>
  <c r="G30" i="11"/>
  <c r="G31" i="11"/>
  <c r="G33" i="11" l="1"/>
  <c r="G46" i="11" s="1"/>
  <c r="G55" i="11" s="1"/>
  <c r="H26" i="11" s="1"/>
  <c r="G32" i="11"/>
  <c r="G45" i="11" s="1"/>
  <c r="G54" i="11" s="1"/>
  <c r="G34" i="11"/>
  <c r="G47" i="11"/>
  <c r="G56" i="11" s="1"/>
  <c r="G57" i="11" l="1"/>
  <c r="H24" i="11" s="1"/>
  <c r="H25" i="11"/>
  <c r="H50" i="11"/>
  <c r="H60" i="11" s="1"/>
  <c r="H29" i="11" l="1"/>
  <c r="H27" i="11"/>
  <c r="H30" i="11"/>
  <c r="H31" i="11"/>
  <c r="H32" i="11" l="1"/>
  <c r="H45" i="11" s="1"/>
  <c r="H54" i="11" s="1"/>
  <c r="H33" i="11"/>
  <c r="H46" i="11" s="1"/>
  <c r="H55" i="11" s="1"/>
  <c r="I26" i="11" s="1"/>
  <c r="H34" i="11"/>
  <c r="H47" i="11"/>
  <c r="H56" i="11" s="1"/>
  <c r="I50" i="11" l="1"/>
  <c r="I60" i="11" s="1"/>
  <c r="H57" i="11"/>
  <c r="I24" i="11" s="1"/>
  <c r="I25" i="11"/>
  <c r="I27" i="11" l="1"/>
  <c r="I29" i="11"/>
  <c r="I30" i="11"/>
  <c r="I31" i="11"/>
  <c r="I32" i="11" l="1"/>
  <c r="I45" i="11" s="1"/>
  <c r="I54" i="11" s="1"/>
  <c r="I34" i="11"/>
  <c r="I47" i="11" s="1"/>
  <c r="I56" i="11" s="1"/>
  <c r="I33" i="11"/>
  <c r="I46" i="11" s="1"/>
  <c r="I55" i="11" s="1"/>
  <c r="J26" i="11" s="1"/>
  <c r="J50" i="11" l="1"/>
  <c r="J60" i="11" s="1"/>
  <c r="I57" i="11"/>
  <c r="J24" i="11" s="1"/>
  <c r="J25" i="11"/>
  <c r="J27" i="11" l="1"/>
  <c r="J29" i="11"/>
  <c r="J30" i="11"/>
  <c r="J31" i="11"/>
  <c r="J34" i="11" l="1"/>
  <c r="J33" i="11"/>
  <c r="J46" i="11" s="1"/>
  <c r="J55" i="11" s="1"/>
  <c r="K26" i="11" s="1"/>
  <c r="J32" i="11"/>
  <c r="J45" i="11" s="1"/>
  <c r="J54" i="11" s="1"/>
  <c r="J47" i="11"/>
  <c r="J56" i="11" s="1"/>
  <c r="J57" i="11" l="1"/>
  <c r="K24" i="11" s="1"/>
  <c r="K25" i="11"/>
  <c r="K50" i="11"/>
  <c r="K60" i="11" s="1"/>
  <c r="K31" i="11" l="1"/>
  <c r="K27" i="11"/>
  <c r="K29" i="11"/>
  <c r="K30" i="11"/>
  <c r="K34" i="11" l="1"/>
  <c r="K47" i="11" s="1"/>
  <c r="K56" i="11" s="1"/>
  <c r="K33" i="11"/>
  <c r="K46" i="11" s="1"/>
  <c r="K55" i="11" s="1"/>
  <c r="L26" i="11" s="1"/>
  <c r="K32" i="11"/>
  <c r="K45" i="11" s="1"/>
  <c r="K54" i="11" s="1"/>
  <c r="K57" i="11" l="1"/>
  <c r="L24" i="11" s="1"/>
  <c r="L25" i="11"/>
  <c r="L50" i="11"/>
  <c r="L60" i="11" s="1"/>
  <c r="L31" i="11" l="1"/>
  <c r="L30" i="11"/>
  <c r="L29" i="11"/>
  <c r="L27" i="11"/>
  <c r="L34" i="11" l="1"/>
  <c r="L47" i="11" s="1"/>
  <c r="L56" i="11" s="1"/>
  <c r="L33" i="11"/>
  <c r="L46" i="11" s="1"/>
  <c r="L55" i="11" s="1"/>
  <c r="L32" i="11"/>
  <c r="L45" i="11" s="1"/>
  <c r="L54" i="11" s="1"/>
  <c r="L57" i="11" l="1"/>
  <c r="M43" i="5" l="1"/>
  <c r="V15" i="7" l="1"/>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M41" i="5" l="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V11" i="7" l="1"/>
  <c r="W11" i="7"/>
  <c r="V6" i="7"/>
  <c r="W6" i="7"/>
  <c r="D36" i="5"/>
  <c r="D38" i="5" l="1"/>
  <c r="D37" i="5"/>
  <c r="V8" i="7"/>
  <c r="W8" i="7"/>
  <c r="F36" i="5" l="1"/>
  <c r="E36" i="5"/>
  <c r="C45" i="5"/>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F38" i="5" l="1"/>
  <c r="F37" i="5" s="1"/>
  <c r="E38" i="5"/>
  <c r="E37" i="5"/>
  <c r="H36" i="5"/>
  <c r="H38" i="5" s="1"/>
  <c r="G36" i="5"/>
  <c r="G38" i="5" s="1"/>
  <c r="C54" i="5"/>
  <c r="D25" i="5" s="1"/>
  <c r="C55" i="5"/>
  <c r="D26" i="5" s="1"/>
  <c r="V10" i="7"/>
  <c r="W10" i="7"/>
  <c r="I36" i="5"/>
  <c r="I38" i="5" s="1"/>
  <c r="K13" i="2"/>
  <c r="L13" i="2" s="1"/>
  <c r="K8" i="2"/>
  <c r="D60" i="5" l="1"/>
  <c r="C57" i="5"/>
  <c r="D24" i="5" s="1"/>
  <c r="D31" i="5"/>
  <c r="J36" i="5"/>
  <c r="J38" i="5" s="1"/>
  <c r="N13" i="2"/>
  <c r="O13" i="2"/>
  <c r="M13" i="2"/>
  <c r="D33" i="5" l="1"/>
  <c r="D32" i="5"/>
  <c r="D45" i="5" s="1"/>
  <c r="D54" i="5" s="1"/>
  <c r="D29" i="5"/>
  <c r="D27" i="5"/>
  <c r="D34" i="5" s="1"/>
  <c r="D47" i="5" s="1"/>
  <c r="D56" i="5" s="1"/>
  <c r="D30" i="5"/>
  <c r="K36" i="5"/>
  <c r="K38" i="5" s="1"/>
  <c r="P13" i="2"/>
  <c r="D46" i="5" l="1"/>
  <c r="D55" i="5" s="1"/>
  <c r="E25" i="5"/>
  <c r="L36" i="5"/>
  <c r="L38" i="5" s="1"/>
  <c r="E26" i="5" l="1"/>
  <c r="D57" i="5"/>
  <c r="E24" i="5" s="1"/>
  <c r="E29" i="5" s="1"/>
  <c r="E31" i="5"/>
  <c r="E32" i="5" s="1"/>
  <c r="E45" i="5" s="1"/>
  <c r="E54" i="5" s="1"/>
  <c r="E60" i="5" l="1"/>
  <c r="E30" i="5"/>
  <c r="E27" i="5"/>
  <c r="E34" i="5" s="1"/>
  <c r="E47" i="5" s="1"/>
  <c r="E56" i="5" s="1"/>
  <c r="E33" i="5"/>
  <c r="E46" i="5" s="1"/>
  <c r="F25" i="5"/>
  <c r="E55" i="5" l="1"/>
  <c r="F26" i="5"/>
  <c r="E57" i="5"/>
  <c r="F24" i="5" s="1"/>
  <c r="F27" i="5" s="1"/>
  <c r="F31" i="5"/>
  <c r="F32" i="5" s="1"/>
  <c r="F45" i="5" s="1"/>
  <c r="F54" i="5" s="1"/>
  <c r="G25" i="5" s="1"/>
  <c r="F30" i="5" l="1"/>
  <c r="F29" i="5"/>
  <c r="F34" i="5"/>
  <c r="F47" i="5" s="1"/>
  <c r="F56" i="5" s="1"/>
  <c r="F33" i="5"/>
  <c r="F46" i="5" s="1"/>
  <c r="F60" i="5"/>
  <c r="F55" i="5" l="1"/>
  <c r="G26" i="5" l="1"/>
  <c r="F57" i="5"/>
  <c r="G24" i="5" s="1"/>
  <c r="G29" i="5" l="1"/>
  <c r="G30" i="5"/>
  <c r="G27" i="5"/>
  <c r="G60" i="5"/>
  <c r="G31" i="5"/>
  <c r="G33" i="5" l="1"/>
  <c r="G32" i="5"/>
  <c r="G45" i="5" s="1"/>
  <c r="G54" i="5" s="1"/>
  <c r="G34" i="5"/>
  <c r="G47" i="5" s="1"/>
  <c r="G56" i="5" s="1"/>
  <c r="H25" i="5" l="1"/>
  <c r="G46" i="5"/>
  <c r="G55" i="5" s="1"/>
  <c r="H26" i="5" l="1"/>
  <c r="G57" i="5"/>
  <c r="H24" i="5" s="1"/>
  <c r="H31" i="5"/>
  <c r="H33" i="5" l="1"/>
  <c r="H32" i="5"/>
  <c r="H45" i="5" s="1"/>
  <c r="H54" i="5" s="1"/>
  <c r="H29" i="5"/>
  <c r="H30" i="5"/>
  <c r="H27" i="5"/>
  <c r="H34" i="5" s="1"/>
  <c r="H47" i="5" s="1"/>
  <c r="H56" i="5" s="1"/>
  <c r="H60" i="5"/>
  <c r="H46" i="5" l="1"/>
  <c r="H55" i="5" s="1"/>
  <c r="I25" i="5"/>
  <c r="I26" i="5" l="1"/>
  <c r="H57" i="5"/>
  <c r="I24" i="5" s="1"/>
  <c r="I31" i="5"/>
  <c r="I27" i="5" l="1"/>
  <c r="I30" i="5"/>
  <c r="I29" i="5"/>
  <c r="I34" i="5"/>
  <c r="I47" i="5" s="1"/>
  <c r="I56" i="5" s="1"/>
  <c r="I32" i="5"/>
  <c r="I45" i="5" s="1"/>
  <c r="I54" i="5" s="1"/>
  <c r="I33" i="5"/>
  <c r="I60" i="5"/>
  <c r="I46" i="5"/>
  <c r="I55" i="5" l="1"/>
  <c r="J26" i="5" s="1"/>
  <c r="J25" i="5"/>
  <c r="J31" i="5" s="1"/>
  <c r="I57" i="5" l="1"/>
  <c r="J24" i="5" s="1"/>
  <c r="J33" i="5" s="1"/>
  <c r="J60" i="5"/>
  <c r="J29" i="5" l="1"/>
  <c r="J27" i="5"/>
  <c r="J34" i="5" s="1"/>
  <c r="J47" i="5" s="1"/>
  <c r="J56" i="5" s="1"/>
  <c r="J30" i="5"/>
  <c r="J46" i="5"/>
  <c r="J55" i="5" s="1"/>
  <c r="K26" i="5" s="1"/>
  <c r="J32" i="5"/>
  <c r="J45" i="5" s="1"/>
  <c r="J54" i="5" s="1"/>
  <c r="K60" i="5" l="1"/>
  <c r="K25" i="5"/>
  <c r="K31" i="5" s="1"/>
  <c r="J57" i="5"/>
  <c r="K24" i="5" s="1"/>
  <c r="K27" i="5" l="1"/>
  <c r="K34" i="5" s="1"/>
  <c r="K47" i="5" s="1"/>
  <c r="K56" i="5" s="1"/>
  <c r="K30" i="5"/>
  <c r="K29" i="5"/>
  <c r="K33" i="5"/>
  <c r="K32" i="5"/>
  <c r="K45" i="5" s="1"/>
  <c r="K54" i="5" s="1"/>
  <c r="K46" i="5" l="1"/>
  <c r="K55" i="5" s="1"/>
  <c r="L26" i="5" s="1"/>
  <c r="L25" i="5"/>
  <c r="L60" i="5" l="1"/>
  <c r="L31" i="5"/>
  <c r="K57" i="5"/>
  <c r="L24" i="5" s="1"/>
  <c r="L30" i="5" l="1"/>
  <c r="L27" i="5"/>
  <c r="L34" i="5" s="1"/>
  <c r="L47" i="5" s="1"/>
  <c r="L56" i="5" s="1"/>
  <c r="L29" i="5"/>
  <c r="L33" i="5"/>
  <c r="L32" i="5"/>
  <c r="L45" i="5" s="1"/>
  <c r="L54" i="5" s="1"/>
  <c r="L46" i="5" l="1"/>
  <c r="L55" i="5" s="1"/>
  <c r="L57" i="5" s="1"/>
</calcChain>
</file>

<file path=xl/sharedStrings.xml><?xml version="1.0" encoding="utf-8"?>
<sst xmlns="http://schemas.openxmlformats.org/spreadsheetml/2006/main" count="273" uniqueCount="158">
  <si>
    <t xml:space="preserve">    To Upper Basin</t>
  </si>
  <si>
    <t xml:space="preserve">    To Lower Basin</t>
  </si>
  <si>
    <t xml:space="preserve">    Upper Basin</t>
  </si>
  <si>
    <t xml:space="preserve">    Lower Basin</t>
  </si>
  <si>
    <t xml:space="preserve">    Mexico</t>
  </si>
  <si>
    <t>Account end-of-year balance</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</si>
  <si>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</si>
  <si>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</si>
  <si>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</si>
  <si>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</si>
  <si>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</si>
  <si>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</si>
  <si>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</si>
  <si>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</si>
  <si>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</si>
  <si>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</si>
  <si>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</si>
  <si>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</si>
  <si>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</si>
  <si>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</si>
  <si>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</si>
  <si>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</si>
  <si>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</si>
  <si>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</si>
  <si>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</si>
  <si>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</si>
  <si>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</si>
  <si>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</si>
  <si>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</si>
  <si>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</si>
  <si>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</si>
  <si>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</si>
  <si>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</si>
  <si>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</si>
  <si>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</si>
  <si>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</si>
  <si>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</si>
  <si>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</si>
  <si>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</si>
  <si>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</si>
  <si>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</si>
  <si>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</si>
  <si>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</si>
  <si>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</si>
  <si>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</si>
  <si>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</si>
  <si>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</si>
  <si>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</si>
  <si>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</si>
  <si>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</si>
  <si>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</si>
  <si>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</si>
  <si>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</si>
  <si>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</si>
  <si>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</si>
  <si>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On the new worksheet, assign a role to each person (Rows 3 to 8).</t>
  </si>
  <si>
    <t>Hydrology to use (facilitator may or may not reveal to players):</t>
  </si>
  <si>
    <t>Enter a Powell starting storage in Cell B19.</t>
  </si>
  <si>
    <t>In Year 1, Facilitator enters the natural inflow to Lake Powell in Cell C22.</t>
  </si>
  <si>
    <t>Continue to Year 2 in Column D. Facilitator enters next Natural Inflow to Lake Powell in Cell D22.</t>
  </si>
  <si>
    <t>Repeat Steps #5-#9 for as many years  (columns D, E, F, …) as desired. Stop when you no longer gain new insights about the system.</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</si>
  <si>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</si>
  <si>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</si>
  <si>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</si>
  <si>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</si>
  <si>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</si>
  <si>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</si>
  <si>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</si>
  <si>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</si>
  <si>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</si>
  <si>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</si>
  <si>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</si>
  <si>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</si>
  <si>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</si>
  <si>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</si>
  <si>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</si>
  <si>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</si>
  <si>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</si>
  <si>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</si>
  <si>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</si>
  <si>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</si>
  <si>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</si>
  <si>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</si>
  <si>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</si>
  <si>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</si>
  <si>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</si>
  <si>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</si>
  <si>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</si>
  <si>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</si>
  <si>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</si>
  <si>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</si>
  <si>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</si>
  <si>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</si>
  <si>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</si>
  <si>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</si>
  <si>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</si>
  <si>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</si>
  <si>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</si>
  <si>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</si>
  <si>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</si>
  <si>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Facilitator chooses a Hydrologic Scenario in Row 15. Facilitator may or may not reveal the hydrologic scenario to the players. See HydrologicScenarios worksheet for some potential hydrologies.</t>
  </si>
  <si>
    <t>Description of Worksheets</t>
  </si>
  <si>
    <t>Master</t>
  </si>
  <si>
    <t>Blank model template. Copy to a new sheet before using. See directions above for use.</t>
  </si>
  <si>
    <t>Mellennium-DER</t>
  </si>
  <si>
    <t>HydrologicScenarios</t>
  </si>
  <si>
    <t>Potential hydrologic scenarios to use in the role play. Millennium drought, scrambled years, drier and wetter decades</t>
  </si>
  <si>
    <t>Powell-Elevation-Area</t>
  </si>
  <si>
    <t>The Lake Powell storage volume-elevation-area curve data downloaded from CRSS.</t>
  </si>
  <si>
    <t>A completed role play of the Millennium Drought continuing for 10 more years where David Rosenberg (DER) played all roles</t>
  </si>
  <si>
    <t>Role play again (steps #2-11) for different management decisions, hydrologic scenarios, one-time allocations of starting Lake Powell storage, allocations of natural flow, etc.</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</si>
  <si>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</si>
  <si>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</si>
  <si>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</si>
  <si>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</si>
  <si>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</si>
  <si>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</si>
  <si>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</si>
  <si>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</si>
  <si>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</si>
  <si>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This interactive water budget allows a facillitator and representatives of the Upper Basin, Lower Basin, and Mexico to role play Lake Powell management year by year. A facilitator decides the hydrology to use and reveals natural inflow to Lake Powell year-by-year to the players. Each player decides the volume to consumptively use/release/store each year. Additionally, the Upper Basin can voluntarily transfer stored water to the Lower Basin with compensation and Mexico can voluntarily transfer stored water to the Lower Basin with compensation. The interactive water budget tracks physical water budget items such as Powell evaporation rate, Powell starting storage, natural inflow to Lake Powell, and Evaporated volume on Rows 18, 19, 22, and 27. The interactive water budget also assigns the Upper Basin, Lower Basin, and Mexico a share of the evaporated volume based on each entity's share of total Lake Powell storage. The interactive water budget also tracks one time political (water manager) decisions such as Division of existing Powell storage and Division of Annual available water among users in Column B, Rows 24-26 and 33-34). The interactive water budget also tracks Annual political (water manager) decisions  such as the Mexico treaty bligation, Withdrawals/Consumptive Use from Lake Powell accounts, water transfers among users, and payments for transfers on Rows 28, 45-47, and 36-39).</t>
  </si>
  <si>
    <t>We recommend to move this Excel workbook into Google Docs so that all users can access syncronously.</t>
  </si>
  <si>
    <t>Model calculates available water to release/use. Each player enters their withdrawal from their Lake Powell account/consumptive use in Cells C45:C47. Check other players released/used water within their budget!!</t>
  </si>
  <si>
    <t>The Upper Basin and Mexico can additionally transfer water with payment to the Lower Basin in Cells C36:C39.</t>
  </si>
  <si>
    <t>Observe the Annual Powell release, ending storages in accounts, and Lake Powell ending storage in Cells C48:C53.</t>
  </si>
  <si>
    <t>Directions to complete the Interactive Water Budget:</t>
  </si>
  <si>
    <t>David E. Rosenberg (2021). "Interactive Water Budget and Role Play for Lake Powell, Colorado River." Utah State University, Logan, UT. https://github.com/dzeke/ColoradoRiverFutures/tree/master/InteractiveWaterBudget-LakePowell</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</si>
  <si>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</si>
  <si>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</si>
  <si>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</si>
  <si>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</si>
  <si>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</si>
  <si>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</si>
  <si>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</si>
  <si>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</si>
  <si>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</si>
  <si>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</si>
  <si>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</si>
  <si>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</si>
  <si>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</si>
  <si>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</si>
  <si>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</si>
  <si>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</si>
  <si>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</si>
  <si>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</si>
  <si>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</si>
  <si>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Reservoir Releases</t>
  </si>
  <si>
    <t xml:space="preserve">    Upper Basin (from Powell)</t>
  </si>
  <si>
    <t xml:space="preserve">    Lower Basin (from Mead)</t>
  </si>
  <si>
    <t xml:space="preserve">    Mexico (from Mead)</t>
  </si>
  <si>
    <t xml:space="preserve">    Mohave / Havasu Evaporation &amp; ET (from Mead)</t>
  </si>
  <si>
    <t>Drought Contingency Plan Helper</t>
  </si>
  <si>
    <t>Mead Elev (ft)</t>
  </si>
  <si>
    <t>Mead Vol (maf)</t>
  </si>
  <si>
    <t>LB Cutback (maf/year)</t>
  </si>
  <si>
    <t>MX Cutback</t>
  </si>
  <si>
    <t>Total Cutback (maf/year)</t>
  </si>
  <si>
    <t>Split of Lee Ferry Natural after half of Mexico obligation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</si>
</sst>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s>
  <fonts count="6"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s>
  <fills count="7">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59">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3" fillId="2" borderId="1" xfId="2"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0" fontId="3" fillId="2" borderId="1" xfId="2" applyAlignment="1">
      <alignment horizontal="center"/>
    </xf>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0" fillId="0" borderId="0" xfId="0" applyFont="1" applyAlignment="1">
      <alignment horizontal="left" wrapText="1"/>
    </xf>
    <xf numFmtId="0" fontId="3" fillId="2" borderId="1" xfId="2"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InteractiveWaterBudget-PowellMea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adMe-Directions"/>
      <sheetName val="Master"/>
      <sheetName val="HydrologicScenarios"/>
      <sheetName val="Millennium-DER"/>
      <sheetName val="Millennium-LawOfRiver"/>
      <sheetName val="Powell-Elevation-Area"/>
      <sheetName val="Mead-Elevation-Area"/>
    </sheetNames>
    <sheetDataSet>
      <sheetData sheetId="0" refreshError="1"/>
      <sheetData sheetId="1" refreshError="1"/>
      <sheetData sheetId="2" refreshError="1"/>
      <sheetData sheetId="3" refreshError="1"/>
      <sheetData sheetId="4" refreshError="1"/>
      <sheetData sheetId="5" refreshError="1"/>
      <sheetData sheetId="6">
        <row r="5">
          <cell r="A5">
            <v>895</v>
          </cell>
          <cell r="B5">
            <v>0</v>
          </cell>
        </row>
        <row r="6">
          <cell r="A6">
            <v>895.5</v>
          </cell>
          <cell r="B6">
            <v>15111</v>
          </cell>
        </row>
        <row r="7">
          <cell r="A7">
            <v>896</v>
          </cell>
          <cell r="B7">
            <v>30270</v>
          </cell>
        </row>
        <row r="8">
          <cell r="A8">
            <v>896.5</v>
          </cell>
          <cell r="B8">
            <v>45479</v>
          </cell>
        </row>
        <row r="9">
          <cell r="A9">
            <v>897</v>
          </cell>
          <cell r="B9">
            <v>60736</v>
          </cell>
        </row>
        <row r="10">
          <cell r="A10">
            <v>897.5</v>
          </cell>
          <cell r="B10">
            <v>76043</v>
          </cell>
        </row>
        <row r="11">
          <cell r="A11">
            <v>898</v>
          </cell>
          <cell r="B11">
            <v>91397.999999899999</v>
          </cell>
        </row>
        <row r="12">
          <cell r="A12">
            <v>898.5</v>
          </cell>
          <cell r="B12">
            <v>106803</v>
          </cell>
        </row>
        <row r="13">
          <cell r="A13">
            <v>899</v>
          </cell>
          <cell r="B13">
            <v>122257</v>
          </cell>
        </row>
        <row r="14">
          <cell r="A14">
            <v>899.5</v>
          </cell>
          <cell r="B14">
            <v>137759</v>
          </cell>
        </row>
        <row r="15">
          <cell r="A15">
            <v>900</v>
          </cell>
          <cell r="B15">
            <v>153311</v>
          </cell>
        </row>
        <row r="16">
          <cell r="A16">
            <v>900.5</v>
          </cell>
          <cell r="B16">
            <v>168917</v>
          </cell>
        </row>
        <row r="17">
          <cell r="A17">
            <v>901</v>
          </cell>
          <cell r="B17">
            <v>184584</v>
          </cell>
        </row>
        <row r="18">
          <cell r="A18">
            <v>901.5</v>
          </cell>
          <cell r="B18">
            <v>200311</v>
          </cell>
        </row>
        <row r="19">
          <cell r="A19">
            <v>902</v>
          </cell>
          <cell r="B19">
            <v>216098</v>
          </cell>
        </row>
        <row r="20">
          <cell r="A20">
            <v>902.5</v>
          </cell>
          <cell r="B20">
            <v>231946</v>
          </cell>
        </row>
        <row r="21">
          <cell r="A21">
            <v>903</v>
          </cell>
          <cell r="B21">
            <v>247854</v>
          </cell>
        </row>
        <row r="22">
          <cell r="A22">
            <v>903.5</v>
          </cell>
          <cell r="B22">
            <v>263822</v>
          </cell>
        </row>
        <row r="23">
          <cell r="A23">
            <v>904</v>
          </cell>
          <cell r="B23">
            <v>279851</v>
          </cell>
        </row>
        <row r="24">
          <cell r="A24">
            <v>904.5</v>
          </cell>
          <cell r="B24">
            <v>295939</v>
          </cell>
        </row>
        <row r="25">
          <cell r="A25">
            <v>905</v>
          </cell>
          <cell r="B25">
            <v>312088</v>
          </cell>
        </row>
        <row r="26">
          <cell r="A26">
            <v>905.5</v>
          </cell>
          <cell r="B26">
            <v>328298</v>
          </cell>
        </row>
        <row r="27">
          <cell r="A27">
            <v>906</v>
          </cell>
          <cell r="B27">
            <v>344568</v>
          </cell>
        </row>
        <row r="28">
          <cell r="A28">
            <v>906.5</v>
          </cell>
          <cell r="B28">
            <v>360898</v>
          </cell>
        </row>
        <row r="29">
          <cell r="A29">
            <v>907</v>
          </cell>
          <cell r="B29">
            <v>377288</v>
          </cell>
        </row>
        <row r="30">
          <cell r="A30">
            <v>907.5</v>
          </cell>
          <cell r="B30">
            <v>393739</v>
          </cell>
        </row>
        <row r="31">
          <cell r="A31">
            <v>908</v>
          </cell>
          <cell r="B31">
            <v>410250</v>
          </cell>
        </row>
        <row r="32">
          <cell r="A32">
            <v>908.5</v>
          </cell>
          <cell r="B32">
            <v>426821</v>
          </cell>
        </row>
        <row r="33">
          <cell r="A33">
            <v>909</v>
          </cell>
          <cell r="B33">
            <v>443452</v>
          </cell>
        </row>
        <row r="34">
          <cell r="A34">
            <v>909.5</v>
          </cell>
          <cell r="B34">
            <v>460144</v>
          </cell>
        </row>
        <row r="35">
          <cell r="A35">
            <v>910</v>
          </cell>
          <cell r="B35">
            <v>476896</v>
          </cell>
        </row>
        <row r="36">
          <cell r="A36">
            <v>910.5</v>
          </cell>
          <cell r="B36">
            <v>493708</v>
          </cell>
        </row>
        <row r="37">
          <cell r="A37">
            <v>911</v>
          </cell>
          <cell r="B37">
            <v>510579</v>
          </cell>
        </row>
        <row r="38">
          <cell r="A38">
            <v>911.5</v>
          </cell>
          <cell r="B38">
            <v>527509</v>
          </cell>
        </row>
        <row r="39">
          <cell r="A39">
            <v>912</v>
          </cell>
          <cell r="B39">
            <v>544497</v>
          </cell>
        </row>
        <row r="40">
          <cell r="A40">
            <v>912.5</v>
          </cell>
          <cell r="B40">
            <v>561545</v>
          </cell>
        </row>
        <row r="41">
          <cell r="A41">
            <v>913</v>
          </cell>
          <cell r="B41">
            <v>578651</v>
          </cell>
        </row>
        <row r="42">
          <cell r="A42">
            <v>913.5</v>
          </cell>
          <cell r="B42">
            <v>595817</v>
          </cell>
        </row>
        <row r="43">
          <cell r="A43">
            <v>914</v>
          </cell>
          <cell r="B43">
            <v>613041</v>
          </cell>
        </row>
        <row r="44">
          <cell r="A44">
            <v>914.5</v>
          </cell>
          <cell r="B44">
            <v>630324</v>
          </cell>
        </row>
        <row r="45">
          <cell r="A45">
            <v>915</v>
          </cell>
          <cell r="B45">
            <v>647667</v>
          </cell>
        </row>
        <row r="46">
          <cell r="A46">
            <v>915.5</v>
          </cell>
          <cell r="B46">
            <v>665068</v>
          </cell>
        </row>
        <row r="47">
          <cell r="A47">
            <v>916</v>
          </cell>
          <cell r="B47">
            <v>682528</v>
          </cell>
        </row>
        <row r="48">
          <cell r="A48">
            <v>916.5</v>
          </cell>
          <cell r="B48">
            <v>700047</v>
          </cell>
        </row>
        <row r="49">
          <cell r="A49">
            <v>917</v>
          </cell>
          <cell r="B49">
            <v>717625</v>
          </cell>
        </row>
        <row r="50">
          <cell r="A50">
            <v>917.5</v>
          </cell>
          <cell r="B50">
            <v>735262</v>
          </cell>
        </row>
        <row r="51">
          <cell r="A51">
            <v>918</v>
          </cell>
          <cell r="B51">
            <v>752958</v>
          </cell>
        </row>
        <row r="52">
          <cell r="A52">
            <v>918.5</v>
          </cell>
          <cell r="B52">
            <v>770713</v>
          </cell>
        </row>
        <row r="53">
          <cell r="A53">
            <v>919</v>
          </cell>
          <cell r="B53">
            <v>788526</v>
          </cell>
        </row>
        <row r="54">
          <cell r="A54">
            <v>919.5</v>
          </cell>
          <cell r="B54">
            <v>806399</v>
          </cell>
        </row>
        <row r="55">
          <cell r="A55">
            <v>920</v>
          </cell>
          <cell r="B55">
            <v>824331.00000200002</v>
          </cell>
        </row>
        <row r="56">
          <cell r="A56">
            <v>920.5</v>
          </cell>
          <cell r="B56">
            <v>842319.99999799998</v>
          </cell>
        </row>
        <row r="57">
          <cell r="A57">
            <v>921</v>
          </cell>
          <cell r="B57">
            <v>860367.00000400003</v>
          </cell>
        </row>
        <row r="58">
          <cell r="A58">
            <v>921.5</v>
          </cell>
          <cell r="B58">
            <v>878470.99999799998</v>
          </cell>
        </row>
        <row r="59">
          <cell r="A59">
            <v>922</v>
          </cell>
          <cell r="B59">
            <v>896630.99999799998</v>
          </cell>
        </row>
        <row r="60">
          <cell r="A60">
            <v>922.5</v>
          </cell>
          <cell r="B60">
            <v>914849.00000100001</v>
          </cell>
        </row>
        <row r="61">
          <cell r="A61">
            <v>923</v>
          </cell>
          <cell r="B61">
            <v>933123.00000200002</v>
          </cell>
        </row>
        <row r="62">
          <cell r="A62">
            <v>923.5</v>
          </cell>
          <cell r="B62">
            <v>951454.99999699998</v>
          </cell>
        </row>
        <row r="63">
          <cell r="A63">
            <v>924</v>
          </cell>
          <cell r="B63">
            <v>969843.99999599997</v>
          </cell>
        </row>
        <row r="64">
          <cell r="A64">
            <v>924.5</v>
          </cell>
          <cell r="B64">
            <v>988290</v>
          </cell>
        </row>
        <row r="65">
          <cell r="A65">
            <v>925</v>
          </cell>
          <cell r="B65">
            <v>1006793</v>
          </cell>
        </row>
        <row r="66">
          <cell r="A66">
            <v>925.5</v>
          </cell>
          <cell r="B66">
            <v>1025353</v>
          </cell>
        </row>
        <row r="67">
          <cell r="A67">
            <v>926</v>
          </cell>
          <cell r="B67">
            <v>1043970</v>
          </cell>
        </row>
        <row r="68">
          <cell r="A68">
            <v>926.5</v>
          </cell>
          <cell r="B68">
            <v>1062644</v>
          </cell>
        </row>
        <row r="69">
          <cell r="A69">
            <v>927</v>
          </cell>
          <cell r="B69">
            <v>1081375</v>
          </cell>
        </row>
        <row r="70">
          <cell r="A70">
            <v>927.5</v>
          </cell>
          <cell r="B70">
            <v>1100163</v>
          </cell>
        </row>
        <row r="71">
          <cell r="A71">
            <v>928</v>
          </cell>
          <cell r="B71">
            <v>1119008</v>
          </cell>
        </row>
        <row r="72">
          <cell r="A72">
            <v>928.5</v>
          </cell>
          <cell r="B72">
            <v>1137910</v>
          </cell>
        </row>
        <row r="73">
          <cell r="A73">
            <v>929</v>
          </cell>
          <cell r="B73">
            <v>1156869</v>
          </cell>
        </row>
        <row r="74">
          <cell r="A74">
            <v>929.5</v>
          </cell>
          <cell r="B74">
            <v>1175885</v>
          </cell>
        </row>
        <row r="75">
          <cell r="A75">
            <v>930</v>
          </cell>
          <cell r="B75">
            <v>1194958</v>
          </cell>
        </row>
        <row r="76">
          <cell r="A76">
            <v>930.5</v>
          </cell>
          <cell r="B76">
            <v>1214089</v>
          </cell>
        </row>
        <row r="77">
          <cell r="A77">
            <v>931</v>
          </cell>
          <cell r="B77">
            <v>1233278</v>
          </cell>
        </row>
        <row r="78">
          <cell r="A78">
            <v>931.5</v>
          </cell>
          <cell r="B78">
            <v>1252525</v>
          </cell>
        </row>
        <row r="79">
          <cell r="A79">
            <v>932</v>
          </cell>
          <cell r="B79">
            <v>1271830</v>
          </cell>
        </row>
        <row r="80">
          <cell r="A80">
            <v>932.5</v>
          </cell>
          <cell r="B80">
            <v>1291193</v>
          </cell>
        </row>
        <row r="81">
          <cell r="A81">
            <v>933</v>
          </cell>
          <cell r="B81">
            <v>1310614</v>
          </cell>
        </row>
        <row r="82">
          <cell r="A82">
            <v>933.5</v>
          </cell>
          <cell r="B82">
            <v>1330093</v>
          </cell>
        </row>
        <row r="83">
          <cell r="A83">
            <v>934</v>
          </cell>
          <cell r="B83">
            <v>1349630</v>
          </cell>
        </row>
        <row r="84">
          <cell r="A84">
            <v>934.5</v>
          </cell>
          <cell r="B84">
            <v>1369226</v>
          </cell>
        </row>
        <row r="85">
          <cell r="A85">
            <v>935</v>
          </cell>
          <cell r="B85">
            <v>1388879</v>
          </cell>
        </row>
        <row r="86">
          <cell r="A86">
            <v>935.5</v>
          </cell>
          <cell r="B86">
            <v>1408591</v>
          </cell>
        </row>
        <row r="87">
          <cell r="A87">
            <v>936</v>
          </cell>
          <cell r="B87">
            <v>1428360</v>
          </cell>
        </row>
        <row r="88">
          <cell r="A88">
            <v>936.5</v>
          </cell>
          <cell r="B88">
            <v>1448188</v>
          </cell>
        </row>
        <row r="89">
          <cell r="A89">
            <v>937</v>
          </cell>
          <cell r="B89">
            <v>1468074</v>
          </cell>
        </row>
        <row r="90">
          <cell r="A90">
            <v>937.5</v>
          </cell>
          <cell r="B90">
            <v>1488018</v>
          </cell>
        </row>
        <row r="91">
          <cell r="A91">
            <v>938</v>
          </cell>
          <cell r="B91">
            <v>1508019</v>
          </cell>
        </row>
        <row r="92">
          <cell r="A92">
            <v>938.5</v>
          </cell>
          <cell r="B92">
            <v>1528079</v>
          </cell>
        </row>
        <row r="93">
          <cell r="A93">
            <v>939</v>
          </cell>
          <cell r="B93">
            <v>1548198</v>
          </cell>
        </row>
        <row r="94">
          <cell r="A94">
            <v>939.5</v>
          </cell>
          <cell r="B94">
            <v>1568374</v>
          </cell>
        </row>
        <row r="95">
          <cell r="A95">
            <v>940</v>
          </cell>
          <cell r="B95">
            <v>1588608</v>
          </cell>
        </row>
        <row r="96">
          <cell r="A96">
            <v>940.5</v>
          </cell>
          <cell r="B96">
            <v>1608900</v>
          </cell>
        </row>
        <row r="97">
          <cell r="A97">
            <v>941</v>
          </cell>
          <cell r="B97">
            <v>1629251</v>
          </cell>
        </row>
        <row r="98">
          <cell r="A98">
            <v>941.5</v>
          </cell>
          <cell r="B98">
            <v>1649661</v>
          </cell>
        </row>
        <row r="99">
          <cell r="A99">
            <v>942</v>
          </cell>
          <cell r="B99">
            <v>1670130</v>
          </cell>
        </row>
        <row r="100">
          <cell r="A100">
            <v>942.5</v>
          </cell>
          <cell r="B100">
            <v>1690656</v>
          </cell>
        </row>
        <row r="101">
          <cell r="A101">
            <v>943</v>
          </cell>
          <cell r="B101">
            <v>1711242</v>
          </cell>
        </row>
        <row r="102">
          <cell r="A102">
            <v>943.5</v>
          </cell>
          <cell r="B102">
            <v>1731886</v>
          </cell>
        </row>
        <row r="103">
          <cell r="A103">
            <v>944</v>
          </cell>
          <cell r="B103">
            <v>1752588</v>
          </cell>
        </row>
        <row r="104">
          <cell r="A104">
            <v>944.5</v>
          </cell>
          <cell r="B104">
            <v>1773349</v>
          </cell>
        </row>
        <row r="105">
          <cell r="A105">
            <v>945</v>
          </cell>
          <cell r="B105">
            <v>1794169</v>
          </cell>
        </row>
        <row r="106">
          <cell r="A106">
            <v>945.5</v>
          </cell>
          <cell r="B106">
            <v>1815047</v>
          </cell>
        </row>
        <row r="107">
          <cell r="A107">
            <v>946</v>
          </cell>
          <cell r="B107">
            <v>1835984</v>
          </cell>
        </row>
        <row r="108">
          <cell r="A108">
            <v>946.5</v>
          </cell>
          <cell r="B108">
            <v>1856979</v>
          </cell>
        </row>
        <row r="109">
          <cell r="A109">
            <v>947</v>
          </cell>
          <cell r="B109">
            <v>1878033</v>
          </cell>
        </row>
        <row r="110">
          <cell r="A110">
            <v>947.5</v>
          </cell>
          <cell r="B110">
            <v>1899145</v>
          </cell>
        </row>
        <row r="111">
          <cell r="A111">
            <v>948</v>
          </cell>
          <cell r="B111">
            <v>1920316</v>
          </cell>
        </row>
        <row r="112">
          <cell r="A112">
            <v>948.5</v>
          </cell>
          <cell r="B112">
            <v>1941545</v>
          </cell>
        </row>
        <row r="113">
          <cell r="A113">
            <v>949</v>
          </cell>
          <cell r="B113">
            <v>1962834</v>
          </cell>
        </row>
        <row r="114">
          <cell r="A114">
            <v>949.5</v>
          </cell>
          <cell r="B114">
            <v>1984180</v>
          </cell>
        </row>
        <row r="115">
          <cell r="A115">
            <v>950</v>
          </cell>
          <cell r="B115">
            <v>2005585</v>
          </cell>
        </row>
        <row r="116">
          <cell r="A116">
            <v>950.5</v>
          </cell>
          <cell r="B116">
            <v>2027052</v>
          </cell>
        </row>
        <row r="117">
          <cell r="A117">
            <v>951</v>
          </cell>
          <cell r="B117">
            <v>2048584</v>
          </cell>
        </row>
        <row r="118">
          <cell r="A118">
            <v>951.5</v>
          </cell>
          <cell r="B118">
            <v>2070180</v>
          </cell>
        </row>
        <row r="119">
          <cell r="A119">
            <v>952</v>
          </cell>
          <cell r="B119">
            <v>2091842</v>
          </cell>
        </row>
        <row r="120">
          <cell r="A120">
            <v>952.5</v>
          </cell>
          <cell r="B120">
            <v>2113568</v>
          </cell>
        </row>
        <row r="121">
          <cell r="A121">
            <v>953</v>
          </cell>
          <cell r="B121">
            <v>2135358</v>
          </cell>
        </row>
        <row r="122">
          <cell r="A122">
            <v>953.5</v>
          </cell>
          <cell r="B122">
            <v>2157214</v>
          </cell>
        </row>
        <row r="123">
          <cell r="A123">
            <v>954</v>
          </cell>
          <cell r="B123">
            <v>2179135</v>
          </cell>
        </row>
        <row r="124">
          <cell r="A124">
            <v>954.5</v>
          </cell>
          <cell r="B124">
            <v>2201120</v>
          </cell>
        </row>
        <row r="125">
          <cell r="A125">
            <v>955</v>
          </cell>
          <cell r="B125">
            <v>2223170</v>
          </cell>
        </row>
        <row r="126">
          <cell r="A126">
            <v>955.5</v>
          </cell>
          <cell r="B126">
            <v>2245285</v>
          </cell>
        </row>
        <row r="127">
          <cell r="A127">
            <v>956</v>
          </cell>
          <cell r="B127">
            <v>2267464</v>
          </cell>
        </row>
        <row r="128">
          <cell r="A128">
            <v>956.5</v>
          </cell>
          <cell r="B128">
            <v>2289709</v>
          </cell>
        </row>
        <row r="129">
          <cell r="A129">
            <v>957</v>
          </cell>
          <cell r="B129">
            <v>2312018</v>
          </cell>
        </row>
        <row r="130">
          <cell r="A130">
            <v>957.5</v>
          </cell>
          <cell r="B130">
            <v>2334392</v>
          </cell>
        </row>
        <row r="131">
          <cell r="A131">
            <v>958</v>
          </cell>
          <cell r="B131">
            <v>2356831</v>
          </cell>
        </row>
        <row r="132">
          <cell r="A132">
            <v>958.5</v>
          </cell>
          <cell r="B132">
            <v>2379335</v>
          </cell>
        </row>
        <row r="133">
          <cell r="A133">
            <v>959</v>
          </cell>
          <cell r="B133">
            <v>2401903</v>
          </cell>
        </row>
        <row r="134">
          <cell r="A134">
            <v>959.5</v>
          </cell>
          <cell r="B134">
            <v>2424536</v>
          </cell>
        </row>
        <row r="135">
          <cell r="A135">
            <v>960</v>
          </cell>
          <cell r="B135">
            <v>2447235</v>
          </cell>
        </row>
        <row r="136">
          <cell r="A136">
            <v>960.5</v>
          </cell>
          <cell r="B136">
            <v>2469995</v>
          </cell>
        </row>
        <row r="137">
          <cell r="A137">
            <v>961</v>
          </cell>
          <cell r="B137">
            <v>2492815</v>
          </cell>
        </row>
        <row r="138">
          <cell r="A138">
            <v>961.5</v>
          </cell>
          <cell r="B138">
            <v>2515695</v>
          </cell>
        </row>
        <row r="139">
          <cell r="A139">
            <v>962</v>
          </cell>
          <cell r="B139">
            <v>2538634</v>
          </cell>
        </row>
        <row r="140">
          <cell r="A140">
            <v>962.5</v>
          </cell>
          <cell r="B140">
            <v>2561633</v>
          </cell>
        </row>
        <row r="141">
          <cell r="A141">
            <v>963</v>
          </cell>
          <cell r="B141">
            <v>2584691</v>
          </cell>
        </row>
        <row r="142">
          <cell r="A142">
            <v>963.5</v>
          </cell>
          <cell r="B142">
            <v>2607809</v>
          </cell>
        </row>
        <row r="143">
          <cell r="A143">
            <v>964</v>
          </cell>
          <cell r="B143">
            <v>2630987</v>
          </cell>
        </row>
        <row r="144">
          <cell r="A144">
            <v>964.5</v>
          </cell>
          <cell r="B144">
            <v>2654225</v>
          </cell>
        </row>
        <row r="145">
          <cell r="A145">
            <v>965</v>
          </cell>
          <cell r="B145">
            <v>2677522</v>
          </cell>
        </row>
        <row r="146">
          <cell r="A146">
            <v>965.5</v>
          </cell>
          <cell r="B146">
            <v>2700878</v>
          </cell>
        </row>
        <row r="147">
          <cell r="A147">
            <v>966</v>
          </cell>
          <cell r="B147">
            <v>2724295</v>
          </cell>
        </row>
        <row r="148">
          <cell r="A148">
            <v>966.5</v>
          </cell>
          <cell r="B148">
            <v>2747771</v>
          </cell>
        </row>
        <row r="149">
          <cell r="A149">
            <v>967</v>
          </cell>
          <cell r="B149">
            <v>2771306</v>
          </cell>
        </row>
        <row r="150">
          <cell r="A150">
            <v>967.5</v>
          </cell>
          <cell r="B150">
            <v>2794901</v>
          </cell>
        </row>
        <row r="151">
          <cell r="A151">
            <v>968</v>
          </cell>
          <cell r="B151">
            <v>2818556</v>
          </cell>
        </row>
        <row r="152">
          <cell r="A152">
            <v>968.5</v>
          </cell>
          <cell r="B152">
            <v>2842271</v>
          </cell>
        </row>
        <row r="153">
          <cell r="A153">
            <v>969</v>
          </cell>
          <cell r="B153">
            <v>2866046</v>
          </cell>
        </row>
        <row r="154">
          <cell r="A154">
            <v>969.5</v>
          </cell>
          <cell r="B154">
            <v>2889878</v>
          </cell>
        </row>
        <row r="155">
          <cell r="A155">
            <v>970</v>
          </cell>
          <cell r="B155">
            <v>2913772</v>
          </cell>
        </row>
        <row r="156">
          <cell r="A156">
            <v>970.5</v>
          </cell>
          <cell r="B156">
            <v>2937729</v>
          </cell>
        </row>
        <row r="157">
          <cell r="A157">
            <v>971</v>
          </cell>
          <cell r="B157">
            <v>2961753</v>
          </cell>
        </row>
        <row r="158">
          <cell r="A158">
            <v>971.5</v>
          </cell>
          <cell r="B158">
            <v>2985843</v>
          </cell>
        </row>
        <row r="159">
          <cell r="A159">
            <v>972</v>
          </cell>
          <cell r="B159">
            <v>3010001</v>
          </cell>
        </row>
        <row r="160">
          <cell r="A160">
            <v>972.5</v>
          </cell>
          <cell r="B160">
            <v>3034226</v>
          </cell>
        </row>
        <row r="161">
          <cell r="A161">
            <v>973</v>
          </cell>
          <cell r="B161">
            <v>3058517</v>
          </cell>
        </row>
        <row r="162">
          <cell r="A162">
            <v>973.5</v>
          </cell>
          <cell r="B162">
            <v>3082876</v>
          </cell>
        </row>
        <row r="163">
          <cell r="A163">
            <v>974</v>
          </cell>
          <cell r="B163">
            <v>3107301</v>
          </cell>
        </row>
        <row r="164">
          <cell r="A164">
            <v>974.5</v>
          </cell>
          <cell r="B164">
            <v>3131794</v>
          </cell>
        </row>
        <row r="165">
          <cell r="A165">
            <v>975</v>
          </cell>
          <cell r="B165">
            <v>3156353</v>
          </cell>
        </row>
        <row r="166">
          <cell r="A166">
            <v>975.5</v>
          </cell>
          <cell r="B166">
            <v>3180979</v>
          </cell>
        </row>
        <row r="167">
          <cell r="A167">
            <v>976</v>
          </cell>
          <cell r="B167">
            <v>3205673</v>
          </cell>
        </row>
        <row r="168">
          <cell r="A168">
            <v>976.5</v>
          </cell>
          <cell r="B168">
            <v>3230433</v>
          </cell>
        </row>
        <row r="169">
          <cell r="A169">
            <v>977</v>
          </cell>
          <cell r="B169">
            <v>3255260</v>
          </cell>
        </row>
        <row r="170">
          <cell r="A170">
            <v>977.5</v>
          </cell>
          <cell r="B170">
            <v>3280154</v>
          </cell>
        </row>
        <row r="171">
          <cell r="A171">
            <v>978</v>
          </cell>
          <cell r="B171">
            <v>3305115</v>
          </cell>
        </row>
        <row r="172">
          <cell r="A172">
            <v>978.5</v>
          </cell>
          <cell r="B172">
            <v>3330143</v>
          </cell>
        </row>
        <row r="173">
          <cell r="A173">
            <v>979</v>
          </cell>
          <cell r="B173">
            <v>3355238</v>
          </cell>
        </row>
        <row r="174">
          <cell r="A174">
            <v>979.5</v>
          </cell>
          <cell r="B174">
            <v>3380401</v>
          </cell>
        </row>
        <row r="175">
          <cell r="A175">
            <v>980</v>
          </cell>
          <cell r="B175">
            <v>3405630</v>
          </cell>
        </row>
        <row r="176">
          <cell r="A176">
            <v>980.5</v>
          </cell>
          <cell r="B176">
            <v>3430929</v>
          </cell>
        </row>
        <row r="177">
          <cell r="A177">
            <v>981</v>
          </cell>
          <cell r="B177">
            <v>3456303</v>
          </cell>
        </row>
        <row r="178">
          <cell r="A178">
            <v>981.5</v>
          </cell>
          <cell r="B178">
            <v>3481753</v>
          </cell>
        </row>
        <row r="179">
          <cell r="A179">
            <v>982</v>
          </cell>
          <cell r="B179">
            <v>3507278</v>
          </cell>
        </row>
        <row r="180">
          <cell r="A180">
            <v>982.5</v>
          </cell>
          <cell r="B180">
            <v>3532877</v>
          </cell>
        </row>
        <row r="181">
          <cell r="A181">
            <v>983</v>
          </cell>
          <cell r="B181">
            <v>3558550</v>
          </cell>
        </row>
        <row r="182">
          <cell r="A182">
            <v>983.5</v>
          </cell>
          <cell r="B182">
            <v>3584299</v>
          </cell>
        </row>
        <row r="183">
          <cell r="A183">
            <v>984</v>
          </cell>
          <cell r="B183">
            <v>3610123</v>
          </cell>
        </row>
        <row r="184">
          <cell r="A184">
            <v>984.5</v>
          </cell>
          <cell r="B184">
            <v>3636021</v>
          </cell>
        </row>
        <row r="185">
          <cell r="A185">
            <v>985</v>
          </cell>
          <cell r="B185">
            <v>3661994</v>
          </cell>
        </row>
        <row r="186">
          <cell r="A186">
            <v>985.5</v>
          </cell>
          <cell r="B186">
            <v>3688042</v>
          </cell>
        </row>
        <row r="187">
          <cell r="A187">
            <v>986</v>
          </cell>
          <cell r="B187">
            <v>3714165</v>
          </cell>
        </row>
        <row r="188">
          <cell r="A188">
            <v>986.5</v>
          </cell>
          <cell r="B188">
            <v>3740363</v>
          </cell>
        </row>
        <row r="189">
          <cell r="A189">
            <v>987</v>
          </cell>
          <cell r="B189">
            <v>3766635</v>
          </cell>
        </row>
        <row r="190">
          <cell r="A190">
            <v>987.5</v>
          </cell>
          <cell r="B190">
            <v>3792982</v>
          </cell>
        </row>
        <row r="191">
          <cell r="A191">
            <v>988</v>
          </cell>
          <cell r="B191">
            <v>3819405</v>
          </cell>
        </row>
        <row r="192">
          <cell r="A192">
            <v>988.5</v>
          </cell>
          <cell r="B192">
            <v>3845902</v>
          </cell>
        </row>
        <row r="193">
          <cell r="A193">
            <v>989</v>
          </cell>
          <cell r="B193">
            <v>3872474</v>
          </cell>
        </row>
        <row r="194">
          <cell r="A194">
            <v>989.5</v>
          </cell>
          <cell r="B194">
            <v>3899120</v>
          </cell>
        </row>
        <row r="195">
          <cell r="A195">
            <v>990</v>
          </cell>
          <cell r="B195">
            <v>3925842</v>
          </cell>
        </row>
        <row r="196">
          <cell r="A196">
            <v>990.5</v>
          </cell>
          <cell r="B196">
            <v>3952636</v>
          </cell>
        </row>
        <row r="197">
          <cell r="A197">
            <v>991</v>
          </cell>
          <cell r="B197">
            <v>3979502</v>
          </cell>
        </row>
        <row r="198">
          <cell r="A198">
            <v>991.5</v>
          </cell>
          <cell r="B198">
            <v>4006440</v>
          </cell>
        </row>
        <row r="199">
          <cell r="A199">
            <v>992</v>
          </cell>
          <cell r="B199">
            <v>4033448</v>
          </cell>
        </row>
        <row r="200">
          <cell r="A200">
            <v>992.5</v>
          </cell>
          <cell r="B200">
            <v>4060528</v>
          </cell>
        </row>
        <row r="201">
          <cell r="A201">
            <v>993</v>
          </cell>
          <cell r="B201">
            <v>4087680</v>
          </cell>
        </row>
        <row r="202">
          <cell r="A202">
            <v>993.5</v>
          </cell>
          <cell r="B202">
            <v>4114903</v>
          </cell>
        </row>
        <row r="203">
          <cell r="A203">
            <v>994</v>
          </cell>
          <cell r="B203">
            <v>4142198</v>
          </cell>
        </row>
        <row r="204">
          <cell r="A204">
            <v>994.5</v>
          </cell>
          <cell r="B204">
            <v>4169563</v>
          </cell>
        </row>
        <row r="205">
          <cell r="A205">
            <v>995</v>
          </cell>
          <cell r="B205">
            <v>4197001</v>
          </cell>
        </row>
        <row r="206">
          <cell r="A206">
            <v>995.5</v>
          </cell>
          <cell r="B206">
            <v>4224510</v>
          </cell>
        </row>
        <row r="207">
          <cell r="A207">
            <v>996</v>
          </cell>
          <cell r="B207">
            <v>4252089</v>
          </cell>
        </row>
        <row r="208">
          <cell r="A208">
            <v>996.5</v>
          </cell>
          <cell r="B208">
            <v>4279741</v>
          </cell>
        </row>
        <row r="209">
          <cell r="A209">
            <v>997</v>
          </cell>
          <cell r="B209">
            <v>4307464</v>
          </cell>
        </row>
        <row r="210">
          <cell r="A210">
            <v>997.5</v>
          </cell>
          <cell r="B210">
            <v>4335258</v>
          </cell>
        </row>
        <row r="211">
          <cell r="A211">
            <v>998</v>
          </cell>
          <cell r="B211">
            <v>4363125</v>
          </cell>
        </row>
        <row r="212">
          <cell r="A212">
            <v>998.5</v>
          </cell>
          <cell r="B212">
            <v>4391061</v>
          </cell>
        </row>
        <row r="213">
          <cell r="A213">
            <v>999</v>
          </cell>
          <cell r="B213">
            <v>4419070</v>
          </cell>
        </row>
        <row r="214">
          <cell r="A214">
            <v>999.5</v>
          </cell>
          <cell r="B214">
            <v>4447150</v>
          </cell>
        </row>
        <row r="215">
          <cell r="A215">
            <v>1000</v>
          </cell>
          <cell r="B215">
            <v>4475301</v>
          </cell>
        </row>
        <row r="216">
          <cell r="A216">
            <v>1000.5</v>
          </cell>
          <cell r="B216">
            <v>4503527</v>
          </cell>
        </row>
        <row r="217">
          <cell r="A217">
            <v>1001</v>
          </cell>
          <cell r="B217">
            <v>4531830</v>
          </cell>
        </row>
        <row r="218">
          <cell r="A218">
            <v>1001.5</v>
          </cell>
          <cell r="B218">
            <v>4560212</v>
          </cell>
        </row>
        <row r="219">
          <cell r="A219">
            <v>1002</v>
          </cell>
          <cell r="B219">
            <v>4588670</v>
          </cell>
        </row>
        <row r="220">
          <cell r="A220">
            <v>1002.5</v>
          </cell>
          <cell r="B220">
            <v>4617206</v>
          </cell>
        </row>
        <row r="221">
          <cell r="A221">
            <v>1003</v>
          </cell>
          <cell r="B221">
            <v>4645820</v>
          </cell>
        </row>
        <row r="222">
          <cell r="A222">
            <v>1003.5</v>
          </cell>
          <cell r="B222">
            <v>4674511</v>
          </cell>
        </row>
        <row r="223">
          <cell r="A223">
            <v>1004</v>
          </cell>
          <cell r="B223">
            <v>4703279</v>
          </cell>
        </row>
        <row r="224">
          <cell r="A224">
            <v>1004.5</v>
          </cell>
          <cell r="B224">
            <v>4732126</v>
          </cell>
        </row>
        <row r="225">
          <cell r="A225">
            <v>1005</v>
          </cell>
          <cell r="B225">
            <v>4761049</v>
          </cell>
        </row>
        <row r="226">
          <cell r="A226">
            <v>1005.5</v>
          </cell>
          <cell r="B226">
            <v>4790050</v>
          </cell>
        </row>
        <row r="227">
          <cell r="A227">
            <v>1006</v>
          </cell>
          <cell r="B227">
            <v>4819129</v>
          </cell>
        </row>
        <row r="228">
          <cell r="A228">
            <v>1006.5</v>
          </cell>
          <cell r="B228">
            <v>4848286</v>
          </cell>
        </row>
        <row r="229">
          <cell r="A229">
            <v>1007</v>
          </cell>
          <cell r="B229">
            <v>4877519</v>
          </cell>
        </row>
        <row r="230">
          <cell r="A230">
            <v>1007.5</v>
          </cell>
          <cell r="B230">
            <v>4906831</v>
          </cell>
        </row>
        <row r="231">
          <cell r="A231">
            <v>1008</v>
          </cell>
          <cell r="B231">
            <v>4936219</v>
          </cell>
        </row>
        <row r="232">
          <cell r="A232">
            <v>1008.5</v>
          </cell>
          <cell r="B232">
            <v>4965686</v>
          </cell>
        </row>
        <row r="233">
          <cell r="A233">
            <v>1009</v>
          </cell>
          <cell r="B233">
            <v>4995230</v>
          </cell>
        </row>
        <row r="234">
          <cell r="A234">
            <v>1009.5</v>
          </cell>
          <cell r="B234">
            <v>5024851</v>
          </cell>
        </row>
        <row r="235">
          <cell r="A235">
            <v>1010</v>
          </cell>
          <cell r="B235">
            <v>5054550</v>
          </cell>
        </row>
        <row r="236">
          <cell r="A236">
            <v>1010.5</v>
          </cell>
          <cell r="B236">
            <v>5084326</v>
          </cell>
        </row>
        <row r="237">
          <cell r="A237">
            <v>1011</v>
          </cell>
          <cell r="B237">
            <v>5114179</v>
          </cell>
        </row>
        <row r="238">
          <cell r="A238">
            <v>1011.5</v>
          </cell>
          <cell r="B238">
            <v>5144107</v>
          </cell>
        </row>
        <row r="239">
          <cell r="A239">
            <v>1012</v>
          </cell>
          <cell r="B239">
            <v>5174113</v>
          </cell>
        </row>
        <row r="240">
          <cell r="A240">
            <v>1012.5</v>
          </cell>
          <cell r="B240">
            <v>5204194</v>
          </cell>
        </row>
        <row r="241">
          <cell r="A241">
            <v>1013</v>
          </cell>
          <cell r="B241">
            <v>5234353</v>
          </cell>
        </row>
        <row r="242">
          <cell r="A242">
            <v>1013.5</v>
          </cell>
          <cell r="B242">
            <v>5264587</v>
          </cell>
        </row>
        <row r="243">
          <cell r="A243">
            <v>1014</v>
          </cell>
          <cell r="B243">
            <v>5294898</v>
          </cell>
        </row>
        <row r="244">
          <cell r="A244">
            <v>1014.5</v>
          </cell>
          <cell r="B244">
            <v>5325286</v>
          </cell>
        </row>
        <row r="245">
          <cell r="A245">
            <v>1015</v>
          </cell>
          <cell r="B245">
            <v>5355750</v>
          </cell>
        </row>
        <row r="246">
          <cell r="A246">
            <v>1015.5</v>
          </cell>
          <cell r="B246">
            <v>5386290</v>
          </cell>
        </row>
        <row r="247">
          <cell r="A247">
            <v>1016</v>
          </cell>
          <cell r="B247">
            <v>5416907</v>
          </cell>
        </row>
        <row r="248">
          <cell r="A248">
            <v>1016.5</v>
          </cell>
          <cell r="B248">
            <v>5447600</v>
          </cell>
        </row>
        <row r="249">
          <cell r="A249">
            <v>1017</v>
          </cell>
          <cell r="B249">
            <v>5478370</v>
          </cell>
        </row>
        <row r="250">
          <cell r="A250">
            <v>1017.5</v>
          </cell>
          <cell r="B250">
            <v>5509216</v>
          </cell>
        </row>
        <row r="251">
          <cell r="A251">
            <v>1018</v>
          </cell>
          <cell r="B251">
            <v>5540139</v>
          </cell>
        </row>
        <row r="252">
          <cell r="A252">
            <v>1018.5</v>
          </cell>
          <cell r="B252">
            <v>5571138</v>
          </cell>
        </row>
        <row r="253">
          <cell r="A253">
            <v>1019</v>
          </cell>
          <cell r="B253">
            <v>5602213</v>
          </cell>
        </row>
        <row r="254">
          <cell r="A254">
            <v>1019.5</v>
          </cell>
          <cell r="B254">
            <v>5633365</v>
          </cell>
        </row>
        <row r="255">
          <cell r="A255">
            <v>1020</v>
          </cell>
          <cell r="B255">
            <v>5664593</v>
          </cell>
        </row>
        <row r="256">
          <cell r="A256">
            <v>1020.5</v>
          </cell>
          <cell r="B256">
            <v>5695898</v>
          </cell>
        </row>
        <row r="257">
          <cell r="A257">
            <v>1021</v>
          </cell>
          <cell r="B257">
            <v>5727281</v>
          </cell>
        </row>
        <row r="258">
          <cell r="A258">
            <v>1021.5</v>
          </cell>
          <cell r="B258">
            <v>5758741</v>
          </cell>
        </row>
        <row r="259">
          <cell r="A259">
            <v>1022</v>
          </cell>
          <cell r="B259">
            <v>5790278</v>
          </cell>
        </row>
        <row r="260">
          <cell r="A260">
            <v>1022.5</v>
          </cell>
          <cell r="B260">
            <v>5821892</v>
          </cell>
        </row>
        <row r="261">
          <cell r="A261">
            <v>1023</v>
          </cell>
          <cell r="B261">
            <v>5853583</v>
          </cell>
        </row>
        <row r="262">
          <cell r="A262">
            <v>1023.5</v>
          </cell>
          <cell r="B262">
            <v>5885352</v>
          </cell>
        </row>
        <row r="263">
          <cell r="A263">
            <v>1024</v>
          </cell>
          <cell r="B263">
            <v>5917198</v>
          </cell>
        </row>
        <row r="264">
          <cell r="A264">
            <v>1024.5</v>
          </cell>
          <cell r="B264">
            <v>5949121</v>
          </cell>
        </row>
        <row r="265">
          <cell r="A265">
            <v>1025</v>
          </cell>
          <cell r="B265">
            <v>5981122</v>
          </cell>
        </row>
        <row r="266">
          <cell r="A266">
            <v>1025.5</v>
          </cell>
          <cell r="B266">
            <v>6013200</v>
          </cell>
        </row>
        <row r="267">
          <cell r="A267">
            <v>1026</v>
          </cell>
          <cell r="B267">
            <v>6045355</v>
          </cell>
        </row>
        <row r="268">
          <cell r="A268">
            <v>1026.5</v>
          </cell>
          <cell r="B268">
            <v>6077587</v>
          </cell>
        </row>
        <row r="269">
          <cell r="A269">
            <v>1027</v>
          </cell>
          <cell r="B269">
            <v>6109897</v>
          </cell>
        </row>
        <row r="270">
          <cell r="A270">
            <v>1027.5</v>
          </cell>
          <cell r="B270">
            <v>6142284</v>
          </cell>
        </row>
        <row r="271">
          <cell r="A271">
            <v>1028</v>
          </cell>
          <cell r="B271">
            <v>6174748</v>
          </cell>
        </row>
        <row r="272">
          <cell r="A272">
            <v>1028.5</v>
          </cell>
          <cell r="B272">
            <v>6207289</v>
          </cell>
        </row>
        <row r="273">
          <cell r="A273">
            <v>1029</v>
          </cell>
          <cell r="B273">
            <v>6239908</v>
          </cell>
        </row>
        <row r="274">
          <cell r="A274">
            <v>1029.5</v>
          </cell>
          <cell r="B274">
            <v>6272604</v>
          </cell>
        </row>
        <row r="275">
          <cell r="A275">
            <v>1030</v>
          </cell>
          <cell r="B275">
            <v>6305377</v>
          </cell>
        </row>
        <row r="276">
          <cell r="A276">
            <v>1030.5</v>
          </cell>
          <cell r="B276">
            <v>6338229</v>
          </cell>
        </row>
        <row r="277">
          <cell r="A277">
            <v>1031</v>
          </cell>
          <cell r="B277">
            <v>6371161</v>
          </cell>
        </row>
        <row r="278">
          <cell r="A278">
            <v>1031.5</v>
          </cell>
          <cell r="B278">
            <v>6404174</v>
          </cell>
        </row>
        <row r="279">
          <cell r="A279">
            <v>1032</v>
          </cell>
          <cell r="B279">
            <v>6437266</v>
          </cell>
        </row>
        <row r="280">
          <cell r="A280">
            <v>1032.5</v>
          </cell>
          <cell r="B280">
            <v>6470439</v>
          </cell>
        </row>
        <row r="281">
          <cell r="A281">
            <v>1033</v>
          </cell>
          <cell r="B281">
            <v>6503693</v>
          </cell>
        </row>
        <row r="282">
          <cell r="A282">
            <v>1033.5</v>
          </cell>
          <cell r="B282">
            <v>6537026</v>
          </cell>
        </row>
        <row r="283">
          <cell r="A283">
            <v>1034</v>
          </cell>
          <cell r="B283">
            <v>6570440</v>
          </cell>
        </row>
        <row r="284">
          <cell r="A284">
            <v>1034.5</v>
          </cell>
          <cell r="B284">
            <v>6603934</v>
          </cell>
        </row>
        <row r="285">
          <cell r="A285">
            <v>1035</v>
          </cell>
          <cell r="B285">
            <v>6637508</v>
          </cell>
        </row>
        <row r="286">
          <cell r="A286">
            <v>1035.5</v>
          </cell>
          <cell r="B286">
            <v>6671163</v>
          </cell>
        </row>
        <row r="287">
          <cell r="A287">
            <v>1036</v>
          </cell>
          <cell r="B287">
            <v>6704897</v>
          </cell>
        </row>
        <row r="288">
          <cell r="A288">
            <v>1036.5</v>
          </cell>
          <cell r="B288">
            <v>6738713</v>
          </cell>
        </row>
        <row r="289">
          <cell r="A289">
            <v>1037</v>
          </cell>
          <cell r="B289">
            <v>6772608</v>
          </cell>
        </row>
        <row r="290">
          <cell r="A290">
            <v>1037.5</v>
          </cell>
          <cell r="B290">
            <v>6806583</v>
          </cell>
        </row>
        <row r="291">
          <cell r="A291">
            <v>1038</v>
          </cell>
          <cell r="B291">
            <v>6840639</v>
          </cell>
        </row>
        <row r="292">
          <cell r="A292">
            <v>1038.5</v>
          </cell>
          <cell r="B292">
            <v>6874775</v>
          </cell>
        </row>
        <row r="293">
          <cell r="A293">
            <v>1039</v>
          </cell>
          <cell r="B293">
            <v>6908992</v>
          </cell>
        </row>
        <row r="294">
          <cell r="A294">
            <v>1039.5</v>
          </cell>
          <cell r="B294">
            <v>6943288</v>
          </cell>
        </row>
        <row r="295">
          <cell r="A295">
            <v>1040</v>
          </cell>
          <cell r="B295">
            <v>6977665</v>
          </cell>
        </row>
        <row r="296">
          <cell r="A296">
            <v>1040.5</v>
          </cell>
          <cell r="B296">
            <v>7012124</v>
          </cell>
        </row>
        <row r="297">
          <cell r="A297">
            <v>1041</v>
          </cell>
          <cell r="B297">
            <v>7046668</v>
          </cell>
        </row>
        <row r="298">
          <cell r="A298">
            <v>1041.5</v>
          </cell>
          <cell r="B298">
            <v>7081296</v>
          </cell>
        </row>
        <row r="299">
          <cell r="A299">
            <v>1042</v>
          </cell>
          <cell r="B299">
            <v>7116008</v>
          </cell>
        </row>
        <row r="300">
          <cell r="A300">
            <v>1042.5</v>
          </cell>
          <cell r="B300">
            <v>7150804</v>
          </cell>
        </row>
        <row r="301">
          <cell r="A301">
            <v>1043</v>
          </cell>
          <cell r="B301">
            <v>7185685</v>
          </cell>
        </row>
        <row r="302">
          <cell r="A302">
            <v>1043.5</v>
          </cell>
          <cell r="B302">
            <v>7220651</v>
          </cell>
        </row>
        <row r="303">
          <cell r="A303">
            <v>1044</v>
          </cell>
          <cell r="B303">
            <v>7255700</v>
          </cell>
        </row>
        <row r="304">
          <cell r="A304">
            <v>1044.5</v>
          </cell>
          <cell r="B304">
            <v>7290834</v>
          </cell>
        </row>
        <row r="305">
          <cell r="A305">
            <v>1045</v>
          </cell>
          <cell r="B305">
            <v>7326052</v>
          </cell>
        </row>
        <row r="306">
          <cell r="A306">
            <v>1045.5</v>
          </cell>
          <cell r="B306">
            <v>7361355</v>
          </cell>
        </row>
        <row r="307">
          <cell r="A307">
            <v>1046</v>
          </cell>
          <cell r="B307">
            <v>7396742</v>
          </cell>
        </row>
        <row r="308">
          <cell r="A308">
            <v>1046.5</v>
          </cell>
          <cell r="B308">
            <v>7432213</v>
          </cell>
        </row>
        <row r="309">
          <cell r="A309">
            <v>1047</v>
          </cell>
          <cell r="B309">
            <v>7467768</v>
          </cell>
        </row>
        <row r="310">
          <cell r="A310">
            <v>1047.5</v>
          </cell>
          <cell r="B310">
            <v>7503408</v>
          </cell>
        </row>
        <row r="311">
          <cell r="A311">
            <v>1048</v>
          </cell>
          <cell r="B311">
            <v>7539138</v>
          </cell>
        </row>
        <row r="312">
          <cell r="A312">
            <v>1048.5</v>
          </cell>
          <cell r="B312">
            <v>7574938</v>
          </cell>
        </row>
        <row r="313">
          <cell r="A313">
            <v>1049</v>
          </cell>
          <cell r="B313">
            <v>7610838</v>
          </cell>
        </row>
        <row r="314">
          <cell r="A314">
            <v>1049.5</v>
          </cell>
          <cell r="B314">
            <v>7646818</v>
          </cell>
        </row>
        <row r="315">
          <cell r="A315">
            <v>1050</v>
          </cell>
          <cell r="B315">
            <v>7682878</v>
          </cell>
        </row>
        <row r="316">
          <cell r="A316">
            <v>1050.5</v>
          </cell>
          <cell r="B316">
            <v>7719018</v>
          </cell>
        </row>
        <row r="317">
          <cell r="A317">
            <v>1051</v>
          </cell>
          <cell r="B317">
            <v>7755258</v>
          </cell>
        </row>
        <row r="318">
          <cell r="A318">
            <v>1051.5</v>
          </cell>
          <cell r="B318">
            <v>7791588</v>
          </cell>
        </row>
        <row r="319">
          <cell r="A319">
            <v>1052</v>
          </cell>
          <cell r="B319">
            <v>7828018</v>
          </cell>
        </row>
        <row r="320">
          <cell r="A320">
            <v>1052.5</v>
          </cell>
          <cell r="B320">
            <v>7864528</v>
          </cell>
        </row>
        <row r="321">
          <cell r="A321">
            <v>1053</v>
          </cell>
          <cell r="B321">
            <v>7901128</v>
          </cell>
        </row>
        <row r="322">
          <cell r="A322">
            <v>1053.5</v>
          </cell>
          <cell r="B322">
            <v>7937828</v>
          </cell>
        </row>
        <row r="323">
          <cell r="A323">
            <v>1054</v>
          </cell>
          <cell r="B323">
            <v>7974608</v>
          </cell>
        </row>
        <row r="324">
          <cell r="A324">
            <v>1054.5</v>
          </cell>
          <cell r="B324">
            <v>8011488</v>
          </cell>
        </row>
        <row r="325">
          <cell r="A325">
            <v>1055</v>
          </cell>
          <cell r="B325">
            <v>8048458</v>
          </cell>
        </row>
        <row r="326">
          <cell r="A326">
            <v>1055.5</v>
          </cell>
          <cell r="B326">
            <v>8085508</v>
          </cell>
        </row>
        <row r="327">
          <cell r="A327">
            <v>1056</v>
          </cell>
          <cell r="B327">
            <v>8122657.9999900004</v>
          </cell>
        </row>
        <row r="328">
          <cell r="A328">
            <v>1056.5</v>
          </cell>
          <cell r="B328">
            <v>8159897.9999700002</v>
          </cell>
        </row>
        <row r="329">
          <cell r="A329">
            <v>1057</v>
          </cell>
          <cell r="B329">
            <v>8197217.9999900004</v>
          </cell>
        </row>
        <row r="330">
          <cell r="A330">
            <v>1057.5</v>
          </cell>
          <cell r="B330">
            <v>8234638.0000200002</v>
          </cell>
        </row>
        <row r="331">
          <cell r="A331">
            <v>1058</v>
          </cell>
          <cell r="B331">
            <v>8272148</v>
          </cell>
        </row>
        <row r="332">
          <cell r="A332">
            <v>1058.5</v>
          </cell>
          <cell r="B332">
            <v>8309748</v>
          </cell>
        </row>
        <row r="333">
          <cell r="A333">
            <v>1059</v>
          </cell>
          <cell r="B333">
            <v>8347438.0000400003</v>
          </cell>
        </row>
        <row r="334">
          <cell r="A334">
            <v>1059.5</v>
          </cell>
          <cell r="B334">
            <v>8385218.0000200002</v>
          </cell>
        </row>
        <row r="335">
          <cell r="A335">
            <v>1060</v>
          </cell>
          <cell r="B335">
            <v>8423088.0000299998</v>
          </cell>
        </row>
        <row r="336">
          <cell r="A336">
            <v>1060.5</v>
          </cell>
          <cell r="B336">
            <v>8461047.9999899995</v>
          </cell>
        </row>
        <row r="337">
          <cell r="A337">
            <v>1061</v>
          </cell>
          <cell r="B337">
            <v>8499097.9999700002</v>
          </cell>
        </row>
        <row r="338">
          <cell r="A338">
            <v>1061.5</v>
          </cell>
          <cell r="B338">
            <v>8537247.9999700002</v>
          </cell>
        </row>
        <row r="339">
          <cell r="A339">
            <v>1062</v>
          </cell>
          <cell r="B339">
            <v>8575478.0000100005</v>
          </cell>
        </row>
        <row r="340">
          <cell r="A340">
            <v>1062.5</v>
          </cell>
          <cell r="B340">
            <v>8613798</v>
          </cell>
        </row>
        <row r="341">
          <cell r="A341">
            <v>1063</v>
          </cell>
          <cell r="B341">
            <v>8652218</v>
          </cell>
        </row>
        <row r="342">
          <cell r="A342">
            <v>1063.5</v>
          </cell>
          <cell r="B342">
            <v>8690717.9999599997</v>
          </cell>
        </row>
        <row r="343">
          <cell r="A343">
            <v>1064</v>
          </cell>
          <cell r="B343">
            <v>8729308.0000299998</v>
          </cell>
        </row>
        <row r="344">
          <cell r="A344">
            <v>1064.5</v>
          </cell>
          <cell r="B344">
            <v>8767998.0000400003</v>
          </cell>
        </row>
        <row r="345">
          <cell r="A345">
            <v>1065</v>
          </cell>
          <cell r="B345">
            <v>8806768</v>
          </cell>
        </row>
        <row r="346">
          <cell r="A346">
            <v>1065.5</v>
          </cell>
          <cell r="B346">
            <v>8845637.9999800008</v>
          </cell>
        </row>
        <row r="347">
          <cell r="A347">
            <v>1066</v>
          </cell>
          <cell r="B347">
            <v>8884597.9999899995</v>
          </cell>
        </row>
        <row r="348">
          <cell r="A348">
            <v>1066.5</v>
          </cell>
          <cell r="B348">
            <v>8923637.9999599997</v>
          </cell>
        </row>
        <row r="349">
          <cell r="A349">
            <v>1067</v>
          </cell>
          <cell r="B349">
            <v>8962778.0000199992</v>
          </cell>
        </row>
        <row r="350">
          <cell r="A350">
            <v>1067.5</v>
          </cell>
          <cell r="B350">
            <v>9002008.0000299998</v>
          </cell>
        </row>
        <row r="351">
          <cell r="A351">
            <v>1068</v>
          </cell>
          <cell r="B351">
            <v>9041327.9999899995</v>
          </cell>
        </row>
        <row r="352">
          <cell r="A352">
            <v>1068.5</v>
          </cell>
          <cell r="B352">
            <v>9080737.9999800008</v>
          </cell>
        </row>
        <row r="353">
          <cell r="A353">
            <v>1069</v>
          </cell>
          <cell r="B353">
            <v>9120237.9999899995</v>
          </cell>
        </row>
        <row r="354">
          <cell r="A354">
            <v>1069.5</v>
          </cell>
          <cell r="B354">
            <v>9159828.0000299998</v>
          </cell>
        </row>
        <row r="355">
          <cell r="A355">
            <v>1070</v>
          </cell>
          <cell r="B355">
            <v>9199508.0000199992</v>
          </cell>
        </row>
        <row r="356">
          <cell r="A356">
            <v>1070.5</v>
          </cell>
          <cell r="B356">
            <v>9239267.9999700002</v>
          </cell>
        </row>
        <row r="357">
          <cell r="A357">
            <v>1071</v>
          </cell>
          <cell r="B357">
            <v>9279118.0000299998</v>
          </cell>
        </row>
        <row r="358">
          <cell r="A358">
            <v>1071.5</v>
          </cell>
          <cell r="B358">
            <v>9319047.9999700002</v>
          </cell>
        </row>
        <row r="359">
          <cell r="A359">
            <v>1072</v>
          </cell>
          <cell r="B359">
            <v>9359068.0000199992</v>
          </cell>
        </row>
        <row r="360">
          <cell r="A360">
            <v>1072.5</v>
          </cell>
          <cell r="B360">
            <v>9399178.0000199992</v>
          </cell>
        </row>
        <row r="361">
          <cell r="A361">
            <v>1073</v>
          </cell>
          <cell r="B361">
            <v>9439367.9999800008</v>
          </cell>
        </row>
        <row r="362">
          <cell r="A362">
            <v>1073.5</v>
          </cell>
          <cell r="B362">
            <v>9479647.9999599997</v>
          </cell>
        </row>
        <row r="363">
          <cell r="A363">
            <v>1074</v>
          </cell>
          <cell r="B363">
            <v>9520007.9999899995</v>
          </cell>
        </row>
        <row r="364">
          <cell r="A364">
            <v>1074.5</v>
          </cell>
          <cell r="B364">
            <v>9560447.9999899995</v>
          </cell>
        </row>
        <row r="365">
          <cell r="A365">
            <v>1075</v>
          </cell>
          <cell r="B365">
            <v>9600987.9999899995</v>
          </cell>
        </row>
        <row r="366">
          <cell r="A366">
            <v>1075.5</v>
          </cell>
          <cell r="B366">
            <v>9641597.9999700002</v>
          </cell>
        </row>
        <row r="367">
          <cell r="A367">
            <v>1076</v>
          </cell>
          <cell r="B367">
            <v>9682297.9999800008</v>
          </cell>
        </row>
        <row r="368">
          <cell r="A368">
            <v>1076.5</v>
          </cell>
          <cell r="B368">
            <v>9723088.0000199992</v>
          </cell>
        </row>
        <row r="369">
          <cell r="A369">
            <v>1077</v>
          </cell>
          <cell r="B369">
            <v>9763958.0000199992</v>
          </cell>
        </row>
        <row r="370">
          <cell r="A370">
            <v>1077.5</v>
          </cell>
          <cell r="B370">
            <v>9804917.9999700002</v>
          </cell>
        </row>
        <row r="371">
          <cell r="A371">
            <v>1078</v>
          </cell>
          <cell r="B371">
            <v>9845958.0000400003</v>
          </cell>
        </row>
        <row r="372">
          <cell r="A372">
            <v>1078.5</v>
          </cell>
          <cell r="B372">
            <v>9887087.9999700002</v>
          </cell>
        </row>
        <row r="373">
          <cell r="A373">
            <v>1079</v>
          </cell>
          <cell r="B373">
            <v>9928298.0000299998</v>
          </cell>
        </row>
        <row r="374">
          <cell r="A374">
            <v>1079.5</v>
          </cell>
          <cell r="B374">
            <v>9969598.0000400003</v>
          </cell>
        </row>
        <row r="375">
          <cell r="A375">
            <v>1080</v>
          </cell>
          <cell r="B375">
            <v>10010978</v>
          </cell>
        </row>
        <row r="376">
          <cell r="A376">
            <v>1080.5</v>
          </cell>
          <cell r="B376">
            <v>10052448</v>
          </cell>
        </row>
        <row r="377">
          <cell r="A377">
            <v>1081</v>
          </cell>
          <cell r="B377">
            <v>10093998</v>
          </cell>
        </row>
        <row r="378">
          <cell r="A378">
            <v>1081.5</v>
          </cell>
          <cell r="B378">
            <v>10135648</v>
          </cell>
        </row>
        <row r="379">
          <cell r="A379">
            <v>1082</v>
          </cell>
          <cell r="B379">
            <v>10177378</v>
          </cell>
        </row>
        <row r="380">
          <cell r="A380">
            <v>1082.5</v>
          </cell>
          <cell r="B380">
            <v>10219198</v>
          </cell>
        </row>
        <row r="381">
          <cell r="A381">
            <v>1083</v>
          </cell>
          <cell r="B381">
            <v>10261098</v>
          </cell>
        </row>
        <row r="382">
          <cell r="A382">
            <v>1083.5</v>
          </cell>
          <cell r="B382">
            <v>10303098</v>
          </cell>
        </row>
        <row r="383">
          <cell r="A383">
            <v>1084</v>
          </cell>
          <cell r="B383">
            <v>10345178</v>
          </cell>
        </row>
        <row r="384">
          <cell r="A384">
            <v>1084.5</v>
          </cell>
          <cell r="B384">
            <v>10387348</v>
          </cell>
        </row>
        <row r="385">
          <cell r="A385">
            <v>1085</v>
          </cell>
          <cell r="B385">
            <v>10429608</v>
          </cell>
        </row>
        <row r="386">
          <cell r="A386">
            <v>1085.5</v>
          </cell>
          <cell r="B386">
            <v>10471948</v>
          </cell>
        </row>
        <row r="387">
          <cell r="A387">
            <v>1086</v>
          </cell>
          <cell r="B387">
            <v>10514388</v>
          </cell>
        </row>
        <row r="388">
          <cell r="A388">
            <v>1086.5</v>
          </cell>
          <cell r="B388">
            <v>10556908</v>
          </cell>
        </row>
        <row r="389">
          <cell r="A389">
            <v>1087</v>
          </cell>
          <cell r="B389">
            <v>10599518</v>
          </cell>
        </row>
        <row r="390">
          <cell r="A390">
            <v>1087.5</v>
          </cell>
          <cell r="B390">
            <v>10642218</v>
          </cell>
        </row>
        <row r="391">
          <cell r="A391">
            <v>1088</v>
          </cell>
          <cell r="B391">
            <v>10684998</v>
          </cell>
        </row>
        <row r="392">
          <cell r="A392">
            <v>1088.5</v>
          </cell>
          <cell r="B392">
            <v>10727868</v>
          </cell>
        </row>
        <row r="393">
          <cell r="A393">
            <v>1089</v>
          </cell>
          <cell r="B393">
            <v>10770828</v>
          </cell>
        </row>
        <row r="394">
          <cell r="A394">
            <v>1089.5</v>
          </cell>
          <cell r="B394">
            <v>10813878</v>
          </cell>
        </row>
        <row r="395">
          <cell r="A395">
            <v>1090</v>
          </cell>
          <cell r="B395">
            <v>10857008</v>
          </cell>
        </row>
        <row r="396">
          <cell r="A396">
            <v>1090.5</v>
          </cell>
          <cell r="B396">
            <v>10900238</v>
          </cell>
        </row>
        <row r="397">
          <cell r="A397">
            <v>1091</v>
          </cell>
          <cell r="B397">
            <v>10943548</v>
          </cell>
        </row>
        <row r="398">
          <cell r="A398">
            <v>1091.5</v>
          </cell>
          <cell r="B398">
            <v>10986938</v>
          </cell>
        </row>
        <row r="399">
          <cell r="A399">
            <v>1092</v>
          </cell>
          <cell r="B399">
            <v>11030418</v>
          </cell>
        </row>
        <row r="400">
          <cell r="A400">
            <v>1092.5</v>
          </cell>
          <cell r="B400">
            <v>11073988</v>
          </cell>
        </row>
        <row r="401">
          <cell r="A401">
            <v>1093</v>
          </cell>
          <cell r="B401">
            <v>11117638</v>
          </cell>
        </row>
        <row r="402">
          <cell r="A402">
            <v>1093.5</v>
          </cell>
          <cell r="B402">
            <v>11161378</v>
          </cell>
        </row>
        <row r="403">
          <cell r="A403">
            <v>1094</v>
          </cell>
          <cell r="B403">
            <v>11205208</v>
          </cell>
        </row>
        <row r="404">
          <cell r="A404">
            <v>1094.5</v>
          </cell>
          <cell r="B404">
            <v>11249118</v>
          </cell>
        </row>
        <row r="405">
          <cell r="A405">
            <v>1095</v>
          </cell>
          <cell r="B405">
            <v>11293118</v>
          </cell>
        </row>
        <row r="406">
          <cell r="A406">
            <v>1095.5</v>
          </cell>
          <cell r="B406">
            <v>11336955.1197</v>
          </cell>
        </row>
        <row r="407">
          <cell r="A407">
            <v>1096</v>
          </cell>
          <cell r="B407">
            <v>11380872.807499999</v>
          </cell>
        </row>
        <row r="408">
          <cell r="A408">
            <v>1096.5</v>
          </cell>
          <cell r="B408">
            <v>11424872.4439</v>
          </cell>
        </row>
        <row r="409">
          <cell r="A409">
            <v>1097</v>
          </cell>
          <cell r="B409">
            <v>11468946.247500001</v>
          </cell>
        </row>
        <row r="410">
          <cell r="A410">
            <v>1097.5</v>
          </cell>
          <cell r="B410">
            <v>11513107.081700001</v>
          </cell>
        </row>
        <row r="411">
          <cell r="A411">
            <v>1098</v>
          </cell>
          <cell r="B411">
            <v>11557346.991699999</v>
          </cell>
        </row>
        <row r="412">
          <cell r="A412">
            <v>1098.5</v>
          </cell>
          <cell r="B412">
            <v>11601673.657600001</v>
          </cell>
        </row>
        <row r="413">
          <cell r="A413">
            <v>1099</v>
          </cell>
          <cell r="B413">
            <v>11646067.2685</v>
          </cell>
        </row>
        <row r="414">
          <cell r="A414">
            <v>1099.5</v>
          </cell>
          <cell r="B414">
            <v>11690576.885399999</v>
          </cell>
        </row>
        <row r="415">
          <cell r="A415">
            <v>1100</v>
          </cell>
          <cell r="B415">
            <v>11735176.051100001</v>
          </cell>
        </row>
        <row r="416">
          <cell r="A416">
            <v>1100.5</v>
          </cell>
          <cell r="B416">
            <v>11779866.8136</v>
          </cell>
        </row>
        <row r="417">
          <cell r="A417">
            <v>1101</v>
          </cell>
          <cell r="B417">
            <v>11824637.101500001</v>
          </cell>
        </row>
        <row r="418">
          <cell r="A418">
            <v>1101.5</v>
          </cell>
          <cell r="B418">
            <v>11869502.2729</v>
          </cell>
        </row>
        <row r="419">
          <cell r="A419">
            <v>1102</v>
          </cell>
          <cell r="B419">
            <v>11914439.127599999</v>
          </cell>
        </row>
        <row r="420">
          <cell r="A420">
            <v>1102.5</v>
          </cell>
          <cell r="B420">
            <v>11959478.534499999</v>
          </cell>
        </row>
        <row r="421">
          <cell r="A421">
            <v>1103</v>
          </cell>
          <cell r="B421">
            <v>12004602.443299999</v>
          </cell>
        </row>
        <row r="422">
          <cell r="A422">
            <v>1103.5</v>
          </cell>
          <cell r="B422">
            <v>12049826.630100001</v>
          </cell>
        </row>
        <row r="423">
          <cell r="A423">
            <v>1104</v>
          </cell>
          <cell r="B423">
            <v>12095140.259</v>
          </cell>
        </row>
        <row r="424">
          <cell r="A424">
            <v>1104.5</v>
          </cell>
          <cell r="B424">
            <v>12140560.319599999</v>
          </cell>
        </row>
        <row r="425">
          <cell r="A425">
            <v>1105</v>
          </cell>
          <cell r="B425">
            <v>12186069.168</v>
          </cell>
        </row>
        <row r="426">
          <cell r="A426">
            <v>1105.5</v>
          </cell>
          <cell r="B426">
            <v>12231691.055400001</v>
          </cell>
        </row>
        <row r="427">
          <cell r="A427">
            <v>1106</v>
          </cell>
          <cell r="B427">
            <v>12277410.0627</v>
          </cell>
        </row>
        <row r="428">
          <cell r="A428">
            <v>1106.5</v>
          </cell>
          <cell r="B428">
            <v>12323247.800799999</v>
          </cell>
        </row>
        <row r="429">
          <cell r="A429">
            <v>1107</v>
          </cell>
          <cell r="B429">
            <v>12369192.2433</v>
          </cell>
        </row>
        <row r="430">
          <cell r="A430">
            <v>1107.5</v>
          </cell>
          <cell r="B430">
            <v>12415245.856000001</v>
          </cell>
        </row>
        <row r="431">
          <cell r="A431">
            <v>1108</v>
          </cell>
          <cell r="B431">
            <v>12461401.661499999</v>
          </cell>
        </row>
        <row r="432">
          <cell r="A432">
            <v>1108.5</v>
          </cell>
          <cell r="B432">
            <v>12507673.6086</v>
          </cell>
        </row>
        <row r="433">
          <cell r="A433">
            <v>1109</v>
          </cell>
          <cell r="B433">
            <v>12554079.816299999</v>
          </cell>
        </row>
        <row r="434">
          <cell r="A434">
            <v>1109.5</v>
          </cell>
          <cell r="B434">
            <v>12600613.938300001</v>
          </cell>
        </row>
        <row r="435">
          <cell r="A435">
            <v>1110</v>
          </cell>
          <cell r="B435">
            <v>12647247.2783</v>
          </cell>
        </row>
        <row r="436">
          <cell r="A436">
            <v>1110.5</v>
          </cell>
          <cell r="B436">
            <v>12694010.344699999</v>
          </cell>
        </row>
        <row r="437">
          <cell r="A437">
            <v>1111</v>
          </cell>
          <cell r="B437">
            <v>12740876.285800001</v>
          </cell>
        </row>
        <row r="438">
          <cell r="A438">
            <v>1111.5</v>
          </cell>
          <cell r="B438">
            <v>12787856.3157</v>
          </cell>
        </row>
        <row r="439">
          <cell r="A439">
            <v>1112</v>
          </cell>
          <cell r="B439">
            <v>12834932.789000001</v>
          </cell>
        </row>
        <row r="440">
          <cell r="A440">
            <v>1112.5</v>
          </cell>
          <cell r="B440">
            <v>12882121.668400001</v>
          </cell>
        </row>
        <row r="441">
          <cell r="A441">
            <v>1113</v>
          </cell>
          <cell r="B441">
            <v>12929400.759400001</v>
          </cell>
        </row>
        <row r="442">
          <cell r="A442">
            <v>1113.5</v>
          </cell>
          <cell r="B442">
            <v>12976786.5714</v>
          </cell>
        </row>
        <row r="443">
          <cell r="A443">
            <v>1114</v>
          </cell>
          <cell r="B443">
            <v>13024254.897399999</v>
          </cell>
        </row>
        <row r="444">
          <cell r="A444">
            <v>1114.5</v>
          </cell>
          <cell r="B444">
            <v>13071819.6612</v>
          </cell>
        </row>
        <row r="445">
          <cell r="A445">
            <v>1115</v>
          </cell>
          <cell r="B445">
            <v>13119488.208699999</v>
          </cell>
        </row>
        <row r="446">
          <cell r="A446">
            <v>1115.5</v>
          </cell>
          <cell r="B446">
            <v>13167265.487299999</v>
          </cell>
        </row>
        <row r="447">
          <cell r="A447">
            <v>1116</v>
          </cell>
          <cell r="B447">
            <v>13215135.3925</v>
          </cell>
        </row>
        <row r="448">
          <cell r="A448">
            <v>1116.5</v>
          </cell>
          <cell r="B448">
            <v>13263113.8442</v>
          </cell>
        </row>
        <row r="449">
          <cell r="A449">
            <v>1117</v>
          </cell>
          <cell r="B449">
            <v>13311186.671800001</v>
          </cell>
        </row>
        <row r="450">
          <cell r="A450">
            <v>1117.5</v>
          </cell>
          <cell r="B450">
            <v>13359355.630100001</v>
          </cell>
        </row>
        <row r="451">
          <cell r="A451">
            <v>1118</v>
          </cell>
          <cell r="B451">
            <v>13407594.2182</v>
          </cell>
        </row>
        <row r="452">
          <cell r="A452">
            <v>1118.5</v>
          </cell>
          <cell r="B452">
            <v>13455931.7601</v>
          </cell>
        </row>
        <row r="453">
          <cell r="A453">
            <v>1119</v>
          </cell>
          <cell r="B453">
            <v>13504347.202199999</v>
          </cell>
        </row>
        <row r="454">
          <cell r="A454">
            <v>1119.5</v>
          </cell>
          <cell r="B454">
            <v>13552852.0615</v>
          </cell>
        </row>
        <row r="455">
          <cell r="A455">
            <v>1120</v>
          </cell>
          <cell r="B455">
            <v>13601435.3455</v>
          </cell>
        </row>
        <row r="456">
          <cell r="A456">
            <v>1120.5</v>
          </cell>
          <cell r="B456">
            <v>13650107.556600001</v>
          </cell>
        </row>
        <row r="457">
          <cell r="A457">
            <v>1121</v>
          </cell>
          <cell r="B457">
            <v>13698851.756100001</v>
          </cell>
        </row>
        <row r="458">
          <cell r="A458">
            <v>1121.5</v>
          </cell>
          <cell r="B458">
            <v>13747698.8181</v>
          </cell>
        </row>
        <row r="459">
          <cell r="A459">
            <v>1122</v>
          </cell>
          <cell r="B459">
            <v>13796635.7687</v>
          </cell>
        </row>
        <row r="460">
          <cell r="A460">
            <v>1122.5</v>
          </cell>
          <cell r="B460">
            <v>13845676.006899999</v>
          </cell>
        </row>
        <row r="461">
          <cell r="A461">
            <v>1123</v>
          </cell>
          <cell r="B461">
            <v>13894813.1592</v>
          </cell>
        </row>
        <row r="462">
          <cell r="A462">
            <v>1123.5</v>
          </cell>
          <cell r="B462">
            <v>13944059.6885</v>
          </cell>
        </row>
        <row r="463">
          <cell r="A463">
            <v>1124</v>
          </cell>
          <cell r="B463">
            <v>13993404.4922</v>
          </cell>
        </row>
        <row r="464">
          <cell r="A464">
            <v>1124.5</v>
          </cell>
          <cell r="B464">
            <v>14042853.475</v>
          </cell>
        </row>
        <row r="465">
          <cell r="A465">
            <v>1125</v>
          </cell>
          <cell r="B465">
            <v>14092429.2477</v>
          </cell>
        </row>
        <row r="466">
          <cell r="A466">
            <v>1125.5</v>
          </cell>
          <cell r="B466">
            <v>14142122.008400001</v>
          </cell>
        </row>
        <row r="467">
          <cell r="A467">
            <v>1126</v>
          </cell>
          <cell r="B467">
            <v>14191920.524700001</v>
          </cell>
        </row>
        <row r="468">
          <cell r="A468">
            <v>1126.5</v>
          </cell>
          <cell r="B468">
            <v>14241840.7448</v>
          </cell>
        </row>
        <row r="469">
          <cell r="A469">
            <v>1127</v>
          </cell>
          <cell r="B469">
            <v>14291876.409399999</v>
          </cell>
        </row>
        <row r="470">
          <cell r="A470">
            <v>1127.5</v>
          </cell>
          <cell r="B470">
            <v>14342013.776000001</v>
          </cell>
        </row>
        <row r="471">
          <cell r="A471">
            <v>1128</v>
          </cell>
          <cell r="B471">
            <v>14392260.851199999</v>
          </cell>
        </row>
        <row r="472">
          <cell r="A472">
            <v>1128.5</v>
          </cell>
          <cell r="B472">
            <v>14442623.555199999</v>
          </cell>
        </row>
        <row r="473">
          <cell r="A473">
            <v>1129</v>
          </cell>
          <cell r="B473">
            <v>14493095.249700001</v>
          </cell>
        </row>
        <row r="474">
          <cell r="A474">
            <v>1129.5</v>
          </cell>
          <cell r="B474">
            <v>14543676.0746</v>
          </cell>
        </row>
        <row r="475">
          <cell r="A475">
            <v>1130</v>
          </cell>
          <cell r="B475">
            <v>14594353.5141</v>
          </cell>
        </row>
        <row r="476">
          <cell r="A476">
            <v>1130.5</v>
          </cell>
          <cell r="B476">
            <v>14645137.2698</v>
          </cell>
        </row>
        <row r="477">
          <cell r="A477">
            <v>1131</v>
          </cell>
          <cell r="B477">
            <v>14696039.588</v>
          </cell>
        </row>
        <row r="478">
          <cell r="A478">
            <v>1131.5</v>
          </cell>
          <cell r="B478">
            <v>14747053.1205</v>
          </cell>
        </row>
        <row r="479">
          <cell r="A479">
            <v>1132</v>
          </cell>
          <cell r="B479">
            <v>14798163.2633</v>
          </cell>
        </row>
        <row r="480">
          <cell r="A480">
            <v>1132.5</v>
          </cell>
          <cell r="B480">
            <v>14849388.4966</v>
          </cell>
        </row>
        <row r="481">
          <cell r="A481">
            <v>1133</v>
          </cell>
          <cell r="B481">
            <v>14900711.0277</v>
          </cell>
        </row>
        <row r="482">
          <cell r="A482">
            <v>1133.5</v>
          </cell>
          <cell r="B482">
            <v>14952154.560699999</v>
          </cell>
        </row>
        <row r="483">
          <cell r="A483">
            <v>1134</v>
          </cell>
          <cell r="B483">
            <v>15003688.792300001</v>
          </cell>
        </row>
        <row r="484">
          <cell r="A484">
            <v>1134.5</v>
          </cell>
          <cell r="B484">
            <v>15055351.329500001</v>
          </cell>
        </row>
        <row r="485">
          <cell r="A485">
            <v>1135</v>
          </cell>
          <cell r="B485">
            <v>15107118.9739</v>
          </cell>
        </row>
        <row r="486">
          <cell r="A486">
            <v>1135.5</v>
          </cell>
          <cell r="B486">
            <v>15159012.9738</v>
          </cell>
        </row>
        <row r="487">
          <cell r="A487">
            <v>1136</v>
          </cell>
          <cell r="B487">
            <v>15211315.5726</v>
          </cell>
        </row>
        <row r="488">
          <cell r="A488">
            <v>1136.5</v>
          </cell>
          <cell r="B488">
            <v>15263817.568299999</v>
          </cell>
        </row>
        <row r="489">
          <cell r="A489">
            <v>1137</v>
          </cell>
          <cell r="B489">
            <v>15316471.2952</v>
          </cell>
        </row>
        <row r="490">
          <cell r="A490">
            <v>1137.5</v>
          </cell>
          <cell r="B490">
            <v>15369288.286499999</v>
          </cell>
        </row>
        <row r="491">
          <cell r="A491">
            <v>1138</v>
          </cell>
          <cell r="B491">
            <v>15422233.171</v>
          </cell>
        </row>
        <row r="492">
          <cell r="A492">
            <v>1138.5</v>
          </cell>
          <cell r="B492">
            <v>15475338.099099999</v>
          </cell>
        </row>
        <row r="493">
          <cell r="A493">
            <v>1139</v>
          </cell>
          <cell r="B493">
            <v>15528574.404899999</v>
          </cell>
        </row>
        <row r="494">
          <cell r="A494">
            <v>1139.5</v>
          </cell>
          <cell r="B494">
            <v>15581958.2837</v>
          </cell>
        </row>
        <row r="495">
          <cell r="A495">
            <v>1140</v>
          </cell>
          <cell r="B495">
            <v>15635449.398700001</v>
          </cell>
        </row>
        <row r="496">
          <cell r="A496">
            <v>1140.5</v>
          </cell>
          <cell r="B496">
            <v>15689102.627</v>
          </cell>
        </row>
        <row r="497">
          <cell r="A497">
            <v>1141</v>
          </cell>
          <cell r="B497">
            <v>15742879.3814</v>
          </cell>
        </row>
        <row r="498">
          <cell r="A498">
            <v>1141.5</v>
          </cell>
          <cell r="B498">
            <v>15796788.639699999</v>
          </cell>
        </row>
        <row r="499">
          <cell r="A499">
            <v>1142</v>
          </cell>
          <cell r="B499">
            <v>15850807.860400001</v>
          </cell>
        </row>
        <row r="500">
          <cell r="A500">
            <v>1142.5</v>
          </cell>
          <cell r="B500">
            <v>15904969.400800001</v>
          </cell>
        </row>
        <row r="501">
          <cell r="A501">
            <v>1143</v>
          </cell>
          <cell r="B501">
            <v>15959245.869200001</v>
          </cell>
        </row>
        <row r="502">
          <cell r="A502">
            <v>1143.5</v>
          </cell>
          <cell r="B502">
            <v>16013645.587300001</v>
          </cell>
        </row>
        <row r="503">
          <cell r="A503">
            <v>1144</v>
          </cell>
          <cell r="B503">
            <v>16068161.4319</v>
          </cell>
        </row>
        <row r="504">
          <cell r="A504">
            <v>1144.5</v>
          </cell>
          <cell r="B504">
            <v>16122822.008300001</v>
          </cell>
        </row>
        <row r="505">
          <cell r="A505">
            <v>1145</v>
          </cell>
          <cell r="B505">
            <v>16177600.8697</v>
          </cell>
        </row>
        <row r="506">
          <cell r="A506">
            <v>1145.5</v>
          </cell>
          <cell r="B506">
            <v>16232520.5802</v>
          </cell>
        </row>
        <row r="507">
          <cell r="A507">
            <v>1146</v>
          </cell>
          <cell r="B507">
            <v>16287557.66</v>
          </cell>
        </row>
        <row r="508">
          <cell r="A508">
            <v>1146.5</v>
          </cell>
          <cell r="B508">
            <v>16342736.1664</v>
          </cell>
        </row>
        <row r="509">
          <cell r="A509">
            <v>1147</v>
          </cell>
          <cell r="B509">
            <v>16398050.2093</v>
          </cell>
        </row>
        <row r="510">
          <cell r="A510">
            <v>1147.5</v>
          </cell>
          <cell r="B510">
            <v>16453505.4476</v>
          </cell>
        </row>
        <row r="511">
          <cell r="A511">
            <v>1148</v>
          </cell>
          <cell r="B511">
            <v>16509077.2315</v>
          </cell>
        </row>
        <row r="512">
          <cell r="A512">
            <v>1148.5</v>
          </cell>
          <cell r="B512">
            <v>16564795.915999999</v>
          </cell>
        </row>
        <row r="513">
          <cell r="A513">
            <v>1149</v>
          </cell>
          <cell r="B513">
            <v>16620634.951099999</v>
          </cell>
        </row>
        <row r="514">
          <cell r="A514">
            <v>1149.5</v>
          </cell>
          <cell r="B514">
            <v>16676615.5473</v>
          </cell>
        </row>
        <row r="515">
          <cell r="A515">
            <v>1150</v>
          </cell>
          <cell r="B515">
            <v>16732705.187899999</v>
          </cell>
        </row>
        <row r="516">
          <cell r="A516">
            <v>1150.5</v>
          </cell>
          <cell r="B516">
            <v>16788954.337099999</v>
          </cell>
        </row>
        <row r="517">
          <cell r="A517">
            <v>1151</v>
          </cell>
          <cell r="B517">
            <v>16845331.890900001</v>
          </cell>
        </row>
        <row r="518">
          <cell r="A518">
            <v>1151.5</v>
          </cell>
          <cell r="B518">
            <v>16901855.936000001</v>
          </cell>
        </row>
        <row r="519">
          <cell r="A519">
            <v>1152</v>
          </cell>
          <cell r="B519">
            <v>16958547.835000001</v>
          </cell>
        </row>
        <row r="520">
          <cell r="A520">
            <v>1152.5</v>
          </cell>
          <cell r="B520">
            <v>17015394.7454</v>
          </cell>
        </row>
        <row r="521">
          <cell r="A521">
            <v>1153</v>
          </cell>
          <cell r="B521">
            <v>17072358.413199998</v>
          </cell>
        </row>
        <row r="522">
          <cell r="A522">
            <v>1153.5</v>
          </cell>
          <cell r="B522">
            <v>17129472.741700001</v>
          </cell>
        </row>
        <row r="523">
          <cell r="A523">
            <v>1154</v>
          </cell>
          <cell r="B523">
            <v>17186706.5317</v>
          </cell>
        </row>
        <row r="524">
          <cell r="A524">
            <v>1154.5</v>
          </cell>
          <cell r="B524">
            <v>17244078.8737</v>
          </cell>
        </row>
        <row r="525">
          <cell r="A525">
            <v>1155</v>
          </cell>
          <cell r="B525">
            <v>17301581.601100001</v>
          </cell>
        </row>
        <row r="526">
          <cell r="A526">
            <v>1155.5</v>
          </cell>
          <cell r="B526">
            <v>17359218.671500001</v>
          </cell>
        </row>
        <row r="527">
          <cell r="A527">
            <v>1156</v>
          </cell>
          <cell r="B527">
            <v>17416961.400400002</v>
          </cell>
        </row>
        <row r="528">
          <cell r="A528">
            <v>1156.5</v>
          </cell>
          <cell r="B528">
            <v>17474858.093600001</v>
          </cell>
        </row>
        <row r="529">
          <cell r="A529">
            <v>1157</v>
          </cell>
          <cell r="B529">
            <v>17532876.9881</v>
          </cell>
        </row>
        <row r="530">
          <cell r="A530">
            <v>1157.5</v>
          </cell>
          <cell r="B530">
            <v>17591045.054099999</v>
          </cell>
        </row>
        <row r="531">
          <cell r="A531">
            <v>1158</v>
          </cell>
          <cell r="B531">
            <v>17649368.798999999</v>
          </cell>
        </row>
        <row r="532">
          <cell r="A532">
            <v>1158.5</v>
          </cell>
          <cell r="B532">
            <v>17707859.773699999</v>
          </cell>
        </row>
        <row r="533">
          <cell r="A533">
            <v>1159</v>
          </cell>
          <cell r="B533">
            <v>17766478.315499999</v>
          </cell>
        </row>
        <row r="534">
          <cell r="A534">
            <v>1159.5</v>
          </cell>
          <cell r="B534">
            <v>17825242.887699999</v>
          </cell>
        </row>
        <row r="535">
          <cell r="A535">
            <v>1160</v>
          </cell>
          <cell r="B535">
            <v>17884154.129500002</v>
          </cell>
        </row>
        <row r="536">
          <cell r="A536">
            <v>1160.5</v>
          </cell>
          <cell r="B536">
            <v>17943222.914500002</v>
          </cell>
        </row>
        <row r="537">
          <cell r="A537">
            <v>1161</v>
          </cell>
          <cell r="B537">
            <v>18002431.845800001</v>
          </cell>
        </row>
        <row r="538">
          <cell r="A538">
            <v>1161.5</v>
          </cell>
          <cell r="B538">
            <v>18061799.8462</v>
          </cell>
        </row>
        <row r="539">
          <cell r="A539">
            <v>1162</v>
          </cell>
          <cell r="B539">
            <v>18121306.956900001</v>
          </cell>
        </row>
        <row r="540">
          <cell r="A540">
            <v>1162.5</v>
          </cell>
          <cell r="B540">
            <v>18180962.6822</v>
          </cell>
        </row>
        <row r="541">
          <cell r="A541">
            <v>1163</v>
          </cell>
          <cell r="B541">
            <v>18240770.931000002</v>
          </cell>
        </row>
        <row r="542">
          <cell r="A542">
            <v>1163.5</v>
          </cell>
          <cell r="B542">
            <v>18300740.141600002</v>
          </cell>
        </row>
        <row r="543">
          <cell r="A543">
            <v>1164</v>
          </cell>
          <cell r="B543">
            <v>18360848.994399998</v>
          </cell>
        </row>
        <row r="544">
          <cell r="A544">
            <v>1164.5</v>
          </cell>
          <cell r="B544">
            <v>18421137.7005</v>
          </cell>
        </row>
        <row r="545">
          <cell r="A545">
            <v>1165</v>
          </cell>
          <cell r="B545">
            <v>18481577.945099998</v>
          </cell>
        </row>
        <row r="546">
          <cell r="A546">
            <v>1165.5</v>
          </cell>
          <cell r="B546">
            <v>18542191.956799999</v>
          </cell>
        </row>
        <row r="547">
          <cell r="A547">
            <v>1166</v>
          </cell>
          <cell r="B547">
            <v>18602971.719900001</v>
          </cell>
        </row>
        <row r="548">
          <cell r="A548">
            <v>1166.5</v>
          </cell>
          <cell r="B548">
            <v>18663947.105799999</v>
          </cell>
        </row>
        <row r="549">
          <cell r="A549">
            <v>1167</v>
          </cell>
          <cell r="B549">
            <v>18725078.323600002</v>
          </cell>
        </row>
        <row r="550">
          <cell r="A550">
            <v>1167.5</v>
          </cell>
          <cell r="B550">
            <v>18786395.090300001</v>
          </cell>
        </row>
        <row r="551">
          <cell r="A551">
            <v>1168</v>
          </cell>
          <cell r="B551">
            <v>18847874.487199999</v>
          </cell>
        </row>
        <row r="552">
          <cell r="A552">
            <v>1168.5</v>
          </cell>
          <cell r="B552">
            <v>18909540.416200001</v>
          </cell>
        </row>
        <row r="553">
          <cell r="A553">
            <v>1169</v>
          </cell>
          <cell r="B553">
            <v>18971359.9056</v>
          </cell>
        </row>
        <row r="554">
          <cell r="A554">
            <v>1169.5</v>
          </cell>
          <cell r="B554">
            <v>19033395.601599999</v>
          </cell>
        </row>
        <row r="555">
          <cell r="A555">
            <v>1170</v>
          </cell>
          <cell r="B555">
            <v>19095622.029899999</v>
          </cell>
        </row>
        <row r="556">
          <cell r="A556">
            <v>1170.5</v>
          </cell>
          <cell r="B556">
            <v>19158042.7236</v>
          </cell>
        </row>
        <row r="557">
          <cell r="A557">
            <v>1171</v>
          </cell>
          <cell r="B557">
            <v>19220628.809900001</v>
          </cell>
        </row>
        <row r="558">
          <cell r="A558">
            <v>1171.5</v>
          </cell>
          <cell r="B558">
            <v>19283415.179699998</v>
          </cell>
        </row>
        <row r="559">
          <cell r="A559">
            <v>1172</v>
          </cell>
          <cell r="B559">
            <v>19346370.1734</v>
          </cell>
        </row>
        <row r="560">
          <cell r="A560">
            <v>1172.5</v>
          </cell>
          <cell r="B560">
            <v>19409537.088100001</v>
          </cell>
        </row>
        <row r="561">
          <cell r="A561">
            <v>1173</v>
          </cell>
          <cell r="B561">
            <v>19472881.442699999</v>
          </cell>
        </row>
        <row r="562">
          <cell r="A562">
            <v>1173.5</v>
          </cell>
          <cell r="B562">
            <v>19536423.464000002</v>
          </cell>
        </row>
        <row r="563">
          <cell r="A563">
            <v>1174</v>
          </cell>
          <cell r="B563">
            <v>19600143.501499999</v>
          </cell>
        </row>
        <row r="564">
          <cell r="A564">
            <v>1174.5</v>
          </cell>
          <cell r="B564">
            <v>19664064.9881</v>
          </cell>
        </row>
        <row r="565">
          <cell r="A565">
            <v>1175</v>
          </cell>
          <cell r="B565">
            <v>19728171.063000001</v>
          </cell>
        </row>
        <row r="566">
          <cell r="A566">
            <v>1175.5</v>
          </cell>
          <cell r="B566">
            <v>19792458.720100001</v>
          </cell>
        </row>
        <row r="567">
          <cell r="A567">
            <v>1176</v>
          </cell>
          <cell r="B567">
            <v>19856928.153200001</v>
          </cell>
        </row>
        <row r="568">
          <cell r="A568">
            <v>1176.5</v>
          </cell>
          <cell r="B568">
            <v>19921586.787099998</v>
          </cell>
        </row>
        <row r="569">
          <cell r="A569">
            <v>1177</v>
          </cell>
          <cell r="B569">
            <v>19986408.4531</v>
          </cell>
        </row>
        <row r="570">
          <cell r="A570">
            <v>1177.5</v>
          </cell>
          <cell r="B570">
            <v>20051404.169799998</v>
          </cell>
        </row>
        <row r="571">
          <cell r="A571">
            <v>1178</v>
          </cell>
          <cell r="B571">
            <v>20116552.044399999</v>
          </cell>
        </row>
        <row r="572">
          <cell r="A572">
            <v>1178.5</v>
          </cell>
          <cell r="B572">
            <v>20181862.099199999</v>
          </cell>
        </row>
        <row r="573">
          <cell r="A573">
            <v>1179</v>
          </cell>
          <cell r="B573">
            <v>20247345.6039</v>
          </cell>
        </row>
        <row r="574">
          <cell r="A574">
            <v>1179.5</v>
          </cell>
          <cell r="B574">
            <v>20313002.2443</v>
          </cell>
        </row>
        <row r="575">
          <cell r="A575">
            <v>1180</v>
          </cell>
          <cell r="B575">
            <v>20378809.302000001</v>
          </cell>
        </row>
        <row r="576">
          <cell r="A576">
            <v>1180.5</v>
          </cell>
          <cell r="B576">
            <v>20444779.695900001</v>
          </cell>
        </row>
        <row r="577">
          <cell r="A577">
            <v>1181</v>
          </cell>
          <cell r="B577">
            <v>20510893.336100001</v>
          </cell>
        </row>
        <row r="578">
          <cell r="A578">
            <v>1181.5</v>
          </cell>
          <cell r="B578">
            <v>20577156.063000001</v>
          </cell>
        </row>
        <row r="579">
          <cell r="A579">
            <v>1182</v>
          </cell>
          <cell r="B579">
            <v>20643603.706599999</v>
          </cell>
        </row>
        <row r="580">
          <cell r="A580">
            <v>1182.5</v>
          </cell>
          <cell r="B580">
            <v>20710222.403999999</v>
          </cell>
        </row>
        <row r="581">
          <cell r="A581">
            <v>1183</v>
          </cell>
          <cell r="B581">
            <v>20776987.057700001</v>
          </cell>
        </row>
        <row r="582">
          <cell r="A582">
            <v>1183.5</v>
          </cell>
          <cell r="B582">
            <v>20843911.985599998</v>
          </cell>
        </row>
        <row r="583">
          <cell r="A583">
            <v>1184</v>
          </cell>
          <cell r="B583">
            <v>20910985.065200001</v>
          </cell>
        </row>
        <row r="584">
          <cell r="A584">
            <v>1184.5</v>
          </cell>
          <cell r="B584">
            <v>20978218.539700001</v>
          </cell>
        </row>
        <row r="585">
          <cell r="A585">
            <v>1185</v>
          </cell>
          <cell r="B585">
            <v>21045591.480099998</v>
          </cell>
        </row>
        <row r="586">
          <cell r="A586">
            <v>1185.5</v>
          </cell>
          <cell r="B586">
            <v>21113142.578400001</v>
          </cell>
        </row>
        <row r="587">
          <cell r="A587">
            <v>1186</v>
          </cell>
          <cell r="B587">
            <v>21180851.024500001</v>
          </cell>
        </row>
        <row r="588">
          <cell r="A588">
            <v>1186.5</v>
          </cell>
          <cell r="B588">
            <v>21248730.337099999</v>
          </cell>
        </row>
        <row r="589">
          <cell r="A589">
            <v>1187</v>
          </cell>
          <cell r="B589">
            <v>21316767.159000002</v>
          </cell>
        </row>
        <row r="590">
          <cell r="A590">
            <v>1187.5</v>
          </cell>
          <cell r="B590">
            <v>21384972.4652</v>
          </cell>
        </row>
        <row r="591">
          <cell r="A591">
            <v>1188</v>
          </cell>
          <cell r="B591">
            <v>21453331.086800002</v>
          </cell>
        </row>
        <row r="592">
          <cell r="A592">
            <v>1188.5</v>
          </cell>
          <cell r="B592">
            <v>21521871.173099998</v>
          </cell>
        </row>
        <row r="593">
          <cell r="A593">
            <v>1189</v>
          </cell>
          <cell r="B593">
            <v>21590568.3706</v>
          </cell>
        </row>
        <row r="594">
          <cell r="A594">
            <v>1189.5</v>
          </cell>
          <cell r="B594">
            <v>21659432.8059</v>
          </cell>
        </row>
        <row r="595">
          <cell r="A595">
            <v>1190</v>
          </cell>
          <cell r="B595">
            <v>21728468.618099999</v>
          </cell>
        </row>
        <row r="596">
          <cell r="A596">
            <v>1190.5</v>
          </cell>
          <cell r="B596">
            <v>21797669.268300001</v>
          </cell>
        </row>
        <row r="597">
          <cell r="A597">
            <v>1191</v>
          </cell>
          <cell r="B597">
            <v>21867021.7597</v>
          </cell>
        </row>
        <row r="598">
          <cell r="A598">
            <v>1191.5</v>
          </cell>
          <cell r="B598">
            <v>21936522.5242</v>
          </cell>
        </row>
        <row r="599">
          <cell r="A599">
            <v>1192</v>
          </cell>
          <cell r="B599">
            <v>22006193.914700001</v>
          </cell>
        </row>
        <row r="600">
          <cell r="A600">
            <v>1192.5</v>
          </cell>
          <cell r="B600">
            <v>22076036.441199999</v>
          </cell>
        </row>
        <row r="601">
          <cell r="A601">
            <v>1193</v>
          </cell>
          <cell r="B601">
            <v>22146040.282200001</v>
          </cell>
        </row>
        <row r="602">
          <cell r="A602">
            <v>1193.5</v>
          </cell>
          <cell r="B602">
            <v>22216214.886500001</v>
          </cell>
        </row>
        <row r="603">
          <cell r="A603">
            <v>1194</v>
          </cell>
          <cell r="B603">
            <v>22286551.899700001</v>
          </cell>
        </row>
        <row r="604">
          <cell r="A604">
            <v>1194.5</v>
          </cell>
          <cell r="B604">
            <v>22357051.8761</v>
          </cell>
        </row>
        <row r="605">
          <cell r="A605">
            <v>1195</v>
          </cell>
          <cell r="B605">
            <v>22427735.826299999</v>
          </cell>
        </row>
        <row r="606">
          <cell r="A606">
            <v>1195.5</v>
          </cell>
          <cell r="B606">
            <v>22498597.8607</v>
          </cell>
        </row>
        <row r="607">
          <cell r="A607">
            <v>1196</v>
          </cell>
          <cell r="B607">
            <v>22569624.080400001</v>
          </cell>
        </row>
        <row r="608">
          <cell r="A608">
            <v>1196.5</v>
          </cell>
          <cell r="B608">
            <v>22640816.464000002</v>
          </cell>
        </row>
        <row r="609">
          <cell r="A609">
            <v>1197</v>
          </cell>
          <cell r="B609">
            <v>22712165.759799998</v>
          </cell>
        </row>
        <row r="610">
          <cell r="A610">
            <v>1197.5</v>
          </cell>
          <cell r="B610">
            <v>22783668.333299998</v>
          </cell>
        </row>
        <row r="611">
          <cell r="A611">
            <v>1198</v>
          </cell>
          <cell r="B611">
            <v>22855346.373500001</v>
          </cell>
        </row>
        <row r="612">
          <cell r="A612">
            <v>1198.5</v>
          </cell>
          <cell r="B612">
            <v>22927195.683400001</v>
          </cell>
        </row>
        <row r="613">
          <cell r="A613">
            <v>1199</v>
          </cell>
          <cell r="B613">
            <v>22999205.030299999</v>
          </cell>
        </row>
        <row r="614">
          <cell r="A614">
            <v>1199.5</v>
          </cell>
          <cell r="B614">
            <v>23071381.2962</v>
          </cell>
        </row>
        <row r="615">
          <cell r="A615">
            <v>1200</v>
          </cell>
          <cell r="B615">
            <v>23143713.5704</v>
          </cell>
        </row>
        <row r="616">
          <cell r="A616">
            <v>1200.5</v>
          </cell>
          <cell r="B616">
            <v>23216210.3752</v>
          </cell>
        </row>
        <row r="617">
          <cell r="A617">
            <v>1201</v>
          </cell>
          <cell r="B617">
            <v>23288848.8968</v>
          </cell>
        </row>
        <row r="618">
          <cell r="A618">
            <v>1201.5</v>
          </cell>
          <cell r="B618">
            <v>23361678.5308</v>
          </cell>
        </row>
        <row r="619">
          <cell r="A619">
            <v>1202</v>
          </cell>
          <cell r="B619">
            <v>23434687.9553</v>
          </cell>
        </row>
        <row r="620">
          <cell r="A620">
            <v>1202.5</v>
          </cell>
          <cell r="B620">
            <v>23507875.030699998</v>
          </cell>
        </row>
        <row r="621">
          <cell r="A621">
            <v>1203</v>
          </cell>
          <cell r="B621">
            <v>23581326.434599999</v>
          </cell>
        </row>
        <row r="622">
          <cell r="A622">
            <v>1203.5</v>
          </cell>
          <cell r="B622">
            <v>23654986.152100001</v>
          </cell>
        </row>
        <row r="623">
          <cell r="A623">
            <v>1204</v>
          </cell>
          <cell r="B623">
            <v>23728794.510699999</v>
          </cell>
        </row>
        <row r="624">
          <cell r="A624">
            <v>1204.5</v>
          </cell>
          <cell r="B624">
            <v>23802788.094300002</v>
          </cell>
        </row>
        <row r="625">
          <cell r="A625">
            <v>1205</v>
          </cell>
          <cell r="B625">
            <v>23876949.508499999</v>
          </cell>
        </row>
        <row r="626">
          <cell r="A626">
            <v>1205.5</v>
          </cell>
          <cell r="B626">
            <v>23951313.9736</v>
          </cell>
        </row>
        <row r="627">
          <cell r="A627">
            <v>1206</v>
          </cell>
          <cell r="B627">
            <v>24025868.873</v>
          </cell>
        </row>
        <row r="628">
          <cell r="A628">
            <v>1206.5</v>
          </cell>
          <cell r="B628">
            <v>24100601.711599998</v>
          </cell>
        </row>
        <row r="629">
          <cell r="A629">
            <v>1207</v>
          </cell>
          <cell r="B629">
            <v>24175487.388900001</v>
          </cell>
        </row>
        <row r="630">
          <cell r="A630">
            <v>1207.5</v>
          </cell>
          <cell r="B630">
            <v>24250561.023800001</v>
          </cell>
        </row>
        <row r="631">
          <cell r="A631">
            <v>1208</v>
          </cell>
          <cell r="B631">
            <v>24325795.0973</v>
          </cell>
        </row>
        <row r="632">
          <cell r="A632">
            <v>1208.5</v>
          </cell>
          <cell r="B632">
            <v>24401198.677999999</v>
          </cell>
        </row>
        <row r="633">
          <cell r="A633">
            <v>1209</v>
          </cell>
          <cell r="B633">
            <v>24476760.188999999</v>
          </cell>
        </row>
        <row r="634">
          <cell r="A634">
            <v>1209.5</v>
          </cell>
          <cell r="B634">
            <v>24552489.7267</v>
          </cell>
        </row>
        <row r="635">
          <cell r="A635">
            <v>1210</v>
          </cell>
          <cell r="B635">
            <v>24628375.120900001</v>
          </cell>
        </row>
        <row r="636">
          <cell r="A636">
            <v>1210.5</v>
          </cell>
          <cell r="B636">
            <v>24704411.035300002</v>
          </cell>
        </row>
        <row r="637">
          <cell r="A637">
            <v>1211</v>
          </cell>
          <cell r="B637">
            <v>24780617.3303</v>
          </cell>
        </row>
        <row r="638">
          <cell r="A638">
            <v>1211.5</v>
          </cell>
          <cell r="B638">
            <v>24856985.701299999</v>
          </cell>
        </row>
        <row r="639">
          <cell r="A639">
            <v>1212</v>
          </cell>
          <cell r="B639">
            <v>24933504.313099999</v>
          </cell>
        </row>
        <row r="640">
          <cell r="A640">
            <v>1212.5</v>
          </cell>
          <cell r="B640">
            <v>25010178.227000002</v>
          </cell>
        </row>
        <row r="641">
          <cell r="A641">
            <v>1213</v>
          </cell>
          <cell r="B641">
            <v>25086998.123799998</v>
          </cell>
        </row>
        <row r="642">
          <cell r="A642">
            <v>1213.5</v>
          </cell>
          <cell r="B642">
            <v>25163954.092500001</v>
          </cell>
        </row>
        <row r="643">
          <cell r="A643">
            <v>1214</v>
          </cell>
          <cell r="B643">
            <v>25241070.289900001</v>
          </cell>
        </row>
        <row r="644">
          <cell r="A644">
            <v>1214.5</v>
          </cell>
          <cell r="B644">
            <v>25318337.044500001</v>
          </cell>
        </row>
        <row r="645">
          <cell r="A645">
            <v>1215</v>
          </cell>
          <cell r="B645">
            <v>25395747.1699</v>
          </cell>
        </row>
        <row r="646">
          <cell r="A646">
            <v>1215.5</v>
          </cell>
          <cell r="B646">
            <v>25473302.182500001</v>
          </cell>
        </row>
        <row r="647">
          <cell r="A647">
            <v>1216</v>
          </cell>
          <cell r="B647">
            <v>25550991.9003</v>
          </cell>
        </row>
        <row r="648">
          <cell r="A648">
            <v>1216.5</v>
          </cell>
          <cell r="B648">
            <v>25628819.463599999</v>
          </cell>
        </row>
        <row r="649">
          <cell r="A649">
            <v>1217</v>
          </cell>
          <cell r="B649">
            <v>25706763.5984</v>
          </cell>
        </row>
        <row r="650">
          <cell r="A650">
            <v>1217.5</v>
          </cell>
          <cell r="B650">
            <v>25784860.274900001</v>
          </cell>
        </row>
        <row r="651">
          <cell r="A651">
            <v>1218</v>
          </cell>
          <cell r="B651">
            <v>25863089.953400001</v>
          </cell>
        </row>
        <row r="652">
          <cell r="A652">
            <v>1218.5</v>
          </cell>
          <cell r="B652">
            <v>25941458.096799999</v>
          </cell>
        </row>
        <row r="653">
          <cell r="A653">
            <v>1219</v>
          </cell>
          <cell r="B653">
            <v>26019960.1525</v>
          </cell>
        </row>
        <row r="654">
          <cell r="A654">
            <v>1219.5</v>
          </cell>
          <cell r="B654">
            <v>26098601.137400001</v>
          </cell>
        </row>
        <row r="655">
          <cell r="A655">
            <v>1220</v>
          </cell>
          <cell r="B655">
            <v>26177361.3303</v>
          </cell>
        </row>
        <row r="656">
          <cell r="A656">
            <v>1220.5</v>
          </cell>
          <cell r="B656">
            <v>26256279.734900001</v>
          </cell>
        </row>
        <row r="657">
          <cell r="A657">
            <v>1221</v>
          </cell>
          <cell r="B657">
            <v>26335338.448899999</v>
          </cell>
        </row>
        <row r="658">
          <cell r="A658">
            <v>1221.5</v>
          </cell>
          <cell r="B658">
            <v>26414542.661400001</v>
          </cell>
        </row>
        <row r="659">
          <cell r="A659">
            <v>1222</v>
          </cell>
          <cell r="B659">
            <v>26493891.876200002</v>
          </cell>
        </row>
        <row r="660">
          <cell r="A660">
            <v>1222.5</v>
          </cell>
          <cell r="B660">
            <v>26573396.6897</v>
          </cell>
        </row>
        <row r="661">
          <cell r="A661">
            <v>1223</v>
          </cell>
          <cell r="B661">
            <v>26653037.7258</v>
          </cell>
        </row>
        <row r="662">
          <cell r="A662">
            <v>1223.5</v>
          </cell>
          <cell r="B662">
            <v>26732851.6098</v>
          </cell>
        </row>
        <row r="663">
          <cell r="A663">
            <v>1224</v>
          </cell>
          <cell r="B663">
            <v>26812815.841800001</v>
          </cell>
        </row>
        <row r="664">
          <cell r="A664">
            <v>1224.5</v>
          </cell>
          <cell r="B664">
            <v>26892930.1094</v>
          </cell>
        </row>
        <row r="665">
          <cell r="A665">
            <v>1225</v>
          </cell>
          <cell r="B665">
            <v>26973186.650800001</v>
          </cell>
        </row>
        <row r="666">
          <cell r="A666">
            <v>1225.5</v>
          </cell>
          <cell r="B666">
            <v>27053585.979600001</v>
          </cell>
        </row>
        <row r="667">
          <cell r="A667">
            <v>1226</v>
          </cell>
          <cell r="B667">
            <v>27134123.5506</v>
          </cell>
        </row>
        <row r="668">
          <cell r="A668">
            <v>1226.5</v>
          </cell>
          <cell r="B668">
            <v>27214787.504500002</v>
          </cell>
        </row>
        <row r="669">
          <cell r="A669">
            <v>1227</v>
          </cell>
          <cell r="B669">
            <v>27295605.9036</v>
          </cell>
        </row>
        <row r="670">
          <cell r="A670">
            <v>1227.5</v>
          </cell>
          <cell r="B670">
            <v>27376565.713599999</v>
          </cell>
        </row>
        <row r="671">
          <cell r="A671">
            <v>1228</v>
          </cell>
          <cell r="B671">
            <v>27457664.4102</v>
          </cell>
        </row>
        <row r="672">
          <cell r="A672">
            <v>1228.5</v>
          </cell>
          <cell r="B672">
            <v>27538908.649500001</v>
          </cell>
        </row>
        <row r="673">
          <cell r="A673">
            <v>1229</v>
          </cell>
          <cell r="B673">
            <v>27620294.123799998</v>
          </cell>
        </row>
        <row r="674">
          <cell r="A674">
            <v>1229.5</v>
          </cell>
          <cell r="B674">
            <v>27701810.300500002</v>
          </cell>
        </row>
        <row r="675">
          <cell r="A675">
            <v>1230</v>
          </cell>
          <cell r="B675">
            <v>27783488.287099998</v>
          </cell>
        </row>
        <row r="676">
          <cell r="A676">
            <v>1250</v>
          </cell>
          <cell r="B676">
            <v>30809525</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27"/>
  <sheetViews>
    <sheetView zoomScale="150" zoomScaleNormal="150" workbookViewId="0"/>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127</v>
      </c>
      <c r="B1" s="1"/>
      <c r="C1" s="2"/>
      <c r="D1"/>
    </row>
    <row r="2" spans="1:12" x14ac:dyDescent="0.35">
      <c r="A2" s="1"/>
      <c r="B2" s="1"/>
      <c r="C2" s="2"/>
      <c r="D2"/>
    </row>
    <row r="3" spans="1:12" x14ac:dyDescent="0.35">
      <c r="A3" s="1" t="s">
        <v>39</v>
      </c>
      <c r="B3" s="1"/>
      <c r="C3" s="2"/>
      <c r="D3"/>
    </row>
    <row r="4" spans="1:12" ht="164.5" customHeight="1" x14ac:dyDescent="0.35">
      <c r="A4" s="57" t="s">
        <v>120</v>
      </c>
      <c r="B4" s="57"/>
      <c r="C4" s="57"/>
      <c r="D4" s="57"/>
      <c r="E4" s="57"/>
      <c r="F4" s="57"/>
      <c r="G4" s="57"/>
      <c r="H4" s="57"/>
      <c r="I4" s="57"/>
      <c r="J4" s="57"/>
      <c r="K4" s="57"/>
      <c r="L4" s="57"/>
    </row>
    <row r="5" spans="1:12" ht="13.5" customHeight="1" x14ac:dyDescent="0.35">
      <c r="B5" s="16"/>
      <c r="C5" s="16"/>
      <c r="D5" s="16"/>
      <c r="E5" s="16"/>
      <c r="F5" s="16"/>
      <c r="G5" s="16"/>
      <c r="H5" s="16"/>
      <c r="I5" s="16"/>
      <c r="J5" s="16"/>
      <c r="K5" s="16"/>
      <c r="L5" s="16"/>
    </row>
    <row r="6" spans="1:12" ht="16.5" customHeight="1" x14ac:dyDescent="0.35">
      <c r="A6" s="48" t="s">
        <v>125</v>
      </c>
      <c r="B6" s="49"/>
      <c r="C6" s="49"/>
      <c r="D6" s="49"/>
      <c r="E6" s="49"/>
      <c r="F6" s="49"/>
      <c r="G6" s="49"/>
      <c r="H6" s="49"/>
      <c r="I6" s="49"/>
      <c r="J6" s="49"/>
      <c r="K6" s="49"/>
      <c r="L6" s="50"/>
    </row>
    <row r="7" spans="1:12" ht="16.5" customHeight="1" x14ac:dyDescent="0.35">
      <c r="A7" s="29">
        <v>1</v>
      </c>
      <c r="B7" s="51" t="s">
        <v>121</v>
      </c>
      <c r="C7" s="51"/>
      <c r="D7" s="51"/>
      <c r="E7" s="51"/>
      <c r="F7" s="51"/>
      <c r="G7" s="51"/>
      <c r="H7" s="51"/>
      <c r="I7" s="51"/>
      <c r="J7" s="51"/>
      <c r="K7" s="51"/>
      <c r="L7" s="52"/>
    </row>
    <row r="8" spans="1:12" ht="16.5" customHeight="1" x14ac:dyDescent="0.35">
      <c r="A8" s="29">
        <v>2</v>
      </c>
      <c r="B8" s="51" t="s">
        <v>99</v>
      </c>
      <c r="C8" s="51"/>
      <c r="D8" s="51"/>
      <c r="E8" s="51"/>
      <c r="F8" s="51"/>
      <c r="G8" s="51"/>
      <c r="H8" s="51"/>
      <c r="I8" s="51"/>
      <c r="J8" s="51"/>
      <c r="K8" s="51"/>
      <c r="L8" s="52"/>
    </row>
    <row r="9" spans="1:12" ht="16.5" customHeight="1" x14ac:dyDescent="0.35">
      <c r="A9" s="29">
        <v>3</v>
      </c>
      <c r="B9" s="51" t="s">
        <v>55</v>
      </c>
      <c r="C9" s="51"/>
      <c r="D9" s="51"/>
      <c r="E9" s="51"/>
      <c r="F9" s="51"/>
      <c r="G9" s="51"/>
      <c r="H9" s="51"/>
      <c r="I9" s="51"/>
      <c r="J9" s="51"/>
      <c r="K9" s="51"/>
      <c r="L9" s="52"/>
    </row>
    <row r="10" spans="1:12" ht="32.5" customHeight="1" x14ac:dyDescent="0.35">
      <c r="A10" s="29">
        <v>4</v>
      </c>
      <c r="B10" s="51" t="s">
        <v>100</v>
      </c>
      <c r="C10" s="51"/>
      <c r="D10" s="51"/>
      <c r="E10" s="51"/>
      <c r="F10" s="51"/>
      <c r="G10" s="51"/>
      <c r="H10" s="51"/>
      <c r="I10" s="51"/>
      <c r="J10" s="51"/>
      <c r="K10" s="51"/>
      <c r="L10" s="52"/>
    </row>
    <row r="11" spans="1:12" ht="16.5" customHeight="1" x14ac:dyDescent="0.35">
      <c r="A11" s="29">
        <v>5</v>
      </c>
      <c r="B11" s="51" t="s">
        <v>57</v>
      </c>
      <c r="C11" s="51"/>
      <c r="D11" s="51"/>
      <c r="E11" s="51"/>
      <c r="F11" s="51"/>
      <c r="G11" s="51"/>
      <c r="H11" s="51"/>
      <c r="I11" s="51"/>
      <c r="J11" s="51"/>
      <c r="K11" s="51"/>
      <c r="L11" s="52"/>
    </row>
    <row r="12" spans="1:12" ht="16.5" customHeight="1" x14ac:dyDescent="0.35">
      <c r="A12" s="29">
        <v>6</v>
      </c>
      <c r="B12" s="51" t="s">
        <v>58</v>
      </c>
      <c r="C12" s="51"/>
      <c r="D12" s="51"/>
      <c r="E12" s="51"/>
      <c r="F12" s="51"/>
      <c r="G12" s="51"/>
      <c r="H12" s="51"/>
      <c r="I12" s="51"/>
      <c r="J12" s="51"/>
      <c r="K12" s="51"/>
      <c r="L12" s="52"/>
    </row>
    <row r="13" spans="1:12" ht="32.5" customHeight="1" x14ac:dyDescent="0.35">
      <c r="A13" s="29">
        <v>7</v>
      </c>
      <c r="B13" s="51" t="s">
        <v>122</v>
      </c>
      <c r="C13" s="51"/>
      <c r="D13" s="51"/>
      <c r="E13" s="51"/>
      <c r="F13" s="51"/>
      <c r="G13" s="51"/>
      <c r="H13" s="51"/>
      <c r="I13" s="51"/>
      <c r="J13" s="51"/>
      <c r="K13" s="51"/>
      <c r="L13" s="52"/>
    </row>
    <row r="14" spans="1:12" ht="16.5" customHeight="1" x14ac:dyDescent="0.35">
      <c r="A14" s="29">
        <v>8</v>
      </c>
      <c r="B14" s="51" t="s">
        <v>123</v>
      </c>
      <c r="C14" s="51"/>
      <c r="D14" s="51"/>
      <c r="E14" s="51"/>
      <c r="F14" s="51"/>
      <c r="G14" s="51"/>
      <c r="H14" s="51"/>
      <c r="I14" s="51"/>
      <c r="J14" s="51"/>
      <c r="K14" s="51"/>
      <c r="L14" s="52"/>
    </row>
    <row r="15" spans="1:12" ht="16.5" customHeight="1" x14ac:dyDescent="0.35">
      <c r="A15" s="29">
        <v>9</v>
      </c>
      <c r="B15" s="51" t="s">
        <v>124</v>
      </c>
      <c r="C15" s="51"/>
      <c r="D15" s="51"/>
      <c r="E15" s="51"/>
      <c r="F15" s="51"/>
      <c r="G15" s="51"/>
      <c r="H15" s="51"/>
      <c r="I15" s="51"/>
      <c r="J15" s="51"/>
      <c r="K15" s="51"/>
      <c r="L15" s="52"/>
    </row>
    <row r="16" spans="1:12" ht="16.5" customHeight="1" x14ac:dyDescent="0.35">
      <c r="A16" s="29">
        <v>10</v>
      </c>
      <c r="B16" s="51" t="s">
        <v>59</v>
      </c>
      <c r="C16" s="51"/>
      <c r="D16" s="51"/>
      <c r="E16" s="51"/>
      <c r="F16" s="51"/>
      <c r="G16" s="51"/>
      <c r="H16" s="51"/>
      <c r="I16" s="51"/>
      <c r="J16" s="51"/>
      <c r="K16" s="51"/>
      <c r="L16" s="52"/>
    </row>
    <row r="17" spans="1:12" ht="16.5" customHeight="1" x14ac:dyDescent="0.35">
      <c r="A17" s="29">
        <v>11</v>
      </c>
      <c r="B17" s="53" t="s">
        <v>60</v>
      </c>
      <c r="C17" s="53"/>
      <c r="D17" s="53"/>
      <c r="E17" s="53"/>
      <c r="F17" s="53"/>
      <c r="G17" s="53"/>
      <c r="H17" s="53"/>
      <c r="I17" s="53"/>
      <c r="J17" s="53"/>
      <c r="K17" s="53"/>
      <c r="L17" s="54"/>
    </row>
    <row r="18" spans="1:12" ht="32" customHeight="1" x14ac:dyDescent="0.35">
      <c r="A18" s="29">
        <v>12</v>
      </c>
      <c r="B18" s="55" t="s">
        <v>110</v>
      </c>
      <c r="C18" s="55"/>
      <c r="D18" s="55"/>
      <c r="E18" s="55"/>
      <c r="F18" s="55"/>
      <c r="G18" s="55"/>
      <c r="H18" s="55"/>
      <c r="I18" s="55"/>
      <c r="J18" s="55"/>
      <c r="K18" s="55"/>
      <c r="L18" s="56"/>
    </row>
    <row r="19" spans="1:12" ht="16.5" customHeight="1" x14ac:dyDescent="0.35">
      <c r="B19" s="27"/>
      <c r="C19" s="27"/>
      <c r="D19" s="27"/>
      <c r="E19" s="27"/>
      <c r="F19" s="27"/>
      <c r="G19" s="27"/>
      <c r="H19" s="27"/>
      <c r="I19" s="27"/>
      <c r="J19" s="27"/>
      <c r="K19" s="27"/>
      <c r="L19" s="27"/>
    </row>
    <row r="20" spans="1:12" x14ac:dyDescent="0.35">
      <c r="A20" s="1" t="s">
        <v>101</v>
      </c>
    </row>
    <row r="21" spans="1:12" x14ac:dyDescent="0.35">
      <c r="B21" s="2" t="s">
        <v>102</v>
      </c>
      <c r="C21" t="s">
        <v>103</v>
      </c>
    </row>
    <row r="22" spans="1:12" x14ac:dyDescent="0.35">
      <c r="B22" s="2" t="s">
        <v>105</v>
      </c>
      <c r="C22" t="s">
        <v>106</v>
      </c>
    </row>
    <row r="23" spans="1:12" x14ac:dyDescent="0.35">
      <c r="B23" s="2" t="s">
        <v>107</v>
      </c>
      <c r="C23" t="s">
        <v>108</v>
      </c>
    </row>
    <row r="24" spans="1:12" x14ac:dyDescent="0.35">
      <c r="B24" s="2" t="s">
        <v>104</v>
      </c>
      <c r="C24" t="s">
        <v>109</v>
      </c>
    </row>
    <row r="26" spans="1:12" x14ac:dyDescent="0.35">
      <c r="A26" s="1" t="s">
        <v>51</v>
      </c>
    </row>
    <row r="27" spans="1:12" ht="30.5" customHeight="1" x14ac:dyDescent="0.35">
      <c r="A27" s="47" t="s">
        <v>126</v>
      </c>
      <c r="B27" s="47"/>
      <c r="C27" s="47"/>
      <c r="D27" s="47"/>
      <c r="E27" s="47"/>
      <c r="F27" s="47"/>
      <c r="G27" s="47"/>
      <c r="H27" s="47"/>
      <c r="I27" s="47"/>
      <c r="J27" s="47"/>
      <c r="K27" s="47"/>
      <c r="L27" s="47"/>
    </row>
  </sheetData>
  <mergeCells count="15">
    <mergeCell ref="A4:L4"/>
    <mergeCell ref="B9:L9"/>
    <mergeCell ref="B11:L11"/>
    <mergeCell ref="B12:L12"/>
    <mergeCell ref="B13:L13"/>
    <mergeCell ref="A27:L27"/>
    <mergeCell ref="A6:L6"/>
    <mergeCell ref="B10:L10"/>
    <mergeCell ref="B7:L7"/>
    <mergeCell ref="B8:L8"/>
    <mergeCell ref="B14:L14"/>
    <mergeCell ref="B15:L15"/>
    <mergeCell ref="B16:L16"/>
    <mergeCell ref="B17:L17"/>
    <mergeCell ref="B18:L1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6767-5983-45FB-80E4-1C5DE08E38A0}">
  <dimension ref="A1:R62"/>
  <sheetViews>
    <sheetView topLeftCell="A45" zoomScale="150" zoomScaleNormal="150" workbookViewId="0">
      <selection activeCell="A22" sqref="A22:A26"/>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127</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13"/>
      <c r="C5" s="58"/>
      <c r="D5" s="58"/>
      <c r="E5" s="58"/>
      <c r="F5" s="58"/>
      <c r="G5" s="58"/>
      <c r="H5" s="58"/>
    </row>
    <row r="6" spans="1:11" x14ac:dyDescent="0.35">
      <c r="A6" s="17" t="s">
        <v>41</v>
      </c>
      <c r="B6" s="13"/>
      <c r="C6" s="58"/>
      <c r="D6" s="58"/>
      <c r="E6" s="58"/>
      <c r="F6" s="58"/>
      <c r="G6" s="58"/>
      <c r="H6" s="58"/>
    </row>
    <row r="7" spans="1:11" x14ac:dyDescent="0.35">
      <c r="A7" s="17" t="s">
        <v>42</v>
      </c>
      <c r="B7" s="13"/>
      <c r="C7" s="58"/>
      <c r="D7" s="58"/>
      <c r="E7" s="58"/>
      <c r="F7" s="58"/>
      <c r="G7" s="58"/>
      <c r="H7" s="58"/>
    </row>
    <row r="8" spans="1:11" x14ac:dyDescent="0.35">
      <c r="A8" s="17" t="s">
        <v>43</v>
      </c>
      <c r="B8" s="13"/>
      <c r="C8" s="58"/>
      <c r="D8" s="58"/>
      <c r="E8" s="58"/>
      <c r="F8" s="58"/>
      <c r="G8" s="58"/>
      <c r="H8" s="58"/>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129</v>
      </c>
      <c r="C17" s="14" t="s">
        <v>130</v>
      </c>
    </row>
    <row r="18" spans="1:13" x14ac:dyDescent="0.35">
      <c r="A18" t="s">
        <v>128</v>
      </c>
      <c r="B18" s="12">
        <v>5.73</v>
      </c>
      <c r="C18" s="12">
        <v>6</v>
      </c>
      <c r="D18" s="24" t="s">
        <v>131</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119</v>
      </c>
    </row>
    <row r="22" spans="1:13" x14ac:dyDescent="0.35">
      <c r="A22" s="1" t="s">
        <v>46</v>
      </c>
      <c r="B22" s="1"/>
      <c r="C22" s="12">
        <v>13.4</v>
      </c>
      <c r="D22" s="12">
        <v>13</v>
      </c>
      <c r="E22" s="12">
        <v>12.6</v>
      </c>
      <c r="F22" s="12">
        <v>10</v>
      </c>
      <c r="G22" s="12"/>
      <c r="H22" s="12"/>
      <c r="I22" s="12"/>
      <c r="J22" s="12"/>
      <c r="K22" s="12"/>
      <c r="L22" s="12"/>
    </row>
    <row r="23" spans="1:13" x14ac:dyDescent="0.35">
      <c r="A23" s="1" t="s">
        <v>140</v>
      </c>
      <c r="B23" s="1"/>
      <c r="C23" s="12">
        <f>IF(C$22&lt;&gt;"",0.8,"")</f>
        <v>0.8</v>
      </c>
      <c r="D23" s="12">
        <f t="shared" ref="D23:L23" si="0">IF(D$22&lt;&gt;"",0.8,"")</f>
        <v>0.8</v>
      </c>
      <c r="E23" s="12">
        <f t="shared" si="0"/>
        <v>0.8</v>
      </c>
      <c r="F23" s="12">
        <f t="shared" si="0"/>
        <v>0.8</v>
      </c>
      <c r="G23" s="12" t="str">
        <f t="shared" si="0"/>
        <v/>
      </c>
      <c r="H23" s="12" t="str">
        <f t="shared" si="0"/>
        <v/>
      </c>
      <c r="I23" s="12" t="str">
        <f t="shared" si="0"/>
        <v/>
      </c>
      <c r="J23" s="12" t="str">
        <f t="shared" si="0"/>
        <v/>
      </c>
      <c r="K23" s="12" t="str">
        <f t="shared" si="0"/>
        <v/>
      </c>
      <c r="L23" s="12" t="str">
        <f t="shared" si="0"/>
        <v/>
      </c>
    </row>
    <row r="24" spans="1:13" x14ac:dyDescent="0.35">
      <c r="A24" s="1" t="s">
        <v>143</v>
      </c>
      <c r="B24" s="1"/>
      <c r="C24" s="15">
        <f>IF(C$22&lt;&gt;"",SUM(C25:C27),"")</f>
        <v>21.1</v>
      </c>
      <c r="D24" s="15">
        <f>IF(D$22&lt;&gt;"",C57,"")</f>
        <v>33.678102320000029</v>
      </c>
      <c r="E24" s="15">
        <f t="shared" ref="E24:L24" si="1">IF(E$22&lt;&gt;"",D57,"")</f>
        <v>45.545975380316023</v>
      </c>
      <c r="F24" s="15">
        <f t="shared" si="1"/>
        <v>56.696708477344025</v>
      </c>
      <c r="G24" s="15" t="str">
        <f t="shared" si="1"/>
        <v/>
      </c>
      <c r="H24" s="15" t="str">
        <f t="shared" si="1"/>
        <v/>
      </c>
      <c r="I24" s="15" t="str">
        <f t="shared" si="1"/>
        <v/>
      </c>
      <c r="J24" s="15" t="str">
        <f t="shared" si="1"/>
        <v/>
      </c>
      <c r="K24" s="15" t="str">
        <f t="shared" si="1"/>
        <v/>
      </c>
      <c r="L24" s="15" t="str">
        <f t="shared" si="1"/>
        <v/>
      </c>
    </row>
    <row r="25" spans="1:13" x14ac:dyDescent="0.35">
      <c r="A25" t="s">
        <v>135</v>
      </c>
      <c r="C25" s="15">
        <f>IF(C$22&lt;&gt;"",$B$19,"")</f>
        <v>11</v>
      </c>
      <c r="D25" s="15">
        <f>IF(D22&lt;&gt;"",C54,"")</f>
        <v>15.617257133649302</v>
      </c>
      <c r="E25" s="15">
        <f t="shared" ref="E25:L25" si="2">IF(E22&lt;&gt;"",D54,"")</f>
        <v>19.749521349309944</v>
      </c>
      <c r="F25" s="15">
        <f t="shared" si="2"/>
        <v>23.384370742939733</v>
      </c>
      <c r="G25" s="15" t="str">
        <f t="shared" si="2"/>
        <v/>
      </c>
      <c r="H25" s="15" t="str">
        <f t="shared" si="2"/>
        <v/>
      </c>
      <c r="I25" s="15" t="str">
        <f t="shared" si="2"/>
        <v/>
      </c>
      <c r="J25" s="15" t="str">
        <f t="shared" si="2"/>
        <v/>
      </c>
      <c r="K25" s="15" t="str">
        <f t="shared" si="2"/>
        <v/>
      </c>
      <c r="L25" s="15" t="str">
        <f t="shared" si="2"/>
        <v/>
      </c>
    </row>
    <row r="26" spans="1:13" x14ac:dyDescent="0.35">
      <c r="A26" t="s">
        <v>136</v>
      </c>
      <c r="C26" s="15">
        <f>IF(C$22&lt;&gt;"",$C$19,"")</f>
        <v>10.1</v>
      </c>
      <c r="D26" s="15">
        <f>IF(D23&lt;&gt;"",C55,"")</f>
        <v>16.560845186350726</v>
      </c>
      <c r="E26" s="15">
        <f t="shared" ref="E26:L27" si="3">IF(E23&lt;&gt;"",D55,"")</f>
        <v>22.85578606790471</v>
      </c>
      <c r="F26" s="15">
        <f t="shared" si="3"/>
        <v>28.97815440147442</v>
      </c>
      <c r="G26" s="15" t="str">
        <f t="shared" si="3"/>
        <v/>
      </c>
      <c r="H26" s="15" t="str">
        <f t="shared" si="3"/>
        <v/>
      </c>
      <c r="I26" s="15" t="str">
        <f t="shared" si="3"/>
        <v/>
      </c>
      <c r="J26" s="15" t="str">
        <f t="shared" si="3"/>
        <v/>
      </c>
      <c r="K26" s="15" t="str">
        <f t="shared" si="3"/>
        <v/>
      </c>
      <c r="L26" s="15" t="str">
        <f t="shared" si="3"/>
        <v/>
      </c>
    </row>
    <row r="27" spans="1:13" x14ac:dyDescent="0.35">
      <c r="A27" t="s">
        <v>32</v>
      </c>
      <c r="C27" s="15">
        <f>IF(C22&lt;&gt;"",0,"")</f>
        <v>0</v>
      </c>
      <c r="D27" s="15">
        <f>IF(D24&lt;&gt;"",C56,"")</f>
        <v>1.5</v>
      </c>
      <c r="E27" s="15">
        <f t="shared" si="3"/>
        <v>2.9406679631013724</v>
      </c>
      <c r="F27" s="15">
        <f t="shared" si="3"/>
        <v>4.3341833329298725</v>
      </c>
      <c r="G27" s="15" t="str">
        <f t="shared" si="3"/>
        <v/>
      </c>
      <c r="H27" s="15" t="str">
        <f t="shared" si="3"/>
        <v/>
      </c>
      <c r="I27" s="15" t="str">
        <f t="shared" si="3"/>
        <v/>
      </c>
      <c r="J27" s="15" t="str">
        <f t="shared" si="3"/>
        <v/>
      </c>
      <c r="K27" s="15" t="str">
        <f t="shared" si="3"/>
        <v/>
      </c>
      <c r="L27" s="15" t="str">
        <f t="shared" si="3"/>
        <v/>
      </c>
    </row>
    <row r="28" spans="1:13" x14ac:dyDescent="0.35">
      <c r="A28" s="1" t="s">
        <v>134</v>
      </c>
      <c r="C28"/>
    </row>
    <row r="29" spans="1:13" x14ac:dyDescent="0.35">
      <c r="A29" t="s">
        <v>132</v>
      </c>
      <c r="B29" s="37">
        <v>0.5</v>
      </c>
      <c r="C29" s="15">
        <f>C25</f>
        <v>11</v>
      </c>
      <c r="D29" s="15">
        <f t="shared" ref="D29:L29" si="4">IF(D22&lt;&gt;"",$B29*D$24,"")</f>
        <v>16.839051160000015</v>
      </c>
      <c r="E29" s="15">
        <f t="shared" si="4"/>
        <v>22.772987690158011</v>
      </c>
      <c r="F29" s="15">
        <f t="shared" si="4"/>
        <v>28.348354238672012</v>
      </c>
      <c r="G29" s="15" t="str">
        <f t="shared" si="4"/>
        <v/>
      </c>
      <c r="H29" s="15" t="str">
        <f t="shared" si="4"/>
        <v/>
      </c>
      <c r="I29" s="15" t="str">
        <f t="shared" si="4"/>
        <v/>
      </c>
      <c r="J29" s="15" t="str">
        <f t="shared" si="4"/>
        <v/>
      </c>
      <c r="K29" s="15" t="str">
        <f t="shared" si="4"/>
        <v/>
      </c>
      <c r="L29" s="15" t="str">
        <f t="shared" si="4"/>
        <v/>
      </c>
    </row>
    <row r="30" spans="1:13" x14ac:dyDescent="0.35">
      <c r="A30" t="s">
        <v>133</v>
      </c>
      <c r="B30" s="37">
        <f>1-B29</f>
        <v>0.5</v>
      </c>
      <c r="C30" s="15">
        <f>C26</f>
        <v>10.1</v>
      </c>
      <c r="D30" s="15">
        <f t="shared" ref="D30:L30" si="5">IF(D23&lt;&gt;"",$B30*D$24,"")</f>
        <v>16.839051160000015</v>
      </c>
      <c r="E30" s="15">
        <f t="shared" si="5"/>
        <v>22.772987690158011</v>
      </c>
      <c r="F30" s="15">
        <f t="shared" si="5"/>
        <v>28.348354238672012</v>
      </c>
      <c r="G30" s="15" t="str">
        <f t="shared" si="5"/>
        <v/>
      </c>
      <c r="H30" s="15" t="str">
        <f t="shared" si="5"/>
        <v/>
      </c>
      <c r="I30" s="15" t="str">
        <f t="shared" si="5"/>
        <v/>
      </c>
      <c r="J30" s="15" t="str">
        <f t="shared" si="5"/>
        <v/>
      </c>
      <c r="K30" s="15" t="str">
        <f t="shared" si="5"/>
        <v/>
      </c>
      <c r="L30" s="15" t="str">
        <f t="shared" si="5"/>
        <v/>
      </c>
    </row>
    <row r="31" spans="1:13" x14ac:dyDescent="0.35">
      <c r="A31" s="1" t="s">
        <v>138</v>
      </c>
      <c r="B31" s="1"/>
      <c r="C31" s="15">
        <f>IF(C$22&lt;&gt;"",VLOOKUP(C25*1000000,'Powell-Elevation-Area'!$B$5:$D$689,3)*$B$18/1000000 + VLOOKUP(C26*1000000,'Mead-Elevation-Area'!$B$5:$D$676,3)*$C$18/1000000,"")</f>
        <v>1.0218976799999733</v>
      </c>
      <c r="D31" s="15">
        <f>IF(D$22&lt;&gt;"",VLOOKUP(D25*1000000,'Powell-Elevation-Area'!$B$5:$D$689,3)*$B$18/1000000 + VLOOKUP(D26*1000000,'Mead-Elevation-Area'!$B$5:$D$676,3)*$C$18/1000000,"")</f>
        <v>1.3321269396840001</v>
      </c>
      <c r="E31" s="15">
        <f>IF(E$22&lt;&gt;"",VLOOKUP(E25*1000000,'Powell-Elevation-Area'!$B$5:$D$689,3)*$B$18/1000000 + VLOOKUP(E26*1000000,'Mead-Elevation-Area'!$B$5:$D$676,3)*$C$18/1000000,"")</f>
        <v>1.6492669029720002</v>
      </c>
      <c r="F31" s="15">
        <f>IF(F$22&lt;&gt;"",VLOOKUP(F25*1000000,'Powell-Elevation-Area'!$B$5:$D$689,3)*$B$18/1000000 + VLOOKUP(F26*1000000,'Mead-Elevation-Area'!$B$5:$D$676,3)*$C$18/1000000,"")</f>
        <v>1.8762957386819998</v>
      </c>
      <c r="G31" s="15" t="str">
        <f>IF(G$22&lt;&gt;"",VLOOKUP(G25*1000000,'Powell-Elevation-Area'!$B$5:$D$689,3)*$B$18/1000000 + VLOOKUP(G26*1000000,'Mead-Elevation-Area'!$B$5:$D$676,3)*$C$18/1000000,"")</f>
        <v/>
      </c>
      <c r="H31" s="15" t="str">
        <f>IF(H$22&lt;&gt;"",VLOOKUP(H25*1000000,'Powell-Elevation-Area'!$B$5:$D$689,3)*$B$18/1000000 + VLOOKUP(H26*1000000,'Mead-Elevation-Area'!$B$5:$D$676,3)*$C$18/1000000,"")</f>
        <v/>
      </c>
      <c r="I31" s="15" t="str">
        <f>IF(I$22&lt;&gt;"",VLOOKUP(I25*1000000,'Powell-Elevation-Area'!$B$5:$D$689,3)*$B$18/1000000 + VLOOKUP(I26*1000000,'Mead-Elevation-Area'!$B$5:$D$676,3)*$C$18/1000000,"")</f>
        <v/>
      </c>
      <c r="J31" s="15" t="str">
        <f>IF(J$22&lt;&gt;"",VLOOKUP(J25*1000000,'Powell-Elevation-Area'!$B$5:$D$689,3)*$B$18/1000000 + VLOOKUP(J26*1000000,'Mead-Elevation-Area'!$B$5:$D$676,3)*$C$18/1000000,"")</f>
        <v/>
      </c>
      <c r="K31" s="15" t="str">
        <f>IF(K$22&lt;&gt;"",VLOOKUP(K25*1000000,'Powell-Elevation-Area'!$B$5:$D$689,3)*$B$18/1000000 + VLOOKUP(K26*1000000,'Mead-Elevation-Area'!$B$5:$D$676,3)*$C$18/1000000,"")</f>
        <v/>
      </c>
      <c r="L31" s="15" t="str">
        <f>IF(L$22&lt;&gt;"",VLOOKUP(L25*1000000,'Powell-Elevation-Area'!$B$5:$D$689,3)*$B$18/1000000 + VLOOKUP(L26*1000000,'Mead-Elevation-Area'!$B$5:$D$676,3)*$C$18/1000000,"")</f>
        <v/>
      </c>
    </row>
    <row r="32" spans="1:13" x14ac:dyDescent="0.35">
      <c r="A32" t="s">
        <v>111</v>
      </c>
      <c r="B32" s="1"/>
      <c r="C32" s="15">
        <f>IF(C$22&lt;&gt;"",C$31*C25/C$24,"")</f>
        <v>0.5327428663506969</v>
      </c>
      <c r="D32" s="15">
        <f t="shared" ref="D32:L32" si="6">IF(D$22&lt;&gt;"",D$31*D25/D$24,"")</f>
        <v>0.61773578433935772</v>
      </c>
      <c r="E32" s="15">
        <f t="shared" si="6"/>
        <v>0.71515060637021322</v>
      </c>
      <c r="F32" s="15">
        <f t="shared" si="6"/>
        <v>0.77387199989344491</v>
      </c>
      <c r="G32" s="15" t="str">
        <f t="shared" si="6"/>
        <v/>
      </c>
      <c r="H32" s="15" t="str">
        <f t="shared" si="6"/>
        <v/>
      </c>
      <c r="I32" s="15" t="str">
        <f t="shared" si="6"/>
        <v/>
      </c>
      <c r="J32" s="15" t="str">
        <f t="shared" si="6"/>
        <v/>
      </c>
      <c r="K32" s="15" t="str">
        <f t="shared" si="6"/>
        <v/>
      </c>
      <c r="L32" s="15" t="str">
        <f t="shared" si="6"/>
        <v/>
      </c>
    </row>
    <row r="33" spans="1:13" x14ac:dyDescent="0.35">
      <c r="A33" t="s">
        <v>112</v>
      </c>
      <c r="B33" s="1"/>
      <c r="C33" s="15">
        <f>IF(C$22&lt;&gt;"",C$31*C26/C$24,"")</f>
        <v>0.48915481364927621</v>
      </c>
      <c r="D33" s="15">
        <f t="shared" ref="D33:L33" si="7">IF(D$22&lt;&gt;"",D$31*D26/D$24,"")</f>
        <v>0.65505911844601461</v>
      </c>
      <c r="E33" s="15">
        <f t="shared" si="7"/>
        <v>0.8276316664302874</v>
      </c>
      <c r="F33" s="15">
        <f t="shared" si="7"/>
        <v>0.95899019676040542</v>
      </c>
      <c r="G33" s="15" t="str">
        <f t="shared" si="7"/>
        <v/>
      </c>
      <c r="H33" s="15" t="str">
        <f t="shared" si="7"/>
        <v/>
      </c>
      <c r="I33" s="15" t="str">
        <f t="shared" si="7"/>
        <v/>
      </c>
      <c r="J33" s="15" t="str">
        <f t="shared" si="7"/>
        <v/>
      </c>
      <c r="K33" s="15" t="str">
        <f t="shared" si="7"/>
        <v/>
      </c>
      <c r="L33" s="15" t="str">
        <f t="shared" si="7"/>
        <v/>
      </c>
    </row>
    <row r="34" spans="1:13" x14ac:dyDescent="0.35">
      <c r="A34" t="s">
        <v>113</v>
      </c>
      <c r="B34" s="1"/>
      <c r="C34" s="15">
        <f>IF(C$22&lt;&gt;"",C$31*C27/C$24,"")</f>
        <v>0</v>
      </c>
      <c r="D34" s="15">
        <f t="shared" ref="D34:L34" si="8">IF(D$22&lt;&gt;"",D$31*D27/D$24,"")</f>
        <v>5.9332036898627677E-2</v>
      </c>
      <c r="E34" s="15">
        <f t="shared" si="8"/>
        <v>0.10648463017149967</v>
      </c>
      <c r="F34" s="15">
        <f t="shared" si="8"/>
        <v>0.14343354202814956</v>
      </c>
      <c r="G34" s="15" t="str">
        <f t="shared" si="8"/>
        <v/>
      </c>
      <c r="H34" s="15" t="str">
        <f t="shared" si="8"/>
        <v/>
      </c>
      <c r="I34" s="15" t="str">
        <f t="shared" si="8"/>
        <v/>
      </c>
      <c r="J34" s="15" t="str">
        <f t="shared" si="8"/>
        <v/>
      </c>
      <c r="K34" s="15" t="str">
        <f t="shared" si="8"/>
        <v/>
      </c>
      <c r="L34" s="15" t="str">
        <f t="shared" si="8"/>
        <v/>
      </c>
    </row>
    <row r="35" spans="1:13" x14ac:dyDescent="0.35">
      <c r="A35" s="1" t="s">
        <v>137</v>
      </c>
      <c r="B35" s="1"/>
      <c r="C35" s="26">
        <f>IF(C22&lt;&gt;"",1.5,"")</f>
        <v>1.5</v>
      </c>
      <c r="D35" s="26">
        <f t="shared" ref="D35:L35" si="9">IF(D22&lt;&gt;"",1.5,"")</f>
        <v>1.5</v>
      </c>
      <c r="E35" s="26">
        <f t="shared" si="9"/>
        <v>1.5</v>
      </c>
      <c r="F35" s="26">
        <f t="shared" si="9"/>
        <v>1.5</v>
      </c>
      <c r="G35" s="26" t="str">
        <f t="shared" si="9"/>
        <v/>
      </c>
      <c r="H35" s="26" t="str">
        <f t="shared" si="9"/>
        <v/>
      </c>
      <c r="I35" s="26" t="str">
        <f t="shared" si="9"/>
        <v/>
      </c>
      <c r="J35" s="26" t="str">
        <f t="shared" si="9"/>
        <v/>
      </c>
      <c r="K35" s="26" t="str">
        <f t="shared" si="9"/>
        <v/>
      </c>
      <c r="L35" s="26" t="str">
        <f t="shared" si="9"/>
        <v/>
      </c>
    </row>
    <row r="36" spans="1:13" x14ac:dyDescent="0.35">
      <c r="A36" s="1" t="s">
        <v>157</v>
      </c>
      <c r="B36" s="1"/>
      <c r="C36" s="15">
        <f>IF(C$22&lt;&gt;"",C22-C35/2,"")</f>
        <v>12.65</v>
      </c>
      <c r="D36" s="15">
        <f t="shared" ref="D36:L36" si="10">IF(D$22&lt;&gt;"",D22-D35/2,"")</f>
        <v>12.25</v>
      </c>
      <c r="E36" s="15">
        <f t="shared" si="10"/>
        <v>11.85</v>
      </c>
      <c r="F36" s="15">
        <f t="shared" si="10"/>
        <v>9.25</v>
      </c>
      <c r="G36" s="15" t="str">
        <f t="shared" si="10"/>
        <v/>
      </c>
      <c r="H36" s="15" t="str">
        <f t="shared" si="10"/>
        <v/>
      </c>
      <c r="I36" s="15" t="str">
        <f t="shared" si="10"/>
        <v/>
      </c>
      <c r="J36" s="15" t="str">
        <f t="shared" si="10"/>
        <v/>
      </c>
      <c r="K36" s="15" t="str">
        <f t="shared" si="10"/>
        <v/>
      </c>
      <c r="L36" s="15" t="str">
        <f t="shared" si="10"/>
        <v/>
      </c>
    </row>
    <row r="37" spans="1:13" x14ac:dyDescent="0.35">
      <c r="A37" t="s">
        <v>0</v>
      </c>
      <c r="B37" s="25"/>
      <c r="C37" s="15">
        <f>IF(C22&lt;&gt;"",MAX(0,C36-C38),"")</f>
        <v>5.15</v>
      </c>
      <c r="D37" s="15">
        <f t="shared" ref="D37:L37" si="11">IF(D22&lt;&gt;"",MAX(0,D36-D38),"")</f>
        <v>4.75</v>
      </c>
      <c r="E37" s="15">
        <f t="shared" si="11"/>
        <v>4.3499999999999996</v>
      </c>
      <c r="F37" s="15">
        <f t="shared" si="11"/>
        <v>1.75</v>
      </c>
      <c r="G37" s="15" t="str">
        <f t="shared" si="11"/>
        <v/>
      </c>
      <c r="H37" s="15" t="str">
        <f t="shared" si="11"/>
        <v/>
      </c>
      <c r="I37" s="15" t="str">
        <f t="shared" si="11"/>
        <v/>
      </c>
      <c r="J37" s="15" t="str">
        <f t="shared" si="11"/>
        <v/>
      </c>
      <c r="K37" s="15" t="str">
        <f t="shared" si="11"/>
        <v/>
      </c>
      <c r="L37" s="15" t="str">
        <f t="shared" si="11"/>
        <v/>
      </c>
    </row>
    <row r="38" spans="1:13" x14ac:dyDescent="0.35">
      <c r="A38" t="s">
        <v>1</v>
      </c>
      <c r="B38" s="46">
        <v>7.5</v>
      </c>
      <c r="C38" s="15">
        <f>IF(C22&lt;&gt;"",IF(C36&gt;$B38,$B38,C36),"")</f>
        <v>7.5</v>
      </c>
      <c r="D38" s="15">
        <f t="shared" ref="D38:L38" si="12">IF(D22&lt;&gt;"",IF(D36&gt;$B38,$B38,D36),"")</f>
        <v>7.5</v>
      </c>
      <c r="E38" s="15">
        <f t="shared" si="12"/>
        <v>7.5</v>
      </c>
      <c r="F38" s="15">
        <f t="shared" si="12"/>
        <v>7.5</v>
      </c>
      <c r="G38" s="15" t="str">
        <f t="shared" si="12"/>
        <v/>
      </c>
      <c r="H38" s="15" t="str">
        <f t="shared" si="12"/>
        <v/>
      </c>
      <c r="I38" s="15" t="str">
        <f t="shared" si="12"/>
        <v/>
      </c>
      <c r="J38" s="15" t="str">
        <f t="shared" si="12"/>
        <v/>
      </c>
      <c r="K38" s="15" t="str">
        <f t="shared" si="12"/>
        <v/>
      </c>
      <c r="L38" s="15" t="str">
        <f t="shared" si="12"/>
        <v/>
      </c>
    </row>
    <row r="39" spans="1:13" x14ac:dyDescent="0.35">
      <c r="A39" s="1" t="s">
        <v>116</v>
      </c>
      <c r="C39"/>
    </row>
    <row r="40" spans="1:13" x14ac:dyDescent="0.35">
      <c r="A40" s="33" t="s">
        <v>114</v>
      </c>
      <c r="B40" s="1"/>
      <c r="C40" s="26"/>
      <c r="D40" s="26"/>
      <c r="E40" s="26"/>
      <c r="F40" s="26"/>
      <c r="G40" s="26"/>
      <c r="H40" s="26"/>
      <c r="I40" s="26"/>
      <c r="J40" s="26"/>
      <c r="K40" s="26"/>
      <c r="L40" s="26"/>
    </row>
    <row r="41" spans="1:13" x14ac:dyDescent="0.35">
      <c r="A41" s="33" t="s">
        <v>115</v>
      </c>
      <c r="B41" s="1"/>
      <c r="C41" s="32"/>
      <c r="D41" s="32"/>
      <c r="E41" s="32"/>
      <c r="F41" s="32"/>
      <c r="G41" s="32"/>
      <c r="H41" s="32"/>
      <c r="I41" s="32"/>
      <c r="J41" s="32"/>
      <c r="K41" s="32"/>
      <c r="L41" s="32"/>
      <c r="M41" s="34">
        <f>SUM(C41:L41)</f>
        <v>0</v>
      </c>
    </row>
    <row r="42" spans="1:13" x14ac:dyDescent="0.35">
      <c r="A42" s="33" t="s">
        <v>117</v>
      </c>
      <c r="B42" s="1"/>
      <c r="C42" s="26"/>
      <c r="D42" s="26"/>
      <c r="E42" s="26"/>
      <c r="F42" s="26"/>
      <c r="G42" s="26"/>
      <c r="H42" s="26"/>
      <c r="I42" s="26"/>
      <c r="J42" s="26"/>
      <c r="K42" s="26"/>
      <c r="L42" s="26"/>
      <c r="M42" s="35"/>
    </row>
    <row r="43" spans="1:13" x14ac:dyDescent="0.35">
      <c r="A43" s="33" t="s">
        <v>118</v>
      </c>
      <c r="B43" s="1"/>
      <c r="C43" s="32"/>
      <c r="D43" s="32"/>
      <c r="E43" s="32"/>
      <c r="F43" s="32"/>
      <c r="G43" s="32"/>
      <c r="H43" s="32"/>
      <c r="I43" s="32"/>
      <c r="J43" s="32"/>
      <c r="K43" s="32"/>
      <c r="L43" s="32"/>
      <c r="M43" s="34">
        <f>SUM(C43:L43)</f>
        <v>0</v>
      </c>
    </row>
    <row r="44" spans="1:13" x14ac:dyDescent="0.35">
      <c r="A44" s="1" t="s">
        <v>141</v>
      </c>
      <c r="B44" s="1"/>
      <c r="C44"/>
    </row>
    <row r="45" spans="1:13" x14ac:dyDescent="0.35">
      <c r="A45" t="s">
        <v>2</v>
      </c>
      <c r="C45" s="15">
        <f>IF(C$22&lt;&gt;"",C25+C37-C32-C40,"")</f>
        <v>15.617257133649302</v>
      </c>
      <c r="D45" s="15">
        <f t="shared" ref="D45:L45" si="13">IF(D$22&lt;&gt;"",D25+D37-D32-D40,"")</f>
        <v>19.749521349309944</v>
      </c>
      <c r="E45" s="15">
        <f t="shared" si="13"/>
        <v>23.384370742939733</v>
      </c>
      <c r="F45" s="15">
        <f t="shared" si="13"/>
        <v>24.360498743046289</v>
      </c>
      <c r="G45" s="15" t="str">
        <f t="shared" si="13"/>
        <v/>
      </c>
      <c r="H45" s="15" t="str">
        <f t="shared" si="13"/>
        <v/>
      </c>
      <c r="I45" s="15" t="str">
        <f t="shared" si="13"/>
        <v/>
      </c>
      <c r="J45" s="15" t="str">
        <f t="shared" si="13"/>
        <v/>
      </c>
      <c r="K45" s="15" t="str">
        <f t="shared" si="13"/>
        <v/>
      </c>
      <c r="L45" s="15" t="str">
        <f t="shared" si="13"/>
        <v/>
      </c>
    </row>
    <row r="46" spans="1:13" x14ac:dyDescent="0.35">
      <c r="A46" t="s">
        <v>3</v>
      </c>
      <c r="C46" s="15">
        <f>IF(C$22&lt;&gt;"",C26+C38-C33+C40+C42+C23-C35/2,"")</f>
        <v>17.160845186350727</v>
      </c>
      <c r="D46" s="15">
        <f t="shared" ref="D46:L46" si="14">IF(D$22&lt;&gt;"",D26+D38-D33+D40+D42+D23-D35/2,"")</f>
        <v>23.455786067904711</v>
      </c>
      <c r="E46" s="15">
        <f t="shared" si="14"/>
        <v>29.578154401474421</v>
      </c>
      <c r="F46" s="15">
        <f t="shared" si="14"/>
        <v>35.569164204714014</v>
      </c>
      <c r="G46" s="15" t="str">
        <f t="shared" si="14"/>
        <v/>
      </c>
      <c r="H46" s="15" t="str">
        <f t="shared" si="14"/>
        <v/>
      </c>
      <c r="I46" s="15" t="str">
        <f t="shared" si="14"/>
        <v/>
      </c>
      <c r="J46" s="15" t="str">
        <f t="shared" si="14"/>
        <v/>
      </c>
      <c r="K46" s="15" t="str">
        <f t="shared" si="14"/>
        <v/>
      </c>
      <c r="L46" s="15" t="str">
        <f t="shared" si="14"/>
        <v/>
      </c>
    </row>
    <row r="47" spans="1:13" x14ac:dyDescent="0.35">
      <c r="A47" t="s">
        <v>4</v>
      </c>
      <c r="C47" s="15">
        <f>IF(C$22&lt;&gt;"",C27+C35-C34-C42,"")</f>
        <v>1.5</v>
      </c>
      <c r="D47" s="15">
        <f t="shared" ref="D47:L47" si="15">IF(D$22&lt;&gt;"",D27+D35-D34-D42,"")</f>
        <v>2.9406679631013724</v>
      </c>
      <c r="E47" s="15">
        <f t="shared" si="15"/>
        <v>4.3341833329298725</v>
      </c>
      <c r="F47" s="15">
        <f t="shared" si="15"/>
        <v>5.6907497909017231</v>
      </c>
      <c r="G47" s="15" t="str">
        <f t="shared" si="15"/>
        <v/>
      </c>
      <c r="H47" s="15" t="str">
        <f t="shared" si="15"/>
        <v/>
      </c>
      <c r="I47" s="15" t="str">
        <f t="shared" si="15"/>
        <v/>
      </c>
      <c r="J47" s="15" t="str">
        <f t="shared" si="15"/>
        <v/>
      </c>
      <c r="K47" s="15" t="str">
        <f t="shared" si="15"/>
        <v/>
      </c>
      <c r="L47" s="15" t="str">
        <f t="shared" si="15"/>
        <v/>
      </c>
    </row>
    <row r="48" spans="1:13" x14ac:dyDescent="0.35">
      <c r="A48" s="1" t="s">
        <v>146</v>
      </c>
      <c r="B48" s="1"/>
      <c r="C48" s="30"/>
      <c r="D48" s="2"/>
      <c r="E48" s="2"/>
      <c r="F48" s="2"/>
      <c r="G48" s="2"/>
      <c r="H48" s="2"/>
      <c r="I48" s="2"/>
      <c r="J48" s="2"/>
      <c r="K48" s="2"/>
      <c r="L48" s="2"/>
    </row>
    <row r="49" spans="1:18" x14ac:dyDescent="0.35">
      <c r="A49" t="s">
        <v>147</v>
      </c>
      <c r="C49" s="26"/>
      <c r="D49" s="26"/>
      <c r="E49" s="26"/>
      <c r="F49" s="26"/>
      <c r="G49" s="26"/>
      <c r="H49" s="26"/>
      <c r="I49" s="26"/>
      <c r="J49" s="26"/>
      <c r="K49" s="26"/>
      <c r="L49" s="26"/>
      <c r="N49" s="1" t="s">
        <v>151</v>
      </c>
    </row>
    <row r="50" spans="1:18" x14ac:dyDescent="0.35">
      <c r="A50" t="s">
        <v>148</v>
      </c>
      <c r="C50" s="45"/>
      <c r="D50" s="45"/>
      <c r="E50" s="45"/>
      <c r="F50" s="45"/>
      <c r="G50" s="45"/>
      <c r="H50" s="45"/>
      <c r="I50" s="45"/>
      <c r="J50" s="45"/>
      <c r="K50" s="45"/>
      <c r="L50" s="45"/>
      <c r="N50" s="39" t="s">
        <v>152</v>
      </c>
      <c r="O50" s="39" t="s">
        <v>153</v>
      </c>
      <c r="P50" s="40" t="s">
        <v>154</v>
      </c>
      <c r="Q50" s="40" t="s">
        <v>155</v>
      </c>
      <c r="R50" s="39" t="s">
        <v>156</v>
      </c>
    </row>
    <row r="51" spans="1:18" x14ac:dyDescent="0.35">
      <c r="A51" t="s">
        <v>150</v>
      </c>
      <c r="C51" s="12">
        <f>IF(C$22&lt;&gt;"",0.6,"")</f>
        <v>0.6</v>
      </c>
      <c r="D51" s="12">
        <f t="shared" ref="D51:L51" si="16">IF(D$22&lt;&gt;"",0.6,"")</f>
        <v>0.6</v>
      </c>
      <c r="E51" s="12">
        <f t="shared" si="16"/>
        <v>0.6</v>
      </c>
      <c r="F51" s="12">
        <f t="shared" si="16"/>
        <v>0.6</v>
      </c>
      <c r="G51" s="12" t="str">
        <f t="shared" si="16"/>
        <v/>
      </c>
      <c r="H51" s="12" t="str">
        <f t="shared" si="16"/>
        <v/>
      </c>
      <c r="I51" s="12" t="str">
        <f t="shared" si="16"/>
        <v/>
      </c>
      <c r="J51" s="12" t="str">
        <f t="shared" si="16"/>
        <v/>
      </c>
      <c r="K51" s="12" t="str">
        <f t="shared" si="16"/>
        <v/>
      </c>
      <c r="L51" s="12" t="str">
        <f t="shared" si="16"/>
        <v/>
      </c>
      <c r="N51" s="41">
        <v>1025</v>
      </c>
      <c r="O51" s="42">
        <f>VLOOKUP(N51,'[1]Mead-Elevation-Area'!$A$5:$B$676,2)/1000000</f>
        <v>5.981122</v>
      </c>
      <c r="P51" s="43">
        <f t="shared" ref="P51:P58" si="17">R51-Q51</f>
        <v>1.2</v>
      </c>
      <c r="Q51" s="44">
        <v>0.125</v>
      </c>
      <c r="R51" s="43">
        <v>1.325</v>
      </c>
    </row>
    <row r="52" spans="1:18" x14ac:dyDescent="0.35">
      <c r="A52" t="s">
        <v>149</v>
      </c>
      <c r="C52" s="26"/>
      <c r="D52" s="26"/>
      <c r="E52" s="26"/>
      <c r="F52" s="26"/>
      <c r="G52" s="26"/>
      <c r="H52" s="26"/>
      <c r="I52" s="26"/>
      <c r="J52" s="26"/>
      <c r="K52" s="26"/>
      <c r="L52" s="26"/>
      <c r="N52" s="41">
        <v>1030</v>
      </c>
      <c r="O52" s="42">
        <f>VLOOKUP(N52,'[1]Mead-Elevation-Area'!$A$5:$B$676,2)/1000000</f>
        <v>6.305377</v>
      </c>
      <c r="P52" s="43">
        <f t="shared" si="17"/>
        <v>1.117</v>
      </c>
      <c r="Q52" s="44">
        <v>7.0000000000000007E-2</v>
      </c>
      <c r="R52" s="43">
        <v>1.1870000000000001</v>
      </c>
    </row>
    <row r="53" spans="1:18" x14ac:dyDescent="0.35">
      <c r="A53" s="1" t="s">
        <v>5</v>
      </c>
      <c r="B53" s="1"/>
      <c r="D53" s="2"/>
      <c r="E53" s="2"/>
      <c r="F53" s="2"/>
      <c r="G53" s="2"/>
      <c r="H53" s="2"/>
      <c r="I53" s="2"/>
      <c r="J53" s="2"/>
      <c r="K53" s="2"/>
      <c r="L53" s="2"/>
      <c r="N53" s="41">
        <v>1035</v>
      </c>
      <c r="O53" s="42">
        <f>VLOOKUP(N53,'[1]Mead-Elevation-Area'!$A$5:$B$676,2)/1000000</f>
        <v>6.6375080000000004</v>
      </c>
      <c r="P53" s="43">
        <f t="shared" si="17"/>
        <v>1.0669999999999999</v>
      </c>
      <c r="Q53" s="44">
        <v>7.0000000000000007E-2</v>
      </c>
      <c r="R53" s="43">
        <v>1.137</v>
      </c>
    </row>
    <row r="54" spans="1:18" x14ac:dyDescent="0.35">
      <c r="A54" t="s">
        <v>2</v>
      </c>
      <c r="C54" s="15">
        <f>IF(C$22&lt;&gt;"",C45-C49,"")</f>
        <v>15.617257133649302</v>
      </c>
      <c r="D54" s="15">
        <f t="shared" ref="D54:L54" si="18">IF(D$22&lt;&gt;"",D45-D49,"")</f>
        <v>19.749521349309944</v>
      </c>
      <c r="E54" s="15">
        <f t="shared" si="18"/>
        <v>23.384370742939733</v>
      </c>
      <c r="F54" s="15">
        <f t="shared" si="18"/>
        <v>24.360498743046289</v>
      </c>
      <c r="G54" s="15" t="str">
        <f t="shared" si="18"/>
        <v/>
      </c>
      <c r="H54" s="15" t="str">
        <f t="shared" si="18"/>
        <v/>
      </c>
      <c r="I54" s="15" t="str">
        <f t="shared" si="18"/>
        <v/>
      </c>
      <c r="J54" s="15" t="str">
        <f t="shared" si="18"/>
        <v/>
      </c>
      <c r="K54" s="15" t="str">
        <f t="shared" si="18"/>
        <v/>
      </c>
      <c r="L54" s="15" t="str">
        <f t="shared" si="18"/>
        <v/>
      </c>
      <c r="N54" s="41">
        <v>1040</v>
      </c>
      <c r="O54" s="42">
        <f>VLOOKUP(N54,'[1]Mead-Elevation-Area'!$A$5:$B$676,2)/1000000</f>
        <v>6.977665</v>
      </c>
      <c r="P54" s="43">
        <f t="shared" si="17"/>
        <v>1.0169999999999999</v>
      </c>
      <c r="Q54" s="44">
        <v>7.0000000000000007E-2</v>
      </c>
      <c r="R54" s="43">
        <v>1.087</v>
      </c>
    </row>
    <row r="55" spans="1:18" x14ac:dyDescent="0.35">
      <c r="A55" t="s">
        <v>3</v>
      </c>
      <c r="C55" s="15">
        <f>IF(C$22&lt;&gt;"",C46-C50-C51,"")</f>
        <v>16.560845186350726</v>
      </c>
      <c r="D55" s="15">
        <f t="shared" ref="D55:L55" si="19">IF(D$22&lt;&gt;"",D46-D50-D51,"")</f>
        <v>22.85578606790471</v>
      </c>
      <c r="E55" s="15">
        <f t="shared" si="19"/>
        <v>28.97815440147442</v>
      </c>
      <c r="F55" s="15">
        <f t="shared" si="19"/>
        <v>34.969164204714012</v>
      </c>
      <c r="G55" s="15" t="str">
        <f t="shared" si="19"/>
        <v/>
      </c>
      <c r="H55" s="15" t="str">
        <f t="shared" si="19"/>
        <v/>
      </c>
      <c r="I55" s="15" t="str">
        <f t="shared" si="19"/>
        <v/>
      </c>
      <c r="J55" s="15" t="str">
        <f t="shared" si="19"/>
        <v/>
      </c>
      <c r="K55" s="15" t="str">
        <f t="shared" si="19"/>
        <v/>
      </c>
      <c r="L55" s="15" t="str">
        <f t="shared" si="19"/>
        <v/>
      </c>
      <c r="N55" s="41">
        <v>1045</v>
      </c>
      <c r="O55" s="42">
        <f>VLOOKUP(N55,'[1]Mead-Elevation-Area'!$A$5:$B$676,2)/1000000</f>
        <v>7.3260519999999998</v>
      </c>
      <c r="P55" s="43">
        <f t="shared" si="17"/>
        <v>0.96699999999999986</v>
      </c>
      <c r="Q55" s="44">
        <v>7.0000000000000007E-2</v>
      </c>
      <c r="R55" s="43">
        <v>1.0369999999999999</v>
      </c>
    </row>
    <row r="56" spans="1:18" x14ac:dyDescent="0.35">
      <c r="A56" t="s">
        <v>4</v>
      </c>
      <c r="C56" s="15">
        <f>IF(C$22&lt;&gt;"",C47-C52,"")</f>
        <v>1.5</v>
      </c>
      <c r="D56" s="15">
        <f t="shared" ref="D56:L56" si="20">IF(D$22&lt;&gt;"",D47-D52,"")</f>
        <v>2.9406679631013724</v>
      </c>
      <c r="E56" s="15">
        <f t="shared" si="20"/>
        <v>4.3341833329298725</v>
      </c>
      <c r="F56" s="15">
        <f t="shared" si="20"/>
        <v>5.6907497909017231</v>
      </c>
      <c r="G56" s="15" t="str">
        <f t="shared" si="20"/>
        <v/>
      </c>
      <c r="H56" s="15" t="str">
        <f t="shared" si="20"/>
        <v/>
      </c>
      <c r="I56" s="15" t="str">
        <f t="shared" si="20"/>
        <v/>
      </c>
      <c r="J56" s="15" t="str">
        <f t="shared" si="20"/>
        <v/>
      </c>
      <c r="K56" s="15" t="str">
        <f t="shared" si="20"/>
        <v/>
      </c>
      <c r="L56" s="15" t="str">
        <f t="shared" si="20"/>
        <v/>
      </c>
      <c r="N56" s="41">
        <v>1050</v>
      </c>
      <c r="O56" s="42">
        <f>VLOOKUP(N56,'[1]Mead-Elevation-Area'!$A$5:$B$676,2)/1000000</f>
        <v>7.6828779999999997</v>
      </c>
      <c r="P56" s="43">
        <f t="shared" si="17"/>
        <v>0.71700000000000008</v>
      </c>
      <c r="Q56" s="44">
        <v>7.0000000000000007E-2</v>
      </c>
      <c r="R56" s="43">
        <v>0.78700000000000003</v>
      </c>
    </row>
    <row r="57" spans="1:18" x14ac:dyDescent="0.35">
      <c r="A57" s="1" t="s">
        <v>142</v>
      </c>
      <c r="B57" s="1"/>
      <c r="C57" s="15">
        <f>IF(C$22&lt;&gt;"",SUM(C54:C56),"")</f>
        <v>33.678102320000029</v>
      </c>
      <c r="D57" s="15">
        <f t="shared" ref="D57:L57" si="21">IF(D$22&lt;&gt;"",SUM(D54:D56),"")</f>
        <v>45.545975380316023</v>
      </c>
      <c r="E57" s="15">
        <f t="shared" si="21"/>
        <v>56.696708477344025</v>
      </c>
      <c r="F57" s="15">
        <f t="shared" si="21"/>
        <v>65.020412738662017</v>
      </c>
      <c r="G57" s="15" t="str">
        <f t="shared" si="21"/>
        <v/>
      </c>
      <c r="H57" s="15" t="str">
        <f t="shared" si="21"/>
        <v/>
      </c>
      <c r="I57" s="15" t="str">
        <f t="shared" si="21"/>
        <v/>
      </c>
      <c r="J57" s="15" t="str">
        <f t="shared" si="21"/>
        <v/>
      </c>
      <c r="K57" s="15" t="str">
        <f t="shared" si="21"/>
        <v/>
      </c>
      <c r="L57" s="15" t="str">
        <f t="shared" si="21"/>
        <v/>
      </c>
      <c r="N57" s="41">
        <v>1075</v>
      </c>
      <c r="O57" s="42">
        <f>VLOOKUP(N57,'[1]Mead-Elevation-Area'!$A$5:$B$676,2)/1000000</f>
        <v>9.6009879999900001</v>
      </c>
      <c r="P57" s="43">
        <f t="shared" si="17"/>
        <v>0.63300000000000001</v>
      </c>
      <c r="Q57" s="44">
        <v>0.05</v>
      </c>
      <c r="R57" s="43">
        <v>0.68300000000000005</v>
      </c>
    </row>
    <row r="58" spans="1:18" x14ac:dyDescent="0.35">
      <c r="N58" s="41">
        <v>1090</v>
      </c>
      <c r="O58" s="42">
        <f>VLOOKUP(N58,'[1]Mead-Elevation-Area'!$A$5:$B$676,2)/1000000</f>
        <v>10.857008</v>
      </c>
      <c r="P58" s="43">
        <f t="shared" si="17"/>
        <v>0.3</v>
      </c>
      <c r="Q58" s="40"/>
      <c r="R58" s="43">
        <v>0.3</v>
      </c>
    </row>
    <row r="59" spans="1:18" x14ac:dyDescent="0.35">
      <c r="A59" s="1" t="s">
        <v>144</v>
      </c>
      <c r="C59" s="12">
        <f>IF(C$22&lt;&gt;"",0.2,"")</f>
        <v>0.2</v>
      </c>
      <c r="D59" s="12">
        <f t="shared" ref="D59:L59" si="22">IF(D$22&lt;&gt;"",0.2,"")</f>
        <v>0.2</v>
      </c>
      <c r="E59" s="12">
        <f t="shared" si="22"/>
        <v>0.2</v>
      </c>
      <c r="F59" s="12">
        <f t="shared" si="22"/>
        <v>0.2</v>
      </c>
      <c r="G59" s="12" t="str">
        <f t="shared" si="22"/>
        <v/>
      </c>
      <c r="H59" s="12" t="str">
        <f t="shared" si="22"/>
        <v/>
      </c>
      <c r="I59" s="12" t="str">
        <f t="shared" si="22"/>
        <v/>
      </c>
      <c r="J59" s="12" t="str">
        <f t="shared" si="22"/>
        <v/>
      </c>
      <c r="K59" s="12" t="str">
        <f t="shared" si="22"/>
        <v/>
      </c>
      <c r="L59" s="12" t="str">
        <f t="shared" si="22"/>
        <v/>
      </c>
    </row>
    <row r="60" spans="1:18" x14ac:dyDescent="0.35">
      <c r="A60" t="s">
        <v>145</v>
      </c>
      <c r="C60" s="15">
        <f>IF(C$22&lt;&gt;"",C50+C59,"")</f>
        <v>0.2</v>
      </c>
      <c r="D60" s="15">
        <f t="shared" ref="D60:L60" si="23">IF(D$22&lt;&gt;"",D50+D59,"")</f>
        <v>0.2</v>
      </c>
      <c r="E60" s="15">
        <f t="shared" si="23"/>
        <v>0.2</v>
      </c>
      <c r="F60" s="15">
        <f t="shared" si="23"/>
        <v>0.2</v>
      </c>
      <c r="G60" s="15" t="str">
        <f t="shared" si="23"/>
        <v/>
      </c>
      <c r="H60" s="15" t="str">
        <f t="shared" si="23"/>
        <v/>
      </c>
      <c r="I60" s="15" t="str">
        <f t="shared" si="23"/>
        <v/>
      </c>
      <c r="J60" s="15" t="str">
        <f t="shared" si="23"/>
        <v/>
      </c>
      <c r="K60" s="15" t="str">
        <f t="shared" si="23"/>
        <v/>
      </c>
      <c r="L60" s="15" t="str">
        <f t="shared" si="23"/>
        <v/>
      </c>
    </row>
    <row r="62" spans="1:18" x14ac:dyDescent="0.35">
      <c r="D62" s="19"/>
    </row>
  </sheetData>
  <mergeCells count="4">
    <mergeCell ref="C5:H5"/>
    <mergeCell ref="C6:H6"/>
    <mergeCell ref="C7:H7"/>
    <mergeCell ref="C8:H8"/>
  </mergeCells>
  <conditionalFormatting sqref="C49:L49 D52:L52">
    <cfRule type="cellIs" dxfId="1" priority="1" operator="greaterThan">
      <formula>$C$45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616F-FCF2-4465-9405-C17989B2BC95}">
  <dimension ref="A1:R62"/>
  <sheetViews>
    <sheetView topLeftCell="B18" zoomScale="150" zoomScaleNormal="150" workbookViewId="0">
      <selection activeCell="F42" sqref="F42"/>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127</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36"/>
      <c r="C5" s="58"/>
      <c r="D5" s="58"/>
      <c r="E5" s="58"/>
      <c r="F5" s="58"/>
      <c r="G5" s="58"/>
      <c r="H5" s="58"/>
    </row>
    <row r="6" spans="1:11" x14ac:dyDescent="0.35">
      <c r="A6" s="17" t="s">
        <v>41</v>
      </c>
      <c r="B6" s="36"/>
      <c r="C6" s="58"/>
      <c r="D6" s="58"/>
      <c r="E6" s="58"/>
      <c r="F6" s="58"/>
      <c r="G6" s="58"/>
      <c r="H6" s="58"/>
    </row>
    <row r="7" spans="1:11" x14ac:dyDescent="0.35">
      <c r="A7" s="17" t="s">
        <v>42</v>
      </c>
      <c r="B7" s="36"/>
      <c r="C7" s="58"/>
      <c r="D7" s="58"/>
      <c r="E7" s="58"/>
      <c r="F7" s="58"/>
      <c r="G7" s="58"/>
      <c r="H7" s="58"/>
    </row>
    <row r="8" spans="1:11" x14ac:dyDescent="0.35">
      <c r="A8" s="17" t="s">
        <v>43</v>
      </c>
      <c r="B8" s="36"/>
      <c r="C8" s="58"/>
      <c r="D8" s="58"/>
      <c r="E8" s="58"/>
      <c r="F8" s="58"/>
      <c r="G8" s="58"/>
      <c r="H8" s="58"/>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129</v>
      </c>
      <c r="C17" s="14" t="s">
        <v>130</v>
      </c>
    </row>
    <row r="18" spans="1:13" x14ac:dyDescent="0.35">
      <c r="A18" t="s">
        <v>128</v>
      </c>
      <c r="B18" s="12">
        <v>5.73</v>
      </c>
      <c r="C18" s="12">
        <v>6</v>
      </c>
      <c r="D18" s="24" t="s">
        <v>131</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119</v>
      </c>
    </row>
    <row r="22" spans="1:13" x14ac:dyDescent="0.35">
      <c r="A22" s="1" t="s">
        <v>46</v>
      </c>
      <c r="B22" s="1"/>
      <c r="C22" s="12">
        <v>12.4</v>
      </c>
      <c r="D22" s="12">
        <v>12.4</v>
      </c>
      <c r="E22" s="12">
        <v>12.4</v>
      </c>
      <c r="F22" s="12">
        <v>12.4</v>
      </c>
      <c r="G22" s="12">
        <v>12.4</v>
      </c>
      <c r="H22" s="12">
        <v>12.4</v>
      </c>
      <c r="I22" s="12">
        <v>12.4</v>
      </c>
      <c r="J22" s="12">
        <v>12.4</v>
      </c>
      <c r="K22" s="12">
        <v>12.4</v>
      </c>
      <c r="L22" s="12">
        <v>12.4</v>
      </c>
    </row>
    <row r="23" spans="1:13" x14ac:dyDescent="0.35">
      <c r="A23" s="1" t="s">
        <v>140</v>
      </c>
      <c r="B23" s="1"/>
      <c r="C23" s="12">
        <f>IF(C$22&lt;&gt;"",0.8,"")</f>
        <v>0.8</v>
      </c>
      <c r="D23" s="12">
        <f t="shared" ref="D23:L23" si="0">IF(D$22&lt;&gt;"",0.8,"")</f>
        <v>0.8</v>
      </c>
      <c r="E23" s="12">
        <f t="shared" si="0"/>
        <v>0.8</v>
      </c>
      <c r="F23" s="12">
        <f t="shared" si="0"/>
        <v>0.8</v>
      </c>
      <c r="G23" s="12">
        <f t="shared" si="0"/>
        <v>0.8</v>
      </c>
      <c r="H23" s="12">
        <f t="shared" si="0"/>
        <v>0.8</v>
      </c>
      <c r="I23" s="12">
        <f t="shared" si="0"/>
        <v>0.8</v>
      </c>
      <c r="J23" s="12">
        <f t="shared" si="0"/>
        <v>0.8</v>
      </c>
      <c r="K23" s="12">
        <f t="shared" si="0"/>
        <v>0.8</v>
      </c>
      <c r="L23" s="12">
        <f t="shared" si="0"/>
        <v>0.8</v>
      </c>
    </row>
    <row r="24" spans="1:13" x14ac:dyDescent="0.35">
      <c r="A24" s="1" t="s">
        <v>143</v>
      </c>
      <c r="B24" s="1"/>
      <c r="C24" s="15">
        <f>IF(C$22&lt;&gt;"",SUM(C25:C27),"")</f>
        <v>21.1</v>
      </c>
      <c r="D24" s="15">
        <f>IF(D$22&lt;&gt;"",C57,"")</f>
        <v>20.311102320000032</v>
      </c>
      <c r="E24" s="15">
        <f t="shared" ref="E24:L24" si="1">IF(E$22&lt;&gt;"",D57,"")</f>
        <v>19.543416560000004</v>
      </c>
      <c r="F24" s="15">
        <f t="shared" si="1"/>
        <v>18.881075920000583</v>
      </c>
      <c r="G24" s="15">
        <f t="shared" si="1"/>
        <v>18.239783049001161</v>
      </c>
      <c r="H24" s="15">
        <f t="shared" si="1"/>
        <v>17.617192334000563</v>
      </c>
      <c r="I24" s="15">
        <f t="shared" si="1"/>
        <v>17.013303775001734</v>
      </c>
      <c r="J24" s="15">
        <f t="shared" si="1"/>
        <v>16.430590891502305</v>
      </c>
      <c r="K24" s="15">
        <f t="shared" si="1"/>
        <v>15.866580164001135</v>
      </c>
      <c r="L24" s="15">
        <f t="shared" si="1"/>
        <v>15.570754118901737</v>
      </c>
    </row>
    <row r="25" spans="1:13" x14ac:dyDescent="0.35">
      <c r="A25" t="s">
        <v>135</v>
      </c>
      <c r="C25" s="15">
        <f>IF(C$22&lt;&gt;"",$B$19,"")</f>
        <v>11</v>
      </c>
      <c r="D25" s="15">
        <f>IF(D22&lt;&gt;"",C54,"")</f>
        <v>10.617257133649304</v>
      </c>
      <c r="E25" s="15">
        <f t="shared" ref="E25:L25" si="2">IF(E22&lt;&gt;"",D54,"")</f>
        <v>10.244166960771796</v>
      </c>
      <c r="F25" s="15">
        <f t="shared" si="2"/>
        <v>9.8808212519075109</v>
      </c>
      <c r="G25" s="15">
        <f t="shared" si="2"/>
        <v>9.529328614229355</v>
      </c>
      <c r="H25" s="15">
        <f t="shared" si="2"/>
        <v>9.1884418168334978</v>
      </c>
      <c r="I25" s="15">
        <f t="shared" si="2"/>
        <v>8.8581421877139412</v>
      </c>
      <c r="J25" s="15">
        <f t="shared" si="2"/>
        <v>8.5396979187139177</v>
      </c>
      <c r="K25" s="15">
        <f t="shared" si="2"/>
        <v>8.2317980461111926</v>
      </c>
      <c r="L25" s="15">
        <f t="shared" si="2"/>
        <v>7.934152133837177</v>
      </c>
    </row>
    <row r="26" spans="1:13" x14ac:dyDescent="0.35">
      <c r="A26" t="s">
        <v>136</v>
      </c>
      <c r="C26" s="15">
        <f>IF(C$22&lt;&gt;"",$C$19,"")</f>
        <v>10.1</v>
      </c>
      <c r="D26" s="15">
        <f>IF(D23&lt;&gt;"",C55,"")</f>
        <v>9.6938451863507265</v>
      </c>
      <c r="E26" s="15">
        <f t="shared" ref="E26:L27" si="3">IF(E23&lt;&gt;"",D55,"")</f>
        <v>9.2992495992282098</v>
      </c>
      <c r="F26" s="15">
        <f t="shared" si="3"/>
        <v>9.0002546680930742</v>
      </c>
      <c r="G26" s="15">
        <f t="shared" si="3"/>
        <v>8.7104544347718047</v>
      </c>
      <c r="H26" s="15">
        <f t="shared" si="3"/>
        <v>8.4287505171670638</v>
      </c>
      <c r="I26" s="15">
        <f t="shared" si="3"/>
        <v>8.1551615872877932</v>
      </c>
      <c r="J26" s="15">
        <f t="shared" si="3"/>
        <v>7.8908929727883894</v>
      </c>
      <c r="K26" s="15">
        <f t="shared" si="3"/>
        <v>7.6347821178899427</v>
      </c>
      <c r="L26" s="15">
        <f t="shared" si="3"/>
        <v>7.6366019850645603</v>
      </c>
    </row>
    <row r="27" spans="1:13" x14ac:dyDescent="0.35">
      <c r="A27" t="s">
        <v>32</v>
      </c>
      <c r="C27" s="15">
        <f>IF(C22&lt;&gt;"",0,"")</f>
        <v>0</v>
      </c>
      <c r="D27" s="15">
        <f>IF(D24&lt;&gt;"",C56,"")</f>
        <v>0</v>
      </c>
      <c r="E27" s="15">
        <f t="shared" si="3"/>
        <v>0</v>
      </c>
      <c r="F27" s="15">
        <f t="shared" si="3"/>
        <v>0</v>
      </c>
      <c r="G27" s="15">
        <f t="shared" si="3"/>
        <v>0</v>
      </c>
      <c r="H27" s="15">
        <f t="shared" si="3"/>
        <v>0</v>
      </c>
      <c r="I27" s="15">
        <f t="shared" si="3"/>
        <v>0</v>
      </c>
      <c r="J27" s="15">
        <f t="shared" si="3"/>
        <v>0</v>
      </c>
      <c r="K27" s="15">
        <f t="shared" si="3"/>
        <v>0</v>
      </c>
      <c r="L27" s="15">
        <f t="shared" si="3"/>
        <v>0</v>
      </c>
    </row>
    <row r="28" spans="1:13" x14ac:dyDescent="0.35">
      <c r="A28" s="1" t="s">
        <v>134</v>
      </c>
      <c r="C28"/>
    </row>
    <row r="29" spans="1:13" x14ac:dyDescent="0.35">
      <c r="A29" t="s">
        <v>132</v>
      </c>
      <c r="B29" s="37">
        <v>0.55000000000000004</v>
      </c>
      <c r="C29" s="15">
        <f>C25</f>
        <v>11</v>
      </c>
      <c r="D29" s="15">
        <f t="shared" ref="D29:L30" si="4">IF(D22&lt;&gt;"",$B29*D$24,"")</f>
        <v>11.171106276000019</v>
      </c>
      <c r="E29" s="15">
        <f t="shared" si="4"/>
        <v>10.748879108000002</v>
      </c>
      <c r="F29" s="15">
        <f t="shared" si="4"/>
        <v>10.384591756000322</v>
      </c>
      <c r="G29" s="15">
        <f t="shared" si="4"/>
        <v>10.031880676950639</v>
      </c>
      <c r="H29" s="15">
        <f t="shared" si="4"/>
        <v>9.6894557837003106</v>
      </c>
      <c r="I29" s="15">
        <f t="shared" si="4"/>
        <v>9.3573170762509541</v>
      </c>
      <c r="J29" s="15">
        <f t="shared" si="4"/>
        <v>9.0368249903262683</v>
      </c>
      <c r="K29" s="15">
        <f t="shared" si="4"/>
        <v>8.7266190902006251</v>
      </c>
      <c r="L29" s="15">
        <f t="shared" si="4"/>
        <v>8.5639147653959569</v>
      </c>
    </row>
    <row r="30" spans="1:13" x14ac:dyDescent="0.35">
      <c r="A30" t="s">
        <v>133</v>
      </c>
      <c r="B30" s="37">
        <f>1-B29</f>
        <v>0.44999999999999996</v>
      </c>
      <c r="C30" s="15">
        <f>C26</f>
        <v>10.1</v>
      </c>
      <c r="D30" s="15">
        <f t="shared" si="4"/>
        <v>9.1399960440000125</v>
      </c>
      <c r="E30" s="15">
        <f t="shared" si="4"/>
        <v>8.7945374520000019</v>
      </c>
      <c r="F30" s="15">
        <f t="shared" si="4"/>
        <v>8.4964841640002611</v>
      </c>
      <c r="G30" s="15">
        <f t="shared" si="4"/>
        <v>8.2079023720505226</v>
      </c>
      <c r="H30" s="15">
        <f t="shared" si="4"/>
        <v>7.9277365503002528</v>
      </c>
      <c r="I30" s="15">
        <f t="shared" si="4"/>
        <v>7.6559866987507794</v>
      </c>
      <c r="J30" s="15">
        <f t="shared" si="4"/>
        <v>7.393765901176037</v>
      </c>
      <c r="K30" s="15">
        <f t="shared" si="4"/>
        <v>7.1399610738005101</v>
      </c>
      <c r="L30" s="15">
        <f t="shared" si="4"/>
        <v>7.0068393535057814</v>
      </c>
    </row>
    <row r="31" spans="1:13" x14ac:dyDescent="0.35">
      <c r="A31" s="1" t="s">
        <v>138</v>
      </c>
      <c r="B31" s="1"/>
      <c r="C31" s="15">
        <f>IF(C$22&lt;&gt;"",VLOOKUP(C25*1000000,'Powell-Elevation-Area'!$B$5:$D$689,3)*$B$18/1000000 + VLOOKUP(C26*1000000,'Mead-Elevation-Area'!$B$5:$D$676,3)*$C$18/1000000,"")</f>
        <v>1.0218976799999733</v>
      </c>
      <c r="D31" s="15">
        <f>IF(D$22&lt;&gt;"",VLOOKUP(D25*1000000,'Powell-Elevation-Area'!$B$5:$D$689,3)*$B$18/1000000 + VLOOKUP(D26*1000000,'Mead-Elevation-Area'!$B$5:$D$676,3)*$C$18/1000000,"")</f>
        <v>1.000685760000027</v>
      </c>
      <c r="E31" s="15">
        <f>IF(E$22&lt;&gt;"",VLOOKUP(E25*1000000,'Powell-Elevation-Area'!$B$5:$D$689,3)*$B$18/1000000 + VLOOKUP(E26*1000000,'Mead-Elevation-Area'!$B$5:$D$676,3)*$C$18/1000000,"")</f>
        <v>0.979340639999427</v>
      </c>
      <c r="F31" s="15">
        <f>IF(F$22&lt;&gt;"",VLOOKUP(F25*1000000,'Powell-Elevation-Area'!$B$5:$D$689,3)*$B$18/1000000 + VLOOKUP(F26*1000000,'Mead-Elevation-Area'!$B$5:$D$676,3)*$C$18/1000000,"")</f>
        <v>0.95829287099942695</v>
      </c>
      <c r="G31" s="15">
        <f>IF(G$22&lt;&gt;"",VLOOKUP(G25*1000000,'Powell-Elevation-Area'!$B$5:$D$689,3)*$B$18/1000000 + VLOOKUP(G26*1000000,'Mead-Elevation-Area'!$B$5:$D$676,3)*$C$18/1000000,"")</f>
        <v>0.93959071500059999</v>
      </c>
      <c r="H31" s="15">
        <f>IF(H$22&lt;&gt;"",VLOOKUP(H25*1000000,'Powell-Elevation-Area'!$B$5:$D$689,3)*$B$18/1000000 + VLOOKUP(H26*1000000,'Mead-Elevation-Area'!$B$5:$D$676,3)*$C$18/1000000,"")</f>
        <v>0.92088855899882704</v>
      </c>
      <c r="I31" s="15">
        <f>IF(I$22&lt;&gt;"",VLOOKUP(I25*1000000,'Powell-Elevation-Area'!$B$5:$D$689,3)*$B$18/1000000 + VLOOKUP(I26*1000000,'Mead-Elevation-Area'!$B$5:$D$676,3)*$C$18/1000000,"")</f>
        <v>0.89971288349942702</v>
      </c>
      <c r="J31" s="15">
        <f>IF(J$22&lt;&gt;"",VLOOKUP(J25*1000000,'Powell-Elevation-Area'!$B$5:$D$689,3)*$B$18/1000000 + VLOOKUP(J26*1000000,'Mead-Elevation-Area'!$B$5:$D$676,3)*$C$18/1000000,"")</f>
        <v>0.88101072750117304</v>
      </c>
      <c r="K31" s="15">
        <f>IF(K$22&lt;&gt;"",VLOOKUP(K25*1000000,'Powell-Elevation-Area'!$B$5:$D$689,3)*$B$18/1000000 + VLOOKUP(K26*1000000,'Mead-Elevation-Area'!$B$5:$D$676,3)*$C$18/1000000,"")</f>
        <v>0.86282604509939997</v>
      </c>
      <c r="L31" s="15">
        <f>IF(L$22&lt;&gt;"",VLOOKUP(L25*1000000,'Powell-Elevation-Area'!$B$5:$D$689,3)*$B$18/1000000 + VLOOKUP(L26*1000000,'Mead-Elevation-Area'!$B$5:$D$676,3)*$C$18/1000000,"")</f>
        <v>0.85276989509997292</v>
      </c>
    </row>
    <row r="32" spans="1:13" x14ac:dyDescent="0.35">
      <c r="A32" t="s">
        <v>111</v>
      </c>
      <c r="B32" s="1"/>
      <c r="C32" s="15">
        <f>IF(C$22&lt;&gt;"",C$31*C25/C$24,"")</f>
        <v>0.5327428663506969</v>
      </c>
      <c r="D32" s="15">
        <f t="shared" ref="D32:L34" si="5">IF(D$22&lt;&gt;"",D$31*D25/D$24,"")</f>
        <v>0.52309017287750759</v>
      </c>
      <c r="E32" s="15">
        <f t="shared" si="5"/>
        <v>0.51334570886428643</v>
      </c>
      <c r="F32" s="15">
        <f t="shared" si="5"/>
        <v>0.50149263767815555</v>
      </c>
      <c r="G32" s="15">
        <f t="shared" si="5"/>
        <v>0.49088679739585783</v>
      </c>
      <c r="H32" s="15">
        <f t="shared" si="5"/>
        <v>0.48029962911955648</v>
      </c>
      <c r="I32" s="15">
        <f t="shared" si="5"/>
        <v>0.46844426900002378</v>
      </c>
      <c r="J32" s="15">
        <f t="shared" si="5"/>
        <v>0.45789987260272513</v>
      </c>
      <c r="K32" s="15">
        <f t="shared" si="5"/>
        <v>0.44764591227401562</v>
      </c>
      <c r="L32" s="15">
        <f t="shared" si="5"/>
        <v>0.43453297324027018</v>
      </c>
    </row>
    <row r="33" spans="1:13" x14ac:dyDescent="0.35">
      <c r="A33" t="s">
        <v>112</v>
      </c>
      <c r="B33" s="1"/>
      <c r="C33" s="15">
        <f>IF(C$22&lt;&gt;"",C$31*C26/C$24,"")</f>
        <v>0.48915481364927621</v>
      </c>
      <c r="D33" s="15">
        <f t="shared" si="5"/>
        <v>0.47759558712251932</v>
      </c>
      <c r="E33" s="15">
        <f t="shared" si="5"/>
        <v>0.46599493113514073</v>
      </c>
      <c r="F33" s="15">
        <f t="shared" si="5"/>
        <v>0.45680023332127151</v>
      </c>
      <c r="G33" s="15">
        <f t="shared" si="5"/>
        <v>0.44870391760474199</v>
      </c>
      <c r="H33" s="15">
        <f t="shared" si="5"/>
        <v>0.44058892987927051</v>
      </c>
      <c r="I33" s="15">
        <f t="shared" si="5"/>
        <v>0.43126861449940324</v>
      </c>
      <c r="J33" s="15">
        <f t="shared" si="5"/>
        <v>0.42311085489844796</v>
      </c>
      <c r="K33" s="15">
        <f t="shared" si="5"/>
        <v>0.41518013282538441</v>
      </c>
      <c r="L33" s="15">
        <f t="shared" si="5"/>
        <v>0.41823692185970274</v>
      </c>
    </row>
    <row r="34" spans="1:13" x14ac:dyDescent="0.35">
      <c r="A34" t="s">
        <v>113</v>
      </c>
      <c r="B34" s="1"/>
      <c r="C34" s="15">
        <f>IF(C$22&lt;&gt;"",C$31*C27/C$24,"")</f>
        <v>0</v>
      </c>
      <c r="D34" s="15">
        <f t="shared" si="5"/>
        <v>0</v>
      </c>
      <c r="E34" s="15">
        <f t="shared" si="5"/>
        <v>0</v>
      </c>
      <c r="F34" s="15">
        <f t="shared" si="5"/>
        <v>0</v>
      </c>
      <c r="G34" s="15">
        <f t="shared" si="5"/>
        <v>0</v>
      </c>
      <c r="H34" s="15">
        <f t="shared" si="5"/>
        <v>0</v>
      </c>
      <c r="I34" s="15">
        <f t="shared" si="5"/>
        <v>0</v>
      </c>
      <c r="J34" s="15">
        <f t="shared" si="5"/>
        <v>0</v>
      </c>
      <c r="K34" s="15">
        <f t="shared" si="5"/>
        <v>0</v>
      </c>
      <c r="L34" s="15">
        <f t="shared" si="5"/>
        <v>0</v>
      </c>
    </row>
    <row r="35" spans="1:13" x14ac:dyDescent="0.35">
      <c r="A35" s="1" t="s">
        <v>137</v>
      </c>
      <c r="B35" s="1"/>
      <c r="C35" s="26">
        <v>1.5</v>
      </c>
      <c r="D35" s="26">
        <f>C35</f>
        <v>1.5</v>
      </c>
      <c r="E35" s="26">
        <f t="shared" ref="E35:L35" si="6">D35</f>
        <v>1.5</v>
      </c>
      <c r="F35" s="26">
        <f t="shared" si="6"/>
        <v>1.5</v>
      </c>
      <c r="G35" s="26">
        <f t="shared" si="6"/>
        <v>1.5</v>
      </c>
      <c r="H35" s="26">
        <f t="shared" si="6"/>
        <v>1.5</v>
      </c>
      <c r="I35" s="26">
        <f t="shared" si="6"/>
        <v>1.5</v>
      </c>
      <c r="J35" s="26">
        <f t="shared" si="6"/>
        <v>1.5</v>
      </c>
      <c r="K35" s="26">
        <f t="shared" si="6"/>
        <v>1.5</v>
      </c>
      <c r="L35" s="26">
        <f t="shared" si="6"/>
        <v>1.5</v>
      </c>
    </row>
    <row r="36" spans="1:13" x14ac:dyDescent="0.35">
      <c r="A36" s="1" t="s">
        <v>157</v>
      </c>
      <c r="B36" s="1"/>
      <c r="C36" s="15">
        <f>IF(C$22&lt;&gt;"",C22-C35/2,"")</f>
        <v>11.65</v>
      </c>
      <c r="D36" s="15">
        <f t="shared" ref="D36:L36" si="7">IF(D$22&lt;&gt;"",D22-D35/2,"")</f>
        <v>11.65</v>
      </c>
      <c r="E36" s="15">
        <f t="shared" si="7"/>
        <v>11.65</v>
      </c>
      <c r="F36" s="15">
        <f t="shared" si="7"/>
        <v>11.65</v>
      </c>
      <c r="G36" s="15">
        <f t="shared" si="7"/>
        <v>11.65</v>
      </c>
      <c r="H36" s="15">
        <f t="shared" si="7"/>
        <v>11.65</v>
      </c>
      <c r="I36" s="15">
        <f t="shared" si="7"/>
        <v>11.65</v>
      </c>
      <c r="J36" s="15">
        <f t="shared" si="7"/>
        <v>11.65</v>
      </c>
      <c r="K36" s="15">
        <f t="shared" si="7"/>
        <v>11.65</v>
      </c>
      <c r="L36" s="15">
        <f t="shared" si="7"/>
        <v>11.65</v>
      </c>
    </row>
    <row r="37" spans="1:13" x14ac:dyDescent="0.35">
      <c r="A37" t="s">
        <v>0</v>
      </c>
      <c r="B37" s="25"/>
      <c r="C37" s="15">
        <f>IF(C21&lt;&gt;"",MAX(0,C36-C38),"")</f>
        <v>4.1500000000000004</v>
      </c>
      <c r="D37" s="15">
        <f t="shared" ref="D37:L37" si="8">IF(D21&lt;&gt;"",MAX(0,D36-D38),"")</f>
        <v>4.1500000000000004</v>
      </c>
      <c r="E37" s="15">
        <f t="shared" si="8"/>
        <v>4.1500000000000004</v>
      </c>
      <c r="F37" s="15">
        <f t="shared" si="8"/>
        <v>4.1500000000000004</v>
      </c>
      <c r="G37" s="15">
        <f t="shared" si="8"/>
        <v>4.1500000000000004</v>
      </c>
      <c r="H37" s="15">
        <f t="shared" si="8"/>
        <v>4.1500000000000004</v>
      </c>
      <c r="I37" s="15">
        <f t="shared" si="8"/>
        <v>4.1500000000000004</v>
      </c>
      <c r="J37" s="15">
        <f t="shared" si="8"/>
        <v>4.1500000000000004</v>
      </c>
      <c r="K37" s="15">
        <f t="shared" si="8"/>
        <v>4.1500000000000004</v>
      </c>
      <c r="L37" s="15">
        <f t="shared" si="8"/>
        <v>4.1500000000000004</v>
      </c>
    </row>
    <row r="38" spans="1:13" x14ac:dyDescent="0.35">
      <c r="A38" t="s">
        <v>1</v>
      </c>
      <c r="B38" s="46">
        <v>7.5</v>
      </c>
      <c r="C38" s="15">
        <f>IF(C22&lt;&gt;"",IF(C36&gt;$B38,$B38,C36),"")</f>
        <v>7.5</v>
      </c>
      <c r="D38" s="15">
        <f t="shared" ref="D38:L38" si="9">IF(D22&lt;&gt;"",IF(D36&gt;$B38,$B38,D36),"")</f>
        <v>7.5</v>
      </c>
      <c r="E38" s="15">
        <f t="shared" si="9"/>
        <v>7.5</v>
      </c>
      <c r="F38" s="15">
        <f t="shared" si="9"/>
        <v>7.5</v>
      </c>
      <c r="G38" s="15">
        <f t="shared" si="9"/>
        <v>7.5</v>
      </c>
      <c r="H38" s="15">
        <f t="shared" si="9"/>
        <v>7.5</v>
      </c>
      <c r="I38" s="15">
        <f t="shared" si="9"/>
        <v>7.5</v>
      </c>
      <c r="J38" s="15">
        <f t="shared" si="9"/>
        <v>7.5</v>
      </c>
      <c r="K38" s="15">
        <f t="shared" si="9"/>
        <v>7.5</v>
      </c>
      <c r="L38" s="15">
        <f t="shared" si="9"/>
        <v>7.5</v>
      </c>
    </row>
    <row r="39" spans="1:13" x14ac:dyDescent="0.35">
      <c r="A39" s="1" t="s">
        <v>116</v>
      </c>
      <c r="C39"/>
    </row>
    <row r="40" spans="1:13" x14ac:dyDescent="0.35">
      <c r="A40" s="33" t="s">
        <v>114</v>
      </c>
      <c r="B40" s="1"/>
      <c r="C40" s="26"/>
      <c r="D40" s="26"/>
      <c r="E40" s="26"/>
      <c r="F40" s="26"/>
      <c r="G40" s="26"/>
      <c r="H40" s="26"/>
      <c r="I40" s="26"/>
      <c r="J40" s="26"/>
      <c r="K40" s="26"/>
      <c r="L40" s="26"/>
    </row>
    <row r="41" spans="1:13" x14ac:dyDescent="0.35">
      <c r="A41" s="33" t="s">
        <v>115</v>
      </c>
      <c r="B41" s="1"/>
      <c r="C41" s="32"/>
      <c r="D41" s="32"/>
      <c r="E41" s="32"/>
      <c r="F41" s="32"/>
      <c r="G41" s="32"/>
      <c r="H41" s="32"/>
      <c r="I41" s="32"/>
      <c r="J41" s="32"/>
      <c r="K41" s="32"/>
      <c r="L41" s="32"/>
      <c r="M41" s="34">
        <f>SUM(C41:L41)</f>
        <v>0</v>
      </c>
    </row>
    <row r="42" spans="1:13" x14ac:dyDescent="0.35">
      <c r="A42" s="33" t="s">
        <v>117</v>
      </c>
      <c r="B42" s="1"/>
      <c r="C42" s="26"/>
      <c r="D42" s="26"/>
      <c r="E42" s="26"/>
      <c r="F42" s="26"/>
      <c r="G42" s="26"/>
      <c r="H42" s="26"/>
      <c r="I42" s="26"/>
      <c r="J42" s="26"/>
      <c r="K42" s="26"/>
      <c r="L42" s="26"/>
      <c r="M42" s="35"/>
    </row>
    <row r="43" spans="1:13" x14ac:dyDescent="0.35">
      <c r="A43" s="33" t="s">
        <v>118</v>
      </c>
      <c r="B43" s="1"/>
      <c r="C43" s="32"/>
      <c r="D43" s="32"/>
      <c r="E43" s="32"/>
      <c r="F43" s="32"/>
      <c r="G43" s="32"/>
      <c r="H43" s="32"/>
      <c r="I43" s="32"/>
      <c r="J43" s="32"/>
      <c r="K43" s="32"/>
      <c r="L43" s="32"/>
      <c r="M43" s="34">
        <f>SUM(C43:L43)</f>
        <v>0</v>
      </c>
    </row>
    <row r="44" spans="1:13" x14ac:dyDescent="0.35">
      <c r="A44" s="1" t="s">
        <v>141</v>
      </c>
      <c r="B44" s="1"/>
      <c r="C44"/>
    </row>
    <row r="45" spans="1:13" x14ac:dyDescent="0.35">
      <c r="A45" t="s">
        <v>2</v>
      </c>
      <c r="C45" s="15">
        <f>IF(C$22&lt;&gt;"",C25+C37-C32-C40,"")</f>
        <v>14.617257133649304</v>
      </c>
      <c r="D45" s="15">
        <f t="shared" ref="D45:L45" si="10">IF(D$22&lt;&gt;"",D25+D37-D32-D40,"")</f>
        <v>14.244166960771796</v>
      </c>
      <c r="E45" s="15">
        <f t="shared" si="10"/>
        <v>13.880821251907511</v>
      </c>
      <c r="F45" s="15">
        <f t="shared" si="10"/>
        <v>13.529328614229355</v>
      </c>
      <c r="G45" s="15">
        <f t="shared" si="10"/>
        <v>13.188441816833498</v>
      </c>
      <c r="H45" s="15">
        <f t="shared" si="10"/>
        <v>12.858142187713941</v>
      </c>
      <c r="I45" s="15">
        <f t="shared" si="10"/>
        <v>12.539697918713918</v>
      </c>
      <c r="J45" s="15">
        <f t="shared" si="10"/>
        <v>12.231798046111193</v>
      </c>
      <c r="K45" s="15">
        <f t="shared" si="10"/>
        <v>11.934152133837177</v>
      </c>
      <c r="L45" s="15">
        <f t="shared" si="10"/>
        <v>11.649619160596908</v>
      </c>
    </row>
    <row r="46" spans="1:13" x14ac:dyDescent="0.35">
      <c r="A46" t="s">
        <v>3</v>
      </c>
      <c r="C46" s="15">
        <f>IF(C$22&lt;&gt;"",C26+C38-C33+C40+C42+C23-C35/2,"")</f>
        <v>17.160845186350727</v>
      </c>
      <c r="D46" s="15">
        <f t="shared" ref="D46:L46" si="11">IF(D$22&lt;&gt;"",D26+D38-D33+D40+D42+D23-D35/2,"")</f>
        <v>16.76624959922821</v>
      </c>
      <c r="E46" s="15">
        <f t="shared" si="11"/>
        <v>16.383254668093073</v>
      </c>
      <c r="F46" s="15">
        <f t="shared" si="11"/>
        <v>16.093454434771804</v>
      </c>
      <c r="G46" s="15">
        <f t="shared" si="11"/>
        <v>15.811750517167063</v>
      </c>
      <c r="H46" s="15">
        <f t="shared" si="11"/>
        <v>15.538161587287792</v>
      </c>
      <c r="I46" s="15">
        <f t="shared" si="11"/>
        <v>15.273892972788389</v>
      </c>
      <c r="J46" s="15">
        <f t="shared" si="11"/>
        <v>15.017782117889942</v>
      </c>
      <c r="K46" s="15">
        <f t="shared" si="11"/>
        <v>14.769601985064559</v>
      </c>
      <c r="L46" s="15">
        <f t="shared" si="11"/>
        <v>14.768365063204858</v>
      </c>
    </row>
    <row r="47" spans="1:13" x14ac:dyDescent="0.35">
      <c r="A47" t="s">
        <v>4</v>
      </c>
      <c r="C47" s="15">
        <f>IF(C$22&lt;&gt;"",C27+C35-C34-C42,"")</f>
        <v>1.5</v>
      </c>
      <c r="D47" s="15">
        <f t="shared" ref="D47:L47" si="12">IF(D$22&lt;&gt;"",D27+D35-D34-D42,"")</f>
        <v>1.5</v>
      </c>
      <c r="E47" s="15">
        <f t="shared" si="12"/>
        <v>1.5</v>
      </c>
      <c r="F47" s="15">
        <f t="shared" si="12"/>
        <v>1.5</v>
      </c>
      <c r="G47" s="15">
        <f t="shared" si="12"/>
        <v>1.5</v>
      </c>
      <c r="H47" s="15">
        <f t="shared" si="12"/>
        <v>1.5</v>
      </c>
      <c r="I47" s="15">
        <f t="shared" si="12"/>
        <v>1.5</v>
      </c>
      <c r="J47" s="15">
        <f t="shared" si="12"/>
        <v>1.5</v>
      </c>
      <c r="K47" s="15">
        <f t="shared" si="12"/>
        <v>1.5</v>
      </c>
      <c r="L47" s="15">
        <f t="shared" si="12"/>
        <v>1.5</v>
      </c>
    </row>
    <row r="48" spans="1:13" x14ac:dyDescent="0.35">
      <c r="A48" s="1" t="s">
        <v>146</v>
      </c>
      <c r="B48" s="1"/>
      <c r="C48" s="30"/>
      <c r="D48" s="2"/>
      <c r="E48" s="2"/>
      <c r="F48" s="2"/>
      <c r="G48" s="2"/>
      <c r="H48" s="2"/>
      <c r="I48" s="2"/>
      <c r="J48" s="2"/>
      <c r="K48" s="2"/>
      <c r="L48" s="2"/>
    </row>
    <row r="49" spans="1:18" x14ac:dyDescent="0.35">
      <c r="A49" t="s">
        <v>147</v>
      </c>
      <c r="C49" s="26">
        <v>4</v>
      </c>
      <c r="D49" s="26">
        <f>C49</f>
        <v>4</v>
      </c>
      <c r="E49" s="26">
        <f>D49</f>
        <v>4</v>
      </c>
      <c r="F49" s="26">
        <f t="shared" ref="F49:L49" si="13">E49</f>
        <v>4</v>
      </c>
      <c r="G49" s="26">
        <f t="shared" si="13"/>
        <v>4</v>
      </c>
      <c r="H49" s="26">
        <f t="shared" si="13"/>
        <v>4</v>
      </c>
      <c r="I49" s="26">
        <f t="shared" si="13"/>
        <v>4</v>
      </c>
      <c r="J49" s="26">
        <f t="shared" si="13"/>
        <v>4</v>
      </c>
      <c r="K49" s="26">
        <f t="shared" si="13"/>
        <v>4</v>
      </c>
      <c r="L49" s="26">
        <f t="shared" si="13"/>
        <v>4</v>
      </c>
      <c r="N49" s="1" t="s">
        <v>151</v>
      </c>
    </row>
    <row r="50" spans="1:18" x14ac:dyDescent="0.35">
      <c r="A50" t="s">
        <v>148</v>
      </c>
      <c r="C50" s="45">
        <f>7.5-IF(C26&lt;$O$51,$P$51,IF(C26&lt;=$O$58,VLOOKUP(C26,$O$51:$P$58,2),0))</f>
        <v>6.867</v>
      </c>
      <c r="D50" s="45">
        <f t="shared" ref="D50:L50" si="14">7.5-IF(D26&lt;$O$51,$P$51,IF(D26&lt;=$O$58,VLOOKUP(D26,$O$51:$P$58,2),0))</f>
        <v>6.867</v>
      </c>
      <c r="E50" s="45">
        <f t="shared" si="14"/>
        <v>6.7829999999999995</v>
      </c>
      <c r="F50" s="45">
        <f t="shared" si="14"/>
        <v>6.7829999999999995</v>
      </c>
      <c r="G50" s="45">
        <f t="shared" si="14"/>
        <v>6.7829999999999995</v>
      </c>
      <c r="H50" s="45">
        <f t="shared" si="14"/>
        <v>6.7829999999999995</v>
      </c>
      <c r="I50" s="45">
        <f t="shared" si="14"/>
        <v>6.7829999999999995</v>
      </c>
      <c r="J50" s="45">
        <f t="shared" si="14"/>
        <v>6.7829999999999995</v>
      </c>
      <c r="K50" s="45">
        <f t="shared" si="14"/>
        <v>6.5330000000000004</v>
      </c>
      <c r="L50" s="45">
        <f t="shared" si="14"/>
        <v>6.5330000000000004</v>
      </c>
      <c r="N50" s="39" t="s">
        <v>152</v>
      </c>
      <c r="O50" s="39" t="s">
        <v>153</v>
      </c>
      <c r="P50" s="40" t="s">
        <v>154</v>
      </c>
      <c r="Q50" s="40" t="s">
        <v>155</v>
      </c>
      <c r="R50" s="39" t="s">
        <v>156</v>
      </c>
    </row>
    <row r="51" spans="1:18" x14ac:dyDescent="0.35">
      <c r="A51" t="s">
        <v>150</v>
      </c>
      <c r="C51" s="12">
        <f>IF(C$22&lt;&gt;"",0.6,"")</f>
        <v>0.6</v>
      </c>
      <c r="D51" s="12">
        <f t="shared" ref="D51:L51" si="15">IF(D$22&lt;&gt;"",0.6,"")</f>
        <v>0.6</v>
      </c>
      <c r="E51" s="12">
        <f t="shared" si="15"/>
        <v>0.6</v>
      </c>
      <c r="F51" s="12">
        <f t="shared" si="15"/>
        <v>0.6</v>
      </c>
      <c r="G51" s="12">
        <f t="shared" si="15"/>
        <v>0.6</v>
      </c>
      <c r="H51" s="12">
        <f t="shared" si="15"/>
        <v>0.6</v>
      </c>
      <c r="I51" s="12">
        <f t="shared" si="15"/>
        <v>0.6</v>
      </c>
      <c r="J51" s="12">
        <f t="shared" si="15"/>
        <v>0.6</v>
      </c>
      <c r="K51" s="12">
        <f t="shared" si="15"/>
        <v>0.6</v>
      </c>
      <c r="L51" s="12">
        <f t="shared" si="15"/>
        <v>0.6</v>
      </c>
      <c r="N51" s="41">
        <v>1025</v>
      </c>
      <c r="O51" s="42">
        <f>VLOOKUP(N51,'[1]Mead-Elevation-Area'!$A$5:$B$676,2)/1000000</f>
        <v>5.981122</v>
      </c>
      <c r="P51" s="43">
        <f t="shared" ref="P51:P58" si="16">R51-Q51</f>
        <v>1.2</v>
      </c>
      <c r="Q51" s="44">
        <v>0.125</v>
      </c>
      <c r="R51" s="43">
        <v>1.325</v>
      </c>
    </row>
    <row r="52" spans="1:18" x14ac:dyDescent="0.35">
      <c r="A52" t="s">
        <v>149</v>
      </c>
      <c r="C52" s="26">
        <v>1.5</v>
      </c>
      <c r="D52" s="26">
        <f>C52</f>
        <v>1.5</v>
      </c>
      <c r="E52" s="26">
        <f>D52</f>
        <v>1.5</v>
      </c>
      <c r="F52" s="26">
        <f t="shared" ref="F52:L52" si="17">E52</f>
        <v>1.5</v>
      </c>
      <c r="G52" s="26">
        <f t="shared" si="17"/>
        <v>1.5</v>
      </c>
      <c r="H52" s="26">
        <f t="shared" si="17"/>
        <v>1.5</v>
      </c>
      <c r="I52" s="26">
        <f t="shared" si="17"/>
        <v>1.5</v>
      </c>
      <c r="J52" s="26">
        <f t="shared" si="17"/>
        <v>1.5</v>
      </c>
      <c r="K52" s="26">
        <f t="shared" si="17"/>
        <v>1.5</v>
      </c>
      <c r="L52" s="26">
        <f t="shared" si="17"/>
        <v>1.5</v>
      </c>
      <c r="N52" s="41">
        <v>1030</v>
      </c>
      <c r="O52" s="42">
        <f>VLOOKUP(N52,'[1]Mead-Elevation-Area'!$A$5:$B$676,2)/1000000</f>
        <v>6.305377</v>
      </c>
      <c r="P52" s="43">
        <f t="shared" si="16"/>
        <v>1.117</v>
      </c>
      <c r="Q52" s="44">
        <v>7.0000000000000007E-2</v>
      </c>
      <c r="R52" s="43">
        <v>1.1870000000000001</v>
      </c>
    </row>
    <row r="53" spans="1:18" x14ac:dyDescent="0.35">
      <c r="A53" s="1" t="s">
        <v>5</v>
      </c>
      <c r="B53" s="1"/>
      <c r="D53" s="2"/>
      <c r="E53" s="2"/>
      <c r="F53" s="2"/>
      <c r="G53" s="2"/>
      <c r="H53" s="2"/>
      <c r="I53" s="2"/>
      <c r="J53" s="2"/>
      <c r="K53" s="2"/>
      <c r="L53" s="2"/>
      <c r="N53" s="41">
        <v>1035</v>
      </c>
      <c r="O53" s="42">
        <f>VLOOKUP(N53,'[1]Mead-Elevation-Area'!$A$5:$B$676,2)/1000000</f>
        <v>6.6375080000000004</v>
      </c>
      <c r="P53" s="43">
        <f t="shared" si="16"/>
        <v>1.0669999999999999</v>
      </c>
      <c r="Q53" s="44">
        <v>7.0000000000000007E-2</v>
      </c>
      <c r="R53" s="43">
        <v>1.137</v>
      </c>
    </row>
    <row r="54" spans="1:18" x14ac:dyDescent="0.35">
      <c r="A54" t="s">
        <v>2</v>
      </c>
      <c r="C54" s="15">
        <f>IF(C$22&lt;&gt;"",C45-C49,"")</f>
        <v>10.617257133649304</v>
      </c>
      <c r="D54" s="15">
        <f t="shared" ref="D54:L54" si="18">IF(D$22&lt;&gt;"",D45-D49,"")</f>
        <v>10.244166960771796</v>
      </c>
      <c r="E54" s="15">
        <f t="shared" si="18"/>
        <v>9.8808212519075109</v>
      </c>
      <c r="F54" s="15">
        <f t="shared" si="18"/>
        <v>9.529328614229355</v>
      </c>
      <c r="G54" s="15">
        <f t="shared" si="18"/>
        <v>9.1884418168334978</v>
      </c>
      <c r="H54" s="15">
        <f t="shared" si="18"/>
        <v>8.8581421877139412</v>
      </c>
      <c r="I54" s="15">
        <f t="shared" si="18"/>
        <v>8.5396979187139177</v>
      </c>
      <c r="J54" s="15">
        <f t="shared" si="18"/>
        <v>8.2317980461111926</v>
      </c>
      <c r="K54" s="15">
        <f t="shared" si="18"/>
        <v>7.934152133837177</v>
      </c>
      <c r="L54" s="15">
        <f t="shared" si="18"/>
        <v>7.6496191605969077</v>
      </c>
      <c r="N54" s="41">
        <v>1040</v>
      </c>
      <c r="O54" s="42">
        <f>VLOOKUP(N54,'[1]Mead-Elevation-Area'!$A$5:$B$676,2)/1000000</f>
        <v>6.977665</v>
      </c>
      <c r="P54" s="43">
        <f t="shared" si="16"/>
        <v>1.0169999999999999</v>
      </c>
      <c r="Q54" s="44">
        <v>7.0000000000000007E-2</v>
      </c>
      <c r="R54" s="43">
        <v>1.087</v>
      </c>
    </row>
    <row r="55" spans="1:18" x14ac:dyDescent="0.35">
      <c r="A55" t="s">
        <v>3</v>
      </c>
      <c r="C55" s="15">
        <f>IF(C$22&lt;&gt;"",C46-C50-C51,"")</f>
        <v>9.6938451863507265</v>
      </c>
      <c r="D55" s="15">
        <f t="shared" ref="D55:L55" si="19">IF(D$22&lt;&gt;"",D46-D50-D51,"")</f>
        <v>9.2992495992282098</v>
      </c>
      <c r="E55" s="15">
        <f t="shared" si="19"/>
        <v>9.0002546680930742</v>
      </c>
      <c r="F55" s="15">
        <f t="shared" si="19"/>
        <v>8.7104544347718047</v>
      </c>
      <c r="G55" s="15">
        <f t="shared" si="19"/>
        <v>8.4287505171670638</v>
      </c>
      <c r="H55" s="15">
        <f t="shared" si="19"/>
        <v>8.1551615872877932</v>
      </c>
      <c r="I55" s="15">
        <f t="shared" si="19"/>
        <v>7.8908929727883894</v>
      </c>
      <c r="J55" s="15">
        <f t="shared" si="19"/>
        <v>7.6347821178899427</v>
      </c>
      <c r="K55" s="15">
        <f t="shared" si="19"/>
        <v>7.6366019850645603</v>
      </c>
      <c r="L55" s="15">
        <f t="shared" si="19"/>
        <v>7.6353650632048566</v>
      </c>
      <c r="N55" s="41">
        <v>1045</v>
      </c>
      <c r="O55" s="42">
        <f>VLOOKUP(N55,'[1]Mead-Elevation-Area'!$A$5:$B$676,2)/1000000</f>
        <v>7.3260519999999998</v>
      </c>
      <c r="P55" s="43">
        <f t="shared" si="16"/>
        <v>0.96699999999999986</v>
      </c>
      <c r="Q55" s="44">
        <v>7.0000000000000007E-2</v>
      </c>
      <c r="R55" s="43">
        <v>1.0369999999999999</v>
      </c>
    </row>
    <row r="56" spans="1:18" x14ac:dyDescent="0.35">
      <c r="A56" t="s">
        <v>4</v>
      </c>
      <c r="C56" s="15">
        <f>IF(C$22&lt;&gt;"",C47-C52,"")</f>
        <v>0</v>
      </c>
      <c r="D56" s="15">
        <f t="shared" ref="D56:L56" si="20">IF(D$22&lt;&gt;"",D47-D52,"")</f>
        <v>0</v>
      </c>
      <c r="E56" s="15">
        <f t="shared" si="20"/>
        <v>0</v>
      </c>
      <c r="F56" s="15">
        <f t="shared" si="20"/>
        <v>0</v>
      </c>
      <c r="G56" s="15">
        <f t="shared" si="20"/>
        <v>0</v>
      </c>
      <c r="H56" s="15">
        <f t="shared" si="20"/>
        <v>0</v>
      </c>
      <c r="I56" s="15">
        <f t="shared" si="20"/>
        <v>0</v>
      </c>
      <c r="J56" s="15">
        <f t="shared" si="20"/>
        <v>0</v>
      </c>
      <c r="K56" s="15">
        <f t="shared" si="20"/>
        <v>0</v>
      </c>
      <c r="L56" s="15">
        <f t="shared" si="20"/>
        <v>0</v>
      </c>
      <c r="N56" s="41">
        <v>1050</v>
      </c>
      <c r="O56" s="42">
        <f>VLOOKUP(N56,'[1]Mead-Elevation-Area'!$A$5:$B$676,2)/1000000</f>
        <v>7.6828779999999997</v>
      </c>
      <c r="P56" s="43">
        <f t="shared" si="16"/>
        <v>0.71700000000000008</v>
      </c>
      <c r="Q56" s="44">
        <v>7.0000000000000007E-2</v>
      </c>
      <c r="R56" s="43">
        <v>0.78700000000000003</v>
      </c>
    </row>
    <row r="57" spans="1:18" x14ac:dyDescent="0.35">
      <c r="A57" s="1" t="s">
        <v>142</v>
      </c>
      <c r="B57" s="1"/>
      <c r="C57" s="15">
        <f>IF(C$22&lt;&gt;"",SUM(C54:C56),"")</f>
        <v>20.311102320000032</v>
      </c>
      <c r="D57" s="15">
        <f t="shared" ref="D57:L57" si="21">IF(D$22&lt;&gt;"",SUM(D54:D56),"")</f>
        <v>19.543416560000004</v>
      </c>
      <c r="E57" s="15">
        <f t="shared" si="21"/>
        <v>18.881075920000583</v>
      </c>
      <c r="F57" s="15">
        <f t="shared" si="21"/>
        <v>18.239783049001161</v>
      </c>
      <c r="G57" s="15">
        <f t="shared" si="21"/>
        <v>17.617192334000563</v>
      </c>
      <c r="H57" s="15">
        <f t="shared" si="21"/>
        <v>17.013303775001734</v>
      </c>
      <c r="I57" s="15">
        <f t="shared" si="21"/>
        <v>16.430590891502305</v>
      </c>
      <c r="J57" s="15">
        <f t="shared" si="21"/>
        <v>15.866580164001135</v>
      </c>
      <c r="K57" s="15">
        <f t="shared" si="21"/>
        <v>15.570754118901737</v>
      </c>
      <c r="L57" s="15">
        <f t="shared" si="21"/>
        <v>15.284984223801764</v>
      </c>
      <c r="N57" s="41">
        <v>1075</v>
      </c>
      <c r="O57" s="42">
        <f>VLOOKUP(N57,'[1]Mead-Elevation-Area'!$A$5:$B$676,2)/1000000</f>
        <v>9.6009879999900001</v>
      </c>
      <c r="P57" s="43">
        <f t="shared" si="16"/>
        <v>0.63300000000000001</v>
      </c>
      <c r="Q57" s="44">
        <v>0.05</v>
      </c>
      <c r="R57" s="43">
        <v>0.68300000000000005</v>
      </c>
    </row>
    <row r="58" spans="1:18" x14ac:dyDescent="0.35">
      <c r="N58" s="41">
        <v>1090</v>
      </c>
      <c r="O58" s="42">
        <f>VLOOKUP(N58,'[1]Mead-Elevation-Area'!$A$5:$B$676,2)/1000000</f>
        <v>10.857008</v>
      </c>
      <c r="P58" s="43">
        <f t="shared" si="16"/>
        <v>0.3</v>
      </c>
      <c r="Q58" s="40"/>
      <c r="R58" s="43">
        <v>0.3</v>
      </c>
    </row>
    <row r="59" spans="1:18" x14ac:dyDescent="0.35">
      <c r="A59" s="1" t="s">
        <v>144</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145</v>
      </c>
      <c r="C60" s="15">
        <f>IF(C$22&lt;&gt;"",C50+C59,"")</f>
        <v>7.0670000000000002</v>
      </c>
      <c r="D60" s="15">
        <f t="shared" ref="D60:L60" si="23">IF(D$22&lt;&gt;"",D50+D59,"")</f>
        <v>7.0670000000000002</v>
      </c>
      <c r="E60" s="15">
        <f t="shared" si="23"/>
        <v>6.9829999999999997</v>
      </c>
      <c r="F60" s="15">
        <f t="shared" si="23"/>
        <v>6.9829999999999997</v>
      </c>
      <c r="G60" s="15">
        <f t="shared" si="23"/>
        <v>6.9829999999999997</v>
      </c>
      <c r="H60" s="15">
        <f t="shared" si="23"/>
        <v>6.9829999999999997</v>
      </c>
      <c r="I60" s="15">
        <f t="shared" si="23"/>
        <v>6.9829999999999997</v>
      </c>
      <c r="J60" s="15">
        <f t="shared" si="23"/>
        <v>6.9829999999999997</v>
      </c>
      <c r="K60" s="15">
        <f t="shared" si="23"/>
        <v>6.7330000000000005</v>
      </c>
      <c r="L60" s="15">
        <f t="shared" si="23"/>
        <v>6.7330000000000005</v>
      </c>
    </row>
    <row r="62" spans="1:18" x14ac:dyDescent="0.35">
      <c r="D62" s="19"/>
    </row>
  </sheetData>
  <mergeCells count="4">
    <mergeCell ref="C5:H5"/>
    <mergeCell ref="C6:H6"/>
    <mergeCell ref="C7:H7"/>
    <mergeCell ref="C8:H8"/>
  </mergeCells>
  <conditionalFormatting sqref="C49:L49 D52:L52">
    <cfRule type="cellIs" dxfId="0" priority="1" operator="greaterThan">
      <formula>$C$45</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P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61</v>
      </c>
    </row>
    <row r="3" spans="1:24" x14ac:dyDescent="0.35">
      <c r="A3" t="s">
        <v>83</v>
      </c>
    </row>
    <row r="5" spans="1:24" s="1" customFormat="1" x14ac:dyDescent="0.35">
      <c r="A5" s="1" t="s">
        <v>63</v>
      </c>
      <c r="B5" s="1" t="s">
        <v>62</v>
      </c>
      <c r="C5" s="14" t="s">
        <v>6</v>
      </c>
      <c r="D5" s="14" t="s">
        <v>7</v>
      </c>
      <c r="E5" s="14" t="s">
        <v>8</v>
      </c>
      <c r="F5" s="14" t="s">
        <v>9</v>
      </c>
      <c r="G5" s="14" t="s">
        <v>10</v>
      </c>
      <c r="H5" s="14" t="s">
        <v>11</v>
      </c>
      <c r="I5" s="14" t="s">
        <v>12</v>
      </c>
      <c r="J5" s="14" t="s">
        <v>13</v>
      </c>
      <c r="K5" s="14" t="s">
        <v>37</v>
      </c>
      <c r="L5" s="14" t="s">
        <v>38</v>
      </c>
      <c r="M5" s="14" t="s">
        <v>66</v>
      </c>
      <c r="N5" s="14" t="s">
        <v>67</v>
      </c>
      <c r="O5" s="14" t="s">
        <v>68</v>
      </c>
      <c r="P5" s="14" t="s">
        <v>69</v>
      </c>
      <c r="Q5" s="14" t="s">
        <v>70</v>
      </c>
      <c r="R5" s="14" t="s">
        <v>71</v>
      </c>
      <c r="S5" s="14" t="s">
        <v>72</v>
      </c>
      <c r="T5" s="14" t="s">
        <v>73</v>
      </c>
      <c r="U5" s="14" t="s">
        <v>74</v>
      </c>
      <c r="V5" s="1" t="s">
        <v>90</v>
      </c>
      <c r="W5" s="1" t="s">
        <v>91</v>
      </c>
      <c r="X5" s="1" t="s">
        <v>64</v>
      </c>
    </row>
    <row r="6" spans="1:24" x14ac:dyDescent="0.35">
      <c r="A6" t="s">
        <v>93</v>
      </c>
      <c r="B6" t="s">
        <v>94</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30">
        <f>AVERAGE(C6:L6)</f>
        <v>12.400000000000002</v>
      </c>
      <c r="W6" s="30">
        <f>AVERAGE(C6:U6)</f>
        <v>12.400000000000004</v>
      </c>
      <c r="X6" t="s">
        <v>78</v>
      </c>
    </row>
    <row r="7" spans="1:24" x14ac:dyDescent="0.35">
      <c r="A7" t="s">
        <v>95</v>
      </c>
      <c r="B7" t="s">
        <v>65</v>
      </c>
      <c r="C7" s="30">
        <v>10.541308000000001</v>
      </c>
      <c r="D7" s="30">
        <v>11.023149</v>
      </c>
      <c r="E7" s="30">
        <v>5.870736</v>
      </c>
      <c r="F7" s="30">
        <v>10.455249</v>
      </c>
      <c r="G7" s="30">
        <v>9.4432220000000004</v>
      </c>
      <c r="H7" s="30">
        <v>17.117932</v>
      </c>
      <c r="I7" s="30">
        <v>12.627808</v>
      </c>
      <c r="J7" s="30">
        <v>12.567529</v>
      </c>
      <c r="K7" s="30">
        <v>16.3156</v>
      </c>
      <c r="L7" s="30">
        <v>14.306982</v>
      </c>
      <c r="M7" s="30">
        <v>12.326231999999999</v>
      </c>
      <c r="N7" s="30">
        <v>20.207163000000001</v>
      </c>
      <c r="O7" s="30">
        <v>8.4420540000000006</v>
      </c>
      <c r="P7" s="30">
        <v>8.9732859999999999</v>
      </c>
      <c r="Q7" s="30">
        <v>14.100669999999999</v>
      </c>
      <c r="R7" s="30">
        <v>13.433123999999999</v>
      </c>
      <c r="S7" s="30">
        <v>13.477814</v>
      </c>
      <c r="T7" s="30">
        <v>16.476396999999999</v>
      </c>
      <c r="U7" s="30">
        <v>8.6142029999999998</v>
      </c>
      <c r="V7" s="30">
        <f t="shared" ref="V7:V13" si="1">AVERAGE(C7:L7)</f>
        <v>12.026951499999999</v>
      </c>
      <c r="W7" s="30">
        <f t="shared" ref="W7:W13" si="2">AVERAGE(C7:U7)</f>
        <v>12.437918842105264</v>
      </c>
      <c r="X7" t="s">
        <v>78</v>
      </c>
    </row>
    <row r="8" spans="1:24" x14ac:dyDescent="0.35">
      <c r="A8" t="s">
        <v>96</v>
      </c>
      <c r="B8" t="s">
        <v>80</v>
      </c>
      <c r="C8" s="30">
        <f>INDEX($C$7:$U$7, _xlfn.RANK.EQ(C19, $C19:$U19) + COUNTIF($C19:C19, C19) - 1)</f>
        <v>12.627808</v>
      </c>
      <c r="D8" s="30">
        <f>INDEX($C$7:$U$7, _xlfn.RANK.EQ(D19, $C19:$U19) + COUNTIF($C19:D19, D19) - 1)</f>
        <v>12.326231999999999</v>
      </c>
      <c r="E8" s="30">
        <f>INDEX($C$7:$U$7, _xlfn.RANK.EQ(E19, $C19:$U19) + COUNTIF($C19:E19, E19) - 1)</f>
        <v>10.455249</v>
      </c>
      <c r="F8" s="30">
        <f>INDEX($C$7:$U$7, _xlfn.RANK.EQ(F19, $C19:$U19) + COUNTIF($C19:F19, F19) - 1)</f>
        <v>5.870736</v>
      </c>
      <c r="G8" s="30">
        <f>INDEX($C$7:$U$7, _xlfn.RANK.EQ(G19, $C19:$U19) + COUNTIF($C19:G19, G19) - 1)</f>
        <v>14.100669999999999</v>
      </c>
      <c r="H8" s="30">
        <f>INDEX($C$7:$U$7, _xlfn.RANK.EQ(H19, $C19:$U19) + COUNTIF($C19:H19, H19) - 1)</f>
        <v>10.541308000000001</v>
      </c>
      <c r="I8" s="30">
        <f>INDEX($C$7:$U$7, _xlfn.RANK.EQ(I19, $C19:$U19) + COUNTIF($C19:I19, I19) - 1)</f>
        <v>17.117932</v>
      </c>
      <c r="J8" s="30">
        <f>INDEX($C$7:$U$7, _xlfn.RANK.EQ(J19, $C19:$U19) + COUNTIF($C19:J19, J19) - 1)</f>
        <v>9.4432220000000004</v>
      </c>
      <c r="K8" s="30">
        <f>INDEX($C$7:$U$7, _xlfn.RANK.EQ(K19, $C19:$U19) + COUNTIF($C19:K19, K19) - 1)</f>
        <v>20.207163000000001</v>
      </c>
      <c r="L8" s="30">
        <f>INDEX($C$7:$U$7, _xlfn.RANK.EQ(L19, $C19:$U19) + COUNTIF($C19:L19, L19) - 1)</f>
        <v>12.567529</v>
      </c>
      <c r="M8" s="30">
        <f>INDEX($C$7:$U$7, _xlfn.RANK.EQ(M19, $C19:$U19) + COUNTIF($C19:M19, M19) - 1)</f>
        <v>14.306982</v>
      </c>
      <c r="N8" s="30">
        <f>INDEX($C$7:$U$7, _xlfn.RANK.EQ(N19, $C19:$U19) + COUNTIF($C19:N19, N19) - 1)</f>
        <v>11.023149</v>
      </c>
      <c r="O8" s="30">
        <f>INDEX($C$7:$U$7, _xlfn.RANK.EQ(O19, $C19:$U19) + COUNTIF($C19:O19, O19) - 1)</f>
        <v>8.4420540000000006</v>
      </c>
      <c r="P8" s="30">
        <f>INDEX($C$7:$U$7, _xlfn.RANK.EQ(P19, $C19:$U19) + COUNTIF($C19:P19, P19) - 1)</f>
        <v>8.9732859999999999</v>
      </c>
      <c r="Q8" s="30">
        <f>INDEX($C$7:$U$7, _xlfn.RANK.EQ(Q19, $C19:$U19) + COUNTIF($C19:Q19, Q19) - 1)</f>
        <v>16.476396999999999</v>
      </c>
      <c r="R8" s="30">
        <f>INDEX($C$7:$U$7, _xlfn.RANK.EQ(R19, $C19:$U19) + COUNTIF($C19:R19, R19) - 1)</f>
        <v>16.3156</v>
      </c>
      <c r="S8" s="30">
        <f>INDEX($C$7:$U$7, _xlfn.RANK.EQ(S19, $C19:$U19) + COUNTIF($C19:S19, S19) - 1)</f>
        <v>13.477814</v>
      </c>
      <c r="T8" s="30">
        <f>INDEX($C$7:$U$7, _xlfn.RANK.EQ(T19, $C19:$U19) + COUNTIF($C19:T19, T19) - 1)</f>
        <v>13.433123999999999</v>
      </c>
      <c r="U8" s="30">
        <f>INDEX($C$7:$U$7, _xlfn.RANK.EQ(U19, $C19:$U19) + COUNTIF($C19:U19, U19) - 1)</f>
        <v>8.6142029999999998</v>
      </c>
      <c r="V8" s="30">
        <f t="shared" si="1"/>
        <v>12.525784900000001</v>
      </c>
      <c r="W8" s="30">
        <f t="shared" si="2"/>
        <v>12.437918842105264</v>
      </c>
      <c r="X8" t="s">
        <v>79</v>
      </c>
    </row>
    <row r="9" spans="1:24" x14ac:dyDescent="0.35">
      <c r="A9" t="s">
        <v>96</v>
      </c>
      <c r="B9" t="s">
        <v>81</v>
      </c>
      <c r="C9" s="30">
        <f>INDEX($C$7:$U$7, _xlfn.RANK.EQ(C20, $C20:$U20) + COUNTIF($C20:C20, C20) - 1)</f>
        <v>17.117932</v>
      </c>
      <c r="D9" s="30">
        <f>INDEX($C$7:$U$7, _xlfn.RANK.EQ(D20, $C20:$U20) + COUNTIF($C20:D20, D20) - 1)</f>
        <v>10.541308000000001</v>
      </c>
      <c r="E9" s="30">
        <f>INDEX($C$7:$U$7, _xlfn.RANK.EQ(E20, $C20:$U20) + COUNTIF($C20:E20, E20) - 1)</f>
        <v>14.100669999999999</v>
      </c>
      <c r="F9" s="30">
        <f>INDEX($C$7:$U$7, _xlfn.RANK.EQ(F20, $C20:$U20) + COUNTIF($C20:F20, F20) - 1)</f>
        <v>14.306982</v>
      </c>
      <c r="G9" s="30">
        <f>INDEX($C$7:$U$7, _xlfn.RANK.EQ(G20, $C20:$U20) + COUNTIF($C20:G20, G20) - 1)</f>
        <v>8.6142029999999998</v>
      </c>
      <c r="H9" s="30">
        <f>INDEX($C$7:$U$7, _xlfn.RANK.EQ(H20, $C20:$U20) + COUNTIF($C20:H20, H20) - 1)</f>
        <v>12.326231999999999</v>
      </c>
      <c r="I9" s="30">
        <f>INDEX($C$7:$U$7, _xlfn.RANK.EQ(I20, $C20:$U20) + COUNTIF($C20:I20, I20) - 1)</f>
        <v>10.455249</v>
      </c>
      <c r="J9" s="30">
        <f>INDEX($C$7:$U$7, _xlfn.RANK.EQ(J20, $C20:$U20) + COUNTIF($C20:J20, J20) - 1)</f>
        <v>5.870736</v>
      </c>
      <c r="K9" s="30">
        <f>INDEX($C$7:$U$7, _xlfn.RANK.EQ(K20, $C20:$U20) + COUNTIF($C20:K20, K20) - 1)</f>
        <v>13.433123999999999</v>
      </c>
      <c r="L9" s="30">
        <f>INDEX($C$7:$U$7, _xlfn.RANK.EQ(L20, $C20:$U20) + COUNTIF($C20:L20, L20) - 1)</f>
        <v>11.023149</v>
      </c>
      <c r="M9" s="30">
        <f>INDEX($C$7:$U$7, _xlfn.RANK.EQ(M20, $C20:$U20) + COUNTIF($C20:M20, M20) - 1)</f>
        <v>8.4420540000000006</v>
      </c>
      <c r="N9" s="30">
        <f>INDEX($C$7:$U$7, _xlfn.RANK.EQ(N20, $C20:$U20) + COUNTIF($C20:N20, N20) - 1)</f>
        <v>16.476396999999999</v>
      </c>
      <c r="O9" s="30">
        <f>INDEX($C$7:$U$7, _xlfn.RANK.EQ(O20, $C20:$U20) + COUNTIF($C20:O20, O20) - 1)</f>
        <v>20.207163000000001</v>
      </c>
      <c r="P9" s="30">
        <f>INDEX($C$7:$U$7, _xlfn.RANK.EQ(P20, $C20:$U20) + COUNTIF($C20:P20, P20) - 1)</f>
        <v>12.567529</v>
      </c>
      <c r="Q9" s="30">
        <f>INDEX($C$7:$U$7, _xlfn.RANK.EQ(Q20, $C20:$U20) + COUNTIF($C20:Q20, Q20) - 1)</f>
        <v>8.9732859999999999</v>
      </c>
      <c r="R9" s="30">
        <f>INDEX($C$7:$U$7, _xlfn.RANK.EQ(R20, $C20:$U20) + COUNTIF($C20:R20, R20) - 1)</f>
        <v>12.627808</v>
      </c>
      <c r="S9" s="30">
        <f>INDEX($C$7:$U$7, _xlfn.RANK.EQ(S20, $C20:$U20) + COUNTIF($C20:S20, S20) - 1)</f>
        <v>13.477814</v>
      </c>
      <c r="T9" s="30">
        <f>INDEX($C$7:$U$7, _xlfn.RANK.EQ(T20, $C20:$U20) + COUNTIF($C20:T20, T20) - 1)</f>
        <v>9.4432220000000004</v>
      </c>
      <c r="U9" s="30">
        <f>INDEX($C$7:$U$7, _xlfn.RANK.EQ(U20, $C20:$U20) + COUNTIF($C20:U20, U20) - 1)</f>
        <v>16.3156</v>
      </c>
      <c r="V9" s="30">
        <f t="shared" si="1"/>
        <v>11.7789585</v>
      </c>
      <c r="W9" s="30">
        <f t="shared" si="2"/>
        <v>12.437918842105262</v>
      </c>
      <c r="X9" t="s">
        <v>79</v>
      </c>
    </row>
    <row r="10" spans="1:24" x14ac:dyDescent="0.35">
      <c r="A10" t="s">
        <v>96</v>
      </c>
      <c r="B10" t="s">
        <v>82</v>
      </c>
      <c r="C10" s="30">
        <f>INDEX($C$7:$U$7, _xlfn.RANK.EQ(C21, $C21:$U21) + COUNTIF($C21:C21, C21) - 1)</f>
        <v>20.207163000000001</v>
      </c>
      <c r="D10" s="30">
        <f>INDEX($C$7:$U$7, _xlfn.RANK.EQ(D21, $C21:$U21) + COUNTIF($C21:D21, D21) - 1)</f>
        <v>17.117932</v>
      </c>
      <c r="E10" s="30">
        <f>INDEX($C$7:$U$7, _xlfn.RANK.EQ(E21, $C21:$U21) + COUNTIF($C21:E21, E21) - 1)</f>
        <v>16.476396999999999</v>
      </c>
      <c r="F10" s="30">
        <f>INDEX($C$7:$U$7, _xlfn.RANK.EQ(F21, $C21:$U21) + COUNTIF($C21:F21, F21) - 1)</f>
        <v>12.326231999999999</v>
      </c>
      <c r="G10" s="30">
        <f>INDEX($C$7:$U$7, _xlfn.RANK.EQ(G21, $C21:$U21) + COUNTIF($C21:G21, G21) - 1)</f>
        <v>12.627808</v>
      </c>
      <c r="H10" s="30">
        <f>INDEX($C$7:$U$7, _xlfn.RANK.EQ(H21, $C21:$U21) + COUNTIF($C21:H21, H21) - 1)</f>
        <v>13.433123999999999</v>
      </c>
      <c r="I10" s="30">
        <f>INDEX($C$7:$U$7, _xlfn.RANK.EQ(I21, $C21:$U21) + COUNTIF($C21:I21, I21) - 1)</f>
        <v>10.541308000000001</v>
      </c>
      <c r="J10" s="30">
        <f>INDEX($C$7:$U$7, _xlfn.RANK.EQ(J21, $C21:$U21) + COUNTIF($C21:J21, J21) - 1)</f>
        <v>16.3156</v>
      </c>
      <c r="K10" s="30">
        <f>INDEX($C$7:$U$7, _xlfn.RANK.EQ(K21, $C21:$U21) + COUNTIF($C21:K21, K21) - 1)</f>
        <v>9.4432220000000004</v>
      </c>
      <c r="L10" s="30">
        <f>INDEX($C$7:$U$7, _xlfn.RANK.EQ(L21, $C21:$U21) + COUNTIF($C21:L21, L21) - 1)</f>
        <v>14.306982</v>
      </c>
      <c r="M10" s="30">
        <f>INDEX($C$7:$U$7, _xlfn.RANK.EQ(M21, $C21:$U21) + COUNTIF($C21:M21, M21) - 1)</f>
        <v>8.6142029999999998</v>
      </c>
      <c r="N10" s="30">
        <f>INDEX($C$7:$U$7, _xlfn.RANK.EQ(N21, $C21:$U21) + COUNTIF($C21:N21, N21) - 1)</f>
        <v>10.455249</v>
      </c>
      <c r="O10" s="30">
        <f>INDEX($C$7:$U$7, _xlfn.RANK.EQ(O21, $C21:$U21) + COUNTIF($C21:O21, O21) - 1)</f>
        <v>8.4420540000000006</v>
      </c>
      <c r="P10" s="30">
        <f>INDEX($C$7:$U$7, _xlfn.RANK.EQ(P21, $C21:$U21) + COUNTIF($C21:P21, P21) - 1)</f>
        <v>8.9732859999999999</v>
      </c>
      <c r="Q10" s="30">
        <f>INDEX($C$7:$U$7, _xlfn.RANK.EQ(Q21, $C21:$U21) + COUNTIF($C21:Q21, Q21) - 1)</f>
        <v>14.100669999999999</v>
      </c>
      <c r="R10" s="30">
        <f>INDEX($C$7:$U$7, _xlfn.RANK.EQ(R21, $C21:$U21) + COUNTIF($C21:R21, R21) - 1)</f>
        <v>13.477814</v>
      </c>
      <c r="S10" s="30">
        <f>INDEX($C$7:$U$7, _xlfn.RANK.EQ(S21, $C21:$U21) + COUNTIF($C21:S21, S21) - 1)</f>
        <v>5.870736</v>
      </c>
      <c r="T10" s="30">
        <f>INDEX($C$7:$U$7, _xlfn.RANK.EQ(T21, $C21:$U21) + COUNTIF($C21:T21, T21) - 1)</f>
        <v>12.567529</v>
      </c>
      <c r="U10" s="30">
        <f>INDEX($C$7:$U$7, _xlfn.RANK.EQ(U21, $C21:$U21) + COUNTIF($C21:U21, U21) - 1)</f>
        <v>11.023149</v>
      </c>
      <c r="V10" s="30">
        <f t="shared" si="1"/>
        <v>14.279576800000001</v>
      </c>
      <c r="W10" s="30">
        <f t="shared" si="2"/>
        <v>12.437918842105265</v>
      </c>
      <c r="X10" t="s">
        <v>79</v>
      </c>
    </row>
    <row r="11" spans="1:24" x14ac:dyDescent="0.35">
      <c r="A11" t="s">
        <v>84</v>
      </c>
      <c r="B11" t="s">
        <v>97</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30">
        <f t="shared" si="1"/>
        <v>11.400000000000002</v>
      </c>
      <c r="W11" s="30">
        <f t="shared" si="2"/>
        <v>11.400000000000004</v>
      </c>
    </row>
    <row r="12" spans="1:24" x14ac:dyDescent="0.35">
      <c r="A12" t="s">
        <v>86</v>
      </c>
      <c r="B12" t="s">
        <v>87</v>
      </c>
      <c r="C12" s="30">
        <v>8.0656773127944597</v>
      </c>
      <c r="D12" s="30">
        <v>12.179497010248401</v>
      </c>
      <c r="E12" s="30">
        <v>10.4021452093777</v>
      </c>
      <c r="F12" s="30">
        <v>13.518813794409299</v>
      </c>
      <c r="G12" s="30">
        <v>16.316885566837801</v>
      </c>
      <c r="H12" s="30">
        <v>8.2963173615850092</v>
      </c>
      <c r="I12" s="30">
        <v>8.2334084440403892</v>
      </c>
      <c r="J12" s="30">
        <v>8.0507265516528701</v>
      </c>
      <c r="K12" s="30">
        <v>10.939025533005399</v>
      </c>
      <c r="L12" s="30">
        <v>17.117619193537298</v>
      </c>
      <c r="M12" s="30">
        <v>15.180122066368499</v>
      </c>
      <c r="N12" s="30">
        <v>18.434952033152101</v>
      </c>
      <c r="O12" s="30">
        <v>12.0058419359474</v>
      </c>
      <c r="P12" s="30">
        <v>6.7697458167134199</v>
      </c>
      <c r="Q12" s="30">
        <v>14.549174163850401</v>
      </c>
      <c r="R12" s="30">
        <v>7.0958145122825593</v>
      </c>
      <c r="S12" s="30">
        <v>14.9052393166876</v>
      </c>
      <c r="T12" s="30">
        <v>15.428213164007099</v>
      </c>
      <c r="U12" s="30">
        <v>17.679933099266101</v>
      </c>
      <c r="V12" s="30">
        <f t="shared" si="1"/>
        <v>11.312011597748862</v>
      </c>
      <c r="W12" s="30">
        <f t="shared" si="2"/>
        <v>12.377323793987571</v>
      </c>
      <c r="X12" t="s">
        <v>89</v>
      </c>
    </row>
    <row r="13" spans="1:24" x14ac:dyDescent="0.35">
      <c r="A13" t="s">
        <v>88</v>
      </c>
      <c r="B13" t="s">
        <v>87</v>
      </c>
      <c r="C13" s="30">
        <v>13.6721827614197</v>
      </c>
      <c r="D13" s="30">
        <v>12.666445529103701</v>
      </c>
      <c r="E13" s="30">
        <v>8.2123208856145009</v>
      </c>
      <c r="F13" s="30">
        <v>7.2985106981092596</v>
      </c>
      <c r="G13" s="30">
        <v>8.9240344766710908</v>
      </c>
      <c r="H13" s="30">
        <v>12.2239805462057</v>
      </c>
      <c r="I13" s="30">
        <v>12.116028475951</v>
      </c>
      <c r="J13" s="30">
        <v>9.3868894956851907</v>
      </c>
      <c r="K13" s="30">
        <v>5.7100895102609304</v>
      </c>
      <c r="L13" s="30">
        <v>7.6367030909024995</v>
      </c>
      <c r="M13" s="30">
        <v>17.908698431934599</v>
      </c>
      <c r="N13" s="30">
        <v>17.3439222124933</v>
      </c>
      <c r="O13" s="30">
        <v>16.712138882108398</v>
      </c>
      <c r="P13" s="30">
        <v>10.8627427743835</v>
      </c>
      <c r="Q13" s="30">
        <v>18.956338967251</v>
      </c>
      <c r="R13" s="30">
        <v>22.2800107884749</v>
      </c>
      <c r="S13" s="30">
        <v>19.616776674012698</v>
      </c>
      <c r="T13" s="30">
        <v>14.694013971958199</v>
      </c>
      <c r="U13" s="30">
        <v>13.8158034044588</v>
      </c>
      <c r="V13" s="30">
        <f t="shared" si="1"/>
        <v>9.7847185469923588</v>
      </c>
      <c r="W13" s="30">
        <f t="shared" si="2"/>
        <v>13.159875346157838</v>
      </c>
      <c r="X13" t="s">
        <v>89</v>
      </c>
    </row>
    <row r="14" spans="1:24" x14ac:dyDescent="0.35">
      <c r="A14" t="s">
        <v>85</v>
      </c>
      <c r="B14" t="s">
        <v>87</v>
      </c>
      <c r="C14" s="30">
        <v>8.6387119999999999</v>
      </c>
      <c r="D14" s="30">
        <v>16.724910999999999</v>
      </c>
      <c r="E14" s="30">
        <v>23.729841</v>
      </c>
      <c r="F14" s="30">
        <v>24.177980999999999</v>
      </c>
      <c r="G14" s="30">
        <v>21.044574999999998</v>
      </c>
      <c r="H14" s="30">
        <v>22.368445000000001</v>
      </c>
      <c r="I14" s="30">
        <v>16.596464999999998</v>
      </c>
      <c r="J14" s="30">
        <v>11.668810000000001</v>
      </c>
      <c r="K14" s="30">
        <v>9.5522320000000001</v>
      </c>
      <c r="L14" s="30">
        <v>8.9740110000000008</v>
      </c>
      <c r="M14" s="30">
        <v>12.344601000000001</v>
      </c>
      <c r="N14" s="30">
        <v>11.068530000000001</v>
      </c>
      <c r="O14" s="30">
        <v>18.697527999999998</v>
      </c>
      <c r="P14" s="30">
        <v>10.611249000000001</v>
      </c>
      <c r="Q14" s="30">
        <v>19.872761000000001</v>
      </c>
      <c r="R14" s="30">
        <v>14.052944999999999</v>
      </c>
      <c r="S14" s="30">
        <v>21.184925</v>
      </c>
      <c r="T14" s="30">
        <v>16.968572999999999</v>
      </c>
      <c r="U14" s="30">
        <v>16.452831</v>
      </c>
      <c r="V14" s="30">
        <f t="shared" ref="V14" si="4">AVERAGE(C14:L14)</f>
        <v>16.347598299999998</v>
      </c>
      <c r="W14" s="30">
        <f t="shared" ref="W14" si="5">AVERAGE(C14:U14)</f>
        <v>16.038417157894738</v>
      </c>
      <c r="X14" t="s">
        <v>78</v>
      </c>
    </row>
    <row r="15" spans="1:24" x14ac:dyDescent="0.35">
      <c r="A15" t="s">
        <v>92</v>
      </c>
      <c r="B15" t="s">
        <v>80</v>
      </c>
      <c r="C15" s="30">
        <f>INDEX($C$14:$U$14, _xlfn.RANK.EQ(C19, $C19:$U19) + COUNTIF($C19:C19, C19) - 1)</f>
        <v>16.596464999999998</v>
      </c>
      <c r="D15" s="30">
        <f>INDEX($C$14:$U$14, _xlfn.RANK.EQ(D19, $C19:$U19) + COUNTIF($C19:D19, D19) - 1)</f>
        <v>12.344601000000001</v>
      </c>
      <c r="E15" s="30">
        <f>INDEX($C$14:$U$14, _xlfn.RANK.EQ(E19, $C19:$U19) + COUNTIF($C19:E19, E19) - 1)</f>
        <v>24.177980999999999</v>
      </c>
      <c r="F15" s="30">
        <f>INDEX($C$14:$U$14, _xlfn.RANK.EQ(F19, $C19:$U19) + COUNTIF($C19:F19, F19) - 1)</f>
        <v>23.729841</v>
      </c>
      <c r="G15" s="30">
        <f>INDEX($C$14:$U$14, _xlfn.RANK.EQ(G19, $C19:$U19) + COUNTIF($C19:G19, G19) - 1)</f>
        <v>19.872761000000001</v>
      </c>
      <c r="H15" s="30">
        <f>INDEX($C$14:$U$14, _xlfn.RANK.EQ(H19, $C19:$U19) + COUNTIF($C19:H19, H19) - 1)</f>
        <v>8.6387119999999999</v>
      </c>
      <c r="I15" s="30">
        <f>INDEX($C$14:$U$14, _xlfn.RANK.EQ(I19, $C19:$U19) + COUNTIF($C19:I19, I19) - 1)</f>
        <v>22.368445000000001</v>
      </c>
      <c r="J15" s="30">
        <f>INDEX($C$14:$U$14, _xlfn.RANK.EQ(J19, $C19:$U19) + COUNTIF($C19:J19, J19) - 1)</f>
        <v>21.044574999999998</v>
      </c>
      <c r="K15" s="30">
        <f>INDEX($C$14:$U$14, _xlfn.RANK.EQ(K19, $C19:$U19) + COUNTIF($C19:K19, K19) - 1)</f>
        <v>11.068530000000001</v>
      </c>
      <c r="L15" s="30">
        <f>INDEX($C$14:$U$14, _xlfn.RANK.EQ(L19, $C19:$U19) + COUNTIF($C19:L19, L19) - 1)</f>
        <v>11.668810000000001</v>
      </c>
      <c r="M15" s="30">
        <f>INDEX($C$14:$U$14, _xlfn.RANK.EQ(M19, $C19:$U19) + COUNTIF($C19:M19, M19) - 1)</f>
        <v>8.9740110000000008</v>
      </c>
      <c r="N15" s="30">
        <f>INDEX($C$14:$U$14, _xlfn.RANK.EQ(N19, $C19:$U19) + COUNTIF($C19:N19, N19) - 1)</f>
        <v>16.724910999999999</v>
      </c>
      <c r="O15" s="30">
        <f>INDEX($C$14:$U$14, _xlfn.RANK.EQ(O19, $C19:$U19) + COUNTIF($C19:O19, O19) - 1)</f>
        <v>18.697527999999998</v>
      </c>
      <c r="P15" s="30">
        <f>INDEX($C$14:$U$14, _xlfn.RANK.EQ(P19, $C19:$U19) + COUNTIF($C19:P19, P19) - 1)</f>
        <v>10.611249000000001</v>
      </c>
      <c r="Q15" s="30">
        <f>INDEX($C$14:$U$14, _xlfn.RANK.EQ(Q19, $C19:$U19) + COUNTIF($C19:Q19, Q19) - 1)</f>
        <v>16.968572999999999</v>
      </c>
      <c r="R15" s="30">
        <f>INDEX($C$14:$U$14, _xlfn.RANK.EQ(R19, $C19:$U19) + COUNTIF($C19:R19, R19) - 1)</f>
        <v>9.5522320000000001</v>
      </c>
      <c r="S15" s="30">
        <f>INDEX($C$14:$U$14, _xlfn.RANK.EQ(S19, $C19:$U19) + COUNTIF($C19:S19, S19) - 1)</f>
        <v>21.184925</v>
      </c>
      <c r="T15" s="30">
        <f>INDEX($C$14:$U$14, _xlfn.RANK.EQ(T19, $C19:$U19) + COUNTIF($C19:T19, T19) - 1)</f>
        <v>14.052944999999999</v>
      </c>
      <c r="U15" s="30">
        <f>INDEX($C$14:$U$14, _xlfn.RANK.EQ(U19, $C19:$U19) + COUNTIF($C19:U19, U19) - 1)</f>
        <v>16.452831</v>
      </c>
      <c r="V15" s="30">
        <f t="shared" ref="V15:V16" si="6">AVERAGE(C15:L15)</f>
        <v>17.1510721</v>
      </c>
      <c r="W15" s="30">
        <f t="shared" ref="W15:W16" si="7">AVERAGE(C15:U15)</f>
        <v>16.038417157894738</v>
      </c>
      <c r="X15" t="s">
        <v>79</v>
      </c>
    </row>
    <row r="16" spans="1:24" x14ac:dyDescent="0.35">
      <c r="A16" t="s">
        <v>92</v>
      </c>
      <c r="B16" t="s">
        <v>81</v>
      </c>
      <c r="C16" s="30">
        <f>INDEX($C$14:$U$14, _xlfn.RANK.EQ(C20, $C20:$U20) + COUNTIF($C20:C20, C20) - 1)</f>
        <v>22.368445000000001</v>
      </c>
      <c r="D16" s="30">
        <f>INDEX($C$14:$U$14, _xlfn.RANK.EQ(D20, $C20:$U20) + COUNTIF($C20:D20, D20) - 1)</f>
        <v>8.6387119999999999</v>
      </c>
      <c r="E16" s="30">
        <f>INDEX($C$14:$U$14, _xlfn.RANK.EQ(E20, $C20:$U20) + COUNTIF($C20:E20, E20) - 1)</f>
        <v>19.872761000000001</v>
      </c>
      <c r="F16" s="30">
        <f>INDEX($C$14:$U$14, _xlfn.RANK.EQ(F20, $C20:$U20) + COUNTIF($C20:F20, F20) - 1)</f>
        <v>8.9740110000000008</v>
      </c>
      <c r="G16" s="30">
        <f>INDEX($C$14:$U$14, _xlfn.RANK.EQ(G20, $C20:$U20) + COUNTIF($C20:G20, G20) - 1)</f>
        <v>16.452831</v>
      </c>
      <c r="H16" s="30">
        <f>INDEX($C$14:$U$14, _xlfn.RANK.EQ(H20, $C20:$U20) + COUNTIF($C20:H20, H20) - 1)</f>
        <v>12.344601000000001</v>
      </c>
      <c r="I16" s="30">
        <f>INDEX($C$14:$U$14, _xlfn.RANK.EQ(I20, $C20:$U20) + COUNTIF($C20:I20, I20) - 1)</f>
        <v>24.177980999999999</v>
      </c>
      <c r="J16" s="30">
        <f>INDEX($C$14:$U$14, _xlfn.RANK.EQ(J20, $C20:$U20) + COUNTIF($C20:J20, J20) - 1)</f>
        <v>23.729841</v>
      </c>
      <c r="K16" s="30">
        <f>INDEX($C$14:$U$14, _xlfn.RANK.EQ(K20, $C20:$U20) + COUNTIF($C20:K20, K20) - 1)</f>
        <v>14.052944999999999</v>
      </c>
      <c r="L16" s="30">
        <f>INDEX($C$14:$U$14, _xlfn.RANK.EQ(L20, $C20:$U20) + COUNTIF($C20:L20, L20) - 1)</f>
        <v>16.724910999999999</v>
      </c>
      <c r="M16" s="30">
        <f>INDEX($C$14:$U$14, _xlfn.RANK.EQ(M20, $C20:$U20) + COUNTIF($C20:M20, M20) - 1)</f>
        <v>18.697527999999998</v>
      </c>
      <c r="N16" s="30">
        <f>INDEX($C$14:$U$14, _xlfn.RANK.EQ(N20, $C20:$U20) + COUNTIF($C20:N20, N20) - 1)</f>
        <v>16.968572999999999</v>
      </c>
      <c r="O16" s="30">
        <f>INDEX($C$14:$U$14, _xlfn.RANK.EQ(O20, $C20:$U20) + COUNTIF($C20:O20, O20) - 1)</f>
        <v>11.068530000000001</v>
      </c>
      <c r="P16" s="30">
        <f>INDEX($C$14:$U$14, _xlfn.RANK.EQ(P20, $C20:$U20) + COUNTIF($C20:P20, P20) - 1)</f>
        <v>11.668810000000001</v>
      </c>
      <c r="Q16" s="30">
        <f>INDEX($C$14:$U$14, _xlfn.RANK.EQ(Q20, $C20:$U20) + COUNTIF($C20:Q20, Q20) - 1)</f>
        <v>10.611249000000001</v>
      </c>
      <c r="R16" s="30">
        <f>INDEX($C$14:$U$14, _xlfn.RANK.EQ(R20, $C20:$U20) + COUNTIF($C20:R20, R20) - 1)</f>
        <v>16.596464999999998</v>
      </c>
      <c r="S16" s="30">
        <f>INDEX($C$14:$U$14, _xlfn.RANK.EQ(S20, $C20:$U20) + COUNTIF($C20:S20, S20) - 1)</f>
        <v>21.184925</v>
      </c>
      <c r="T16" s="30">
        <f>INDEX($C$14:$U$14, _xlfn.RANK.EQ(T20, $C20:$U20) + COUNTIF($C20:T20, T20) - 1)</f>
        <v>21.044574999999998</v>
      </c>
      <c r="U16" s="30">
        <f>INDEX($C$14:$U$14, _xlfn.RANK.EQ(U20, $C20:$U20) + COUNTIF($C20:U20, U20) - 1)</f>
        <v>9.5522320000000001</v>
      </c>
      <c r="V16" s="30">
        <f t="shared" si="6"/>
        <v>16.733703900000002</v>
      </c>
      <c r="W16" s="30">
        <f t="shared" si="7"/>
        <v>16.038417157894738</v>
      </c>
      <c r="X16" t="s">
        <v>79</v>
      </c>
    </row>
    <row r="18" spans="1:21" x14ac:dyDescent="0.35">
      <c r="A18" s="1" t="s">
        <v>98</v>
      </c>
    </row>
    <row r="19" spans="1:21" x14ac:dyDescent="0.35">
      <c r="A19" t="s">
        <v>75</v>
      </c>
      <c r="C19" s="31">
        <v>0.67644387335744371</v>
      </c>
      <c r="D19" s="31">
        <v>0.47418579468589028</v>
      </c>
      <c r="E19" s="31">
        <v>0.79191284201733858</v>
      </c>
      <c r="F19" s="31">
        <v>0.85845050624319708</v>
      </c>
      <c r="G19" s="31">
        <v>0.29119580343142981</v>
      </c>
      <c r="H19" s="31">
        <v>0.96698220369983379</v>
      </c>
      <c r="I19" s="31">
        <v>0.71660723236774859</v>
      </c>
      <c r="J19" s="31">
        <v>0.76657250740819849</v>
      </c>
      <c r="K19" s="31">
        <v>0.37210589764212265</v>
      </c>
      <c r="L19" s="31">
        <v>0.67238760239552131</v>
      </c>
      <c r="M19" s="31">
        <v>0.54861280840425941</v>
      </c>
      <c r="N19" s="31">
        <v>0.93847094237556061</v>
      </c>
      <c r="O19" s="31">
        <v>0.37036993145978159</v>
      </c>
      <c r="P19" s="31">
        <v>0.37012384678989274</v>
      </c>
      <c r="Q19" s="31">
        <v>5.0129257600194155E-2</v>
      </c>
      <c r="R19" s="31">
        <v>0.66224607523003343</v>
      </c>
      <c r="S19" s="31">
        <v>7.3598766477379618E-2</v>
      </c>
      <c r="T19" s="31">
        <v>0.14075741794709939</v>
      </c>
      <c r="U19" s="31">
        <v>4.0761876740060932E-2</v>
      </c>
    </row>
    <row r="20" spans="1:21" x14ac:dyDescent="0.35">
      <c r="A20" t="s">
        <v>76</v>
      </c>
      <c r="C20" s="31">
        <v>0.71178139473095614</v>
      </c>
      <c r="D20" s="31">
        <v>0.90508858194637953</v>
      </c>
      <c r="E20" s="31">
        <v>0.17598711058710848</v>
      </c>
      <c r="F20" s="31">
        <v>0.46040924842222275</v>
      </c>
      <c r="G20" s="31">
        <v>1.1082729617274412E-3</v>
      </c>
      <c r="H20" s="31">
        <v>0.4469646580924429</v>
      </c>
      <c r="I20" s="31">
        <v>0.76533202050878746</v>
      </c>
      <c r="J20" s="31">
        <v>0.83884971961311028</v>
      </c>
      <c r="K20" s="31">
        <v>0.13861192500449215</v>
      </c>
      <c r="L20" s="31">
        <v>0.86445706016894996</v>
      </c>
      <c r="M20" s="31">
        <v>0.27880519114550062</v>
      </c>
      <c r="N20" s="31">
        <v>4.9331580912537532E-2</v>
      </c>
      <c r="O20" s="31">
        <v>0.44358552686154573</v>
      </c>
      <c r="P20" s="31">
        <v>0.51627460025941363</v>
      </c>
      <c r="Q20" s="31">
        <v>0.19589373219881623</v>
      </c>
      <c r="R20" s="31">
        <v>0.57711767229760702</v>
      </c>
      <c r="S20" s="31">
        <v>0.11578704812173612</v>
      </c>
      <c r="T20" s="31">
        <v>0.75445830147475079</v>
      </c>
      <c r="U20" s="31">
        <v>0.50908150625985971</v>
      </c>
    </row>
    <row r="21" spans="1:21" x14ac:dyDescent="0.35">
      <c r="A21" t="s">
        <v>77</v>
      </c>
      <c r="C21" s="31">
        <v>0.49942177488685924</v>
      </c>
      <c r="D21" s="31">
        <v>0.73533205529292978</v>
      </c>
      <c r="E21" s="31">
        <v>3.6281905650776269E-2</v>
      </c>
      <c r="F21" s="31">
        <v>0.51032194818600674</v>
      </c>
      <c r="G21" s="31">
        <v>0.72301799545372614</v>
      </c>
      <c r="H21" s="31">
        <v>0.18140139614899009</v>
      </c>
      <c r="I21" s="31">
        <v>0.96487922099534429</v>
      </c>
      <c r="J21" s="31">
        <v>0.58598497382130921</v>
      </c>
      <c r="K21" s="31">
        <v>0.81220936811505928</v>
      </c>
      <c r="L21" s="31">
        <v>0.56799175094937815</v>
      </c>
      <c r="M21" s="31">
        <v>1.6868147569877312E-3</v>
      </c>
      <c r="N21" s="31">
        <v>0.81525247724513761</v>
      </c>
      <c r="O21" s="31">
        <v>0.43869003462286138</v>
      </c>
      <c r="P21" s="31">
        <v>0.41310932122101518</v>
      </c>
      <c r="Q21" s="31">
        <v>0.31390513036414502</v>
      </c>
      <c r="R21" s="31">
        <v>8.330275026684264E-2</v>
      </c>
      <c r="S21" s="31">
        <v>0.8318657658083044</v>
      </c>
      <c r="T21" s="31">
        <v>0.65077408918348401</v>
      </c>
      <c r="U21" s="31">
        <v>0.92682339319863516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tabSelected="1" zoomScale="160" zoomScaleNormal="160" workbookViewId="0">
      <selection activeCell="C7" sqref="C7"/>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14</v>
      </c>
    </row>
    <row r="2" spans="1:19" x14ac:dyDescent="0.35">
      <c r="A2" t="s">
        <v>15</v>
      </c>
    </row>
    <row r="4" spans="1:19" x14ac:dyDescent="0.35">
      <c r="A4" s="3" t="s">
        <v>16</v>
      </c>
      <c r="B4" s="3" t="s">
        <v>17</v>
      </c>
      <c r="C4" s="3" t="s">
        <v>18</v>
      </c>
      <c r="D4" s="3" t="s">
        <v>19</v>
      </c>
      <c r="E4" s="4" t="s">
        <v>20</v>
      </c>
      <c r="G4" s="3" t="s">
        <v>21</v>
      </c>
      <c r="H4" s="3" t="s">
        <v>22</v>
      </c>
      <c r="J4" s="3" t="s">
        <v>23</v>
      </c>
    </row>
    <row r="5" spans="1:19" x14ac:dyDescent="0.35">
      <c r="A5" s="5">
        <v>3370</v>
      </c>
      <c r="B5" s="6">
        <v>0</v>
      </c>
      <c r="C5" s="6">
        <v>1895000</v>
      </c>
      <c r="D5" s="6">
        <v>20303</v>
      </c>
      <c r="E5" s="2">
        <v>1</v>
      </c>
      <c r="G5" s="7">
        <f>C5</f>
        <v>1895000</v>
      </c>
      <c r="H5" s="8">
        <f>A5</f>
        <v>3370</v>
      </c>
      <c r="J5" t="s">
        <v>24</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25</v>
      </c>
      <c r="K7" t="s">
        <v>19</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26</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25</v>
      </c>
      <c r="K12" s="9" t="s">
        <v>20</v>
      </c>
      <c r="L12" t="s">
        <v>27</v>
      </c>
      <c r="M12" t="s">
        <v>28</v>
      </c>
      <c r="N12" t="s">
        <v>29</v>
      </c>
      <c r="O12" t="s">
        <v>30</v>
      </c>
      <c r="P12" t="s">
        <v>31</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803"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139</v>
      </c>
    </row>
    <row r="2" spans="1:13" x14ac:dyDescent="0.35">
      <c r="A2" t="s">
        <v>15</v>
      </c>
    </row>
    <row r="3" spans="1:13" x14ac:dyDescent="0.35">
      <c r="C3">
        <v>2035000</v>
      </c>
    </row>
    <row r="4" spans="1:13" x14ac:dyDescent="0.35">
      <c r="A4" s="3" t="s">
        <v>16</v>
      </c>
      <c r="B4" s="3" t="s">
        <v>17</v>
      </c>
      <c r="C4" s="3" t="s">
        <v>18</v>
      </c>
      <c r="D4" s="3" t="s">
        <v>19</v>
      </c>
      <c r="E4" s="4" t="s">
        <v>20</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8">
        <v>60736</v>
      </c>
      <c r="C9" s="6">
        <f t="shared" si="0"/>
        <v>2095736</v>
      </c>
      <c r="D9" s="6">
        <v>30563.999999899999</v>
      </c>
      <c r="E9" s="2">
        <v>5</v>
      </c>
    </row>
    <row r="10" spans="1:13" x14ac:dyDescent="0.35">
      <c r="A10" s="5">
        <v>897.5</v>
      </c>
      <c r="B10" s="38">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ReadMe-Directions</vt:lpstr>
      <vt:lpstr>Master</vt:lpstr>
      <vt:lpstr>Millenium-LawOfRiver</vt:lpstr>
      <vt:lpstr>HydrologicScenarios</vt:lpstr>
      <vt:lpstr>Powell-Elevation-Area</vt:lpstr>
      <vt:lpstr>Mead-Elevation-Area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2021-05-04T17:38:33Z</dcterms:modified>
</cp:coreProperties>
</file>