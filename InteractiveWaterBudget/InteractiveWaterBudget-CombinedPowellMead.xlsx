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78D49D96-2D8D-4C5A-B770-FFCB502E037A}"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11.0-Trade" sheetId="12" r:id="rId3"/>
    <sheet name="11.0-LawOfRiver" sheetId="13" r:id="rId4"/>
    <sheet name="11.0-PlotUse" sheetId="14" r:id="rId5"/>
    <sheet name="11.0-PlotStorage" sheetId="15" r:id="rId6"/>
    <sheet name="Millenium-LawOfRiver" sheetId="11" r:id="rId7"/>
    <sheet name="HydrologicScenarios" sheetId="7" r:id="rId8"/>
    <sheet name="Powell-Elevation-Area" sheetId="2" r:id="rId9"/>
    <sheet name="Mead-Elevation-Area" sheetId="10"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6" i="11" l="1"/>
  <c r="E41" i="12" l="1"/>
  <c r="F41" i="12"/>
  <c r="G41" i="12"/>
  <c r="D22" i="12"/>
  <c r="D35" i="12" s="1"/>
  <c r="D36" i="12" s="1"/>
  <c r="D22" i="13"/>
  <c r="D35" i="13" s="1"/>
  <c r="D36" i="13" s="1"/>
  <c r="C59" i="13"/>
  <c r="P58" i="13"/>
  <c r="P57" i="13"/>
  <c r="P56" i="13"/>
  <c r="P55" i="13"/>
  <c r="P54" i="13"/>
  <c r="P53" i="13"/>
  <c r="P52" i="13"/>
  <c r="P51" i="13"/>
  <c r="C51" i="13"/>
  <c r="M43" i="13"/>
  <c r="M41" i="13"/>
  <c r="C35" i="13"/>
  <c r="C36" i="13" s="1"/>
  <c r="B30" i="13"/>
  <c r="C27" i="13"/>
  <c r="C26" i="13"/>
  <c r="C30" i="13" s="1"/>
  <c r="C25" i="13"/>
  <c r="C23" i="13"/>
  <c r="C59" i="12"/>
  <c r="P58" i="12"/>
  <c r="P57" i="12"/>
  <c r="P56" i="12"/>
  <c r="P55" i="12"/>
  <c r="P54" i="12"/>
  <c r="P53" i="12"/>
  <c r="P52" i="12"/>
  <c r="P51" i="12"/>
  <c r="C51" i="12"/>
  <c r="M43" i="12"/>
  <c r="D41" i="12"/>
  <c r="C41" i="12"/>
  <c r="C35" i="12"/>
  <c r="C36" i="12" s="1"/>
  <c r="B30" i="12"/>
  <c r="C27" i="12"/>
  <c r="C26" i="12"/>
  <c r="C30" i="12" s="1"/>
  <c r="C25" i="12"/>
  <c r="C23" i="12"/>
  <c r="C50" i="12" l="1"/>
  <c r="D50" i="12" s="1"/>
  <c r="E50" i="12" s="1"/>
  <c r="F50" i="12" s="1"/>
  <c r="G50" i="12" s="1"/>
  <c r="H50" i="12" s="1"/>
  <c r="I50" i="12" s="1"/>
  <c r="J50" i="12" s="1"/>
  <c r="K50" i="12" s="1"/>
  <c r="L50" i="12" s="1"/>
  <c r="E22" i="12"/>
  <c r="F22" i="12" s="1"/>
  <c r="F35" i="12" s="1"/>
  <c r="C50" i="13"/>
  <c r="C60" i="13" s="1"/>
  <c r="M41" i="12"/>
  <c r="D51" i="12"/>
  <c r="D23" i="12"/>
  <c r="D59" i="12"/>
  <c r="C24" i="12"/>
  <c r="D23" i="13"/>
  <c r="E22" i="13"/>
  <c r="D51" i="13"/>
  <c r="D59" i="13"/>
  <c r="C38" i="13"/>
  <c r="C37" i="13" s="1"/>
  <c r="D38" i="13"/>
  <c r="D37" i="13" s="1"/>
  <c r="C24" i="13"/>
  <c r="C29" i="13"/>
  <c r="C31" i="13" s="1"/>
  <c r="C38" i="12"/>
  <c r="C37" i="12" s="1"/>
  <c r="D38" i="12"/>
  <c r="D37" i="12" s="1"/>
  <c r="C29" i="12"/>
  <c r="C31" i="12" s="1"/>
  <c r="C54" i="5"/>
  <c r="F36" i="12" l="1"/>
  <c r="F38" i="12" s="1"/>
  <c r="F37" i="12" s="1"/>
  <c r="E23" i="12"/>
  <c r="G22" i="12"/>
  <c r="F23" i="12"/>
  <c r="F59" i="12"/>
  <c r="F60" i="12" s="1"/>
  <c r="E51" i="12"/>
  <c r="D60" i="12"/>
  <c r="E35" i="12"/>
  <c r="E36" i="12" s="1"/>
  <c r="E38" i="12" s="1"/>
  <c r="E37" i="12" s="1"/>
  <c r="E59" i="12"/>
  <c r="E60" i="12" s="1"/>
  <c r="F51" i="12"/>
  <c r="C60" i="12"/>
  <c r="F22" i="13"/>
  <c r="E59" i="13"/>
  <c r="E51" i="13"/>
  <c r="E23" i="13"/>
  <c r="E35" i="13"/>
  <c r="E36" i="13" s="1"/>
  <c r="E38" i="13" s="1"/>
  <c r="E37" i="13" s="1"/>
  <c r="C34" i="13"/>
  <c r="C47" i="13" s="1"/>
  <c r="C56" i="13" s="1"/>
  <c r="C33" i="13"/>
  <c r="C46" i="13" s="1"/>
  <c r="C55" i="13" s="1"/>
  <c r="D26" i="13" s="1"/>
  <c r="D50" i="13" s="1"/>
  <c r="D60" i="13" s="1"/>
  <c r="C32" i="13"/>
  <c r="C45" i="13" s="1"/>
  <c r="C49" i="13" s="1"/>
  <c r="C34" i="12"/>
  <c r="C47" i="12" s="1"/>
  <c r="C56" i="12" s="1"/>
  <c r="C33" i="12"/>
  <c r="C46" i="12" s="1"/>
  <c r="C55" i="12" s="1"/>
  <c r="D26" i="12" s="1"/>
  <c r="C32" i="12"/>
  <c r="C45" i="12" s="1"/>
  <c r="C54" i="12" s="1"/>
  <c r="C33" i="11"/>
  <c r="C32" i="11"/>
  <c r="C31" i="11"/>
  <c r="H50" i="5"/>
  <c r="I50" i="5" s="1"/>
  <c r="J50" i="5" s="1"/>
  <c r="K50" i="5" s="1"/>
  <c r="L50" i="5" s="1"/>
  <c r="G59" i="12" l="1"/>
  <c r="G60" i="12" s="1"/>
  <c r="G35" i="12"/>
  <c r="G36" i="12" s="1"/>
  <c r="G23" i="12"/>
  <c r="G51" i="12"/>
  <c r="H22" i="12"/>
  <c r="F23" i="13"/>
  <c r="F35" i="13"/>
  <c r="F36" i="13" s="1"/>
  <c r="F38" i="13" s="1"/>
  <c r="F51" i="13"/>
  <c r="G22" i="13"/>
  <c r="F59" i="13"/>
  <c r="C54" i="13"/>
  <c r="C57" i="12"/>
  <c r="D24" i="12" s="1"/>
  <c r="D25" i="12"/>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8" i="1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D23"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H35" i="12" l="1"/>
  <c r="H36" i="12" s="1"/>
  <c r="H38" i="12" s="1"/>
  <c r="H51" i="12"/>
  <c r="I22" i="12"/>
  <c r="H59" i="12"/>
  <c r="H60" i="12" s="1"/>
  <c r="H23" i="12"/>
  <c r="G38" i="12"/>
  <c r="G37" i="12" s="1"/>
  <c r="F37" i="13"/>
  <c r="H22" i="13"/>
  <c r="G23" i="13"/>
  <c r="G35" i="13"/>
  <c r="G36" i="13" s="1"/>
  <c r="G38" i="13" s="1"/>
  <c r="G59" i="13"/>
  <c r="G51" i="13"/>
  <c r="C57" i="13"/>
  <c r="D24" i="13" s="1"/>
  <c r="D29" i="13" s="1"/>
  <c r="D25" i="13"/>
  <c r="D29" i="12"/>
  <c r="D27" i="12"/>
  <c r="D30" i="12"/>
  <c r="C31" i="5"/>
  <c r="K23" i="5"/>
  <c r="L59" i="5"/>
  <c r="I51" i="5"/>
  <c r="F23" i="5"/>
  <c r="L35" i="5"/>
  <c r="K59" i="5"/>
  <c r="E23" i="5"/>
  <c r="H51" i="5"/>
  <c r="K35" i="5"/>
  <c r="J59" i="5"/>
  <c r="L23" i="5"/>
  <c r="I35" i="5"/>
  <c r="I59" i="5"/>
  <c r="G35" i="5"/>
  <c r="H59" i="5"/>
  <c r="J23" i="5"/>
  <c r="F35" i="5"/>
  <c r="G59" i="5"/>
  <c r="I23" i="5"/>
  <c r="E35" i="5"/>
  <c r="F59" i="5"/>
  <c r="H23" i="5"/>
  <c r="K51" i="5"/>
  <c r="E59" i="5"/>
  <c r="G23" i="5"/>
  <c r="J51" i="5"/>
  <c r="J35" i="5"/>
  <c r="H35" i="5"/>
  <c r="C30" i="5"/>
  <c r="D38" i="11"/>
  <c r="D37" i="11"/>
  <c r="E38" i="11"/>
  <c r="E37" i="11" s="1"/>
  <c r="F35" i="11"/>
  <c r="C24" i="11"/>
  <c r="C37" i="11"/>
  <c r="C30" i="11"/>
  <c r="C38" i="5"/>
  <c r="C37" i="5" s="1"/>
  <c r="C60" i="5"/>
  <c r="C24" i="5"/>
  <c r="H37" i="12" l="1"/>
  <c r="I35" i="12"/>
  <c r="I36" i="12" s="1"/>
  <c r="I38" i="12" s="1"/>
  <c r="J22" i="12"/>
  <c r="I51" i="12"/>
  <c r="I23" i="12"/>
  <c r="I59" i="12"/>
  <c r="I60" i="12" s="1"/>
  <c r="D31" i="12"/>
  <c r="D32" i="12" s="1"/>
  <c r="D45" i="12" s="1"/>
  <c r="D54" i="12" s="1"/>
  <c r="E25" i="12" s="1"/>
  <c r="G37" i="13"/>
  <c r="I22" i="13"/>
  <c r="H23" i="13"/>
  <c r="H51" i="13"/>
  <c r="H35" i="13"/>
  <c r="H36" i="13" s="1"/>
  <c r="H38" i="13" s="1"/>
  <c r="H37" i="13" s="1"/>
  <c r="H59" i="13"/>
  <c r="D31" i="13"/>
  <c r="D33" i="13" s="1"/>
  <c r="D46" i="13" s="1"/>
  <c r="D55" i="13" s="1"/>
  <c r="E26" i="13" s="1"/>
  <c r="E50" i="13" s="1"/>
  <c r="E60" i="13" s="1"/>
  <c r="D30" i="13"/>
  <c r="D27" i="13"/>
  <c r="C32" i="5"/>
  <c r="C33" i="5"/>
  <c r="C34" i="5"/>
  <c r="C47" i="5" s="1"/>
  <c r="C56" i="5" s="1"/>
  <c r="C46" i="5"/>
  <c r="F36" i="11"/>
  <c r="G35" i="11"/>
  <c r="C34" i="11"/>
  <c r="C47" i="11" s="1"/>
  <c r="C56" i="11" s="1"/>
  <c r="C46" i="11"/>
  <c r="C55" i="11" s="1"/>
  <c r="D26" i="11" s="1"/>
  <c r="C45" i="11"/>
  <c r="C54" i="11" s="1"/>
  <c r="I37" i="12" l="1"/>
  <c r="J23" i="12"/>
  <c r="J51" i="12"/>
  <c r="J35" i="12"/>
  <c r="J36" i="12" s="1"/>
  <c r="J38" i="12" s="1"/>
  <c r="J37" i="12" s="1"/>
  <c r="K22" i="12"/>
  <c r="J59" i="12"/>
  <c r="J60" i="12" s="1"/>
  <c r="D33" i="12"/>
  <c r="D46" i="12" s="1"/>
  <c r="D55" i="12" s="1"/>
  <c r="E26" i="12" s="1"/>
  <c r="D34" i="12"/>
  <c r="D47" i="12" s="1"/>
  <c r="D56" i="12" s="1"/>
  <c r="I35" i="13"/>
  <c r="I36" i="13" s="1"/>
  <c r="I38" i="13"/>
  <c r="I23" i="13"/>
  <c r="I59" i="13"/>
  <c r="J22" i="13"/>
  <c r="I51" i="13"/>
  <c r="D32" i="13"/>
  <c r="D45" i="13" s="1"/>
  <c r="D49" i="13" s="1"/>
  <c r="D34" i="13"/>
  <c r="D47" i="13" s="1"/>
  <c r="D56" i="13" s="1"/>
  <c r="C57" i="11"/>
  <c r="D24" i="11" s="1"/>
  <c r="D25" i="11"/>
  <c r="D50" i="11"/>
  <c r="D60" i="11" s="1"/>
  <c r="G36" i="11"/>
  <c r="H35" i="11"/>
  <c r="F38" i="11"/>
  <c r="F37" i="11"/>
  <c r="K23" i="12" l="1"/>
  <c r="K51" i="12"/>
  <c r="K59" i="12"/>
  <c r="K60" i="12" s="1"/>
  <c r="L22" i="12"/>
  <c r="K35" i="12"/>
  <c r="K36" i="12" s="1"/>
  <c r="I37" i="13"/>
  <c r="D57" i="12"/>
  <c r="E24" i="12" s="1"/>
  <c r="E27" i="12" s="1"/>
  <c r="K22" i="13"/>
  <c r="J51" i="13"/>
  <c r="J59" i="13"/>
  <c r="J35" i="13"/>
  <c r="J36" i="13" s="1"/>
  <c r="J38" i="13" s="1"/>
  <c r="J37" i="13" s="1"/>
  <c r="J23" i="13"/>
  <c r="D54" i="13"/>
  <c r="G37" i="11"/>
  <c r="G38" i="11"/>
  <c r="D30" i="11"/>
  <c r="D29" i="11"/>
  <c r="D31" i="11" s="1"/>
  <c r="D27" i="11"/>
  <c r="H36" i="11"/>
  <c r="I35" i="11"/>
  <c r="K38" i="12" l="1"/>
  <c r="K37" i="12" s="1"/>
  <c r="L23" i="12"/>
  <c r="L35" i="12"/>
  <c r="L36" i="12" s="1"/>
  <c r="L38" i="12" s="1"/>
  <c r="L37" i="12" s="1"/>
  <c r="L59" i="12"/>
  <c r="L60" i="12" s="1"/>
  <c r="L51" i="12"/>
  <c r="E29" i="12"/>
  <c r="E30" i="12"/>
  <c r="D32" i="11"/>
  <c r="D33" i="11"/>
  <c r="L22" i="13"/>
  <c r="K51" i="13"/>
  <c r="K35" i="13"/>
  <c r="K36" i="13" s="1"/>
  <c r="K38" i="13" s="1"/>
  <c r="K37" i="13" s="1"/>
  <c r="K59" i="13"/>
  <c r="K23" i="13"/>
  <c r="D57" i="13"/>
  <c r="E24" i="13" s="1"/>
  <c r="E25" i="13"/>
  <c r="D45" i="11"/>
  <c r="D54" i="11" s="1"/>
  <c r="D46" i="11"/>
  <c r="D55" i="11" s="1"/>
  <c r="E26" i="11" s="1"/>
  <c r="D34" i="11"/>
  <c r="D47" i="11" s="1"/>
  <c r="D56" i="11" s="1"/>
  <c r="I36" i="11"/>
  <c r="J35" i="11"/>
  <c r="H38" i="11"/>
  <c r="H37" i="11" s="1"/>
  <c r="E31" i="12" l="1"/>
  <c r="E33" i="12" s="1"/>
  <c r="E46" i="12" s="1"/>
  <c r="E55" i="12" s="1"/>
  <c r="F26" i="12" s="1"/>
  <c r="L23" i="13"/>
  <c r="L35" i="13"/>
  <c r="L36" i="13" s="1"/>
  <c r="L38" i="13" s="1"/>
  <c r="L37" i="13" s="1"/>
  <c r="L59" i="13"/>
  <c r="L51" i="13"/>
  <c r="E27" i="13"/>
  <c r="E29" i="13"/>
  <c r="E31" i="13" s="1"/>
  <c r="E30" i="13"/>
  <c r="E50" i="11"/>
  <c r="E60" i="11" s="1"/>
  <c r="J36" i="11"/>
  <c r="K35" i="11"/>
  <c r="I38" i="11"/>
  <c r="I37" i="11" s="1"/>
  <c r="D57" i="11"/>
  <c r="E24" i="11" s="1"/>
  <c r="E25" i="11"/>
  <c r="E34" i="12" l="1"/>
  <c r="E47" i="12" s="1"/>
  <c r="E56" i="12" s="1"/>
  <c r="E32" i="12"/>
  <c r="E45" i="12" s="1"/>
  <c r="E54" i="12" s="1"/>
  <c r="F25" i="12" s="1"/>
  <c r="E34" i="13"/>
  <c r="E47" i="13" s="1"/>
  <c r="E56" i="13" s="1"/>
  <c r="E32" i="13"/>
  <c r="E45" i="13" s="1"/>
  <c r="E49" i="13" s="1"/>
  <c r="E33" i="13"/>
  <c r="E46" i="13" s="1"/>
  <c r="E55" i="13" s="1"/>
  <c r="F26" i="13" s="1"/>
  <c r="J38" i="11"/>
  <c r="J37" i="11" s="1"/>
  <c r="E29" i="11"/>
  <c r="E31" i="11" s="1"/>
  <c r="E27" i="11"/>
  <c r="E30" i="11"/>
  <c r="L35" i="11"/>
  <c r="L36" i="11" s="1"/>
  <c r="K36" i="11"/>
  <c r="E57" i="12" l="1"/>
  <c r="F24" i="12" s="1"/>
  <c r="F27" i="12" s="1"/>
  <c r="F50" i="13"/>
  <c r="F60" i="13" s="1"/>
  <c r="E54" i="13"/>
  <c r="E32" i="11"/>
  <c r="E33" i="11"/>
  <c r="E46" i="11" s="1"/>
  <c r="E55" i="11" s="1"/>
  <c r="F26" i="11" s="1"/>
  <c r="E45" i="11"/>
  <c r="E54" i="11" s="1"/>
  <c r="K38" i="11"/>
  <c r="K37" i="11" s="1"/>
  <c r="L38" i="11"/>
  <c r="L37" i="11" s="1"/>
  <c r="E34" i="11"/>
  <c r="E47" i="11" s="1"/>
  <c r="E56" i="11" s="1"/>
  <c r="F30" i="12" l="1"/>
  <c r="F29" i="12"/>
  <c r="F31" i="12" s="1"/>
  <c r="F33" i="12" s="1"/>
  <c r="F46" i="12" s="1"/>
  <c r="F55" i="12" s="1"/>
  <c r="G26" i="12" s="1"/>
  <c r="E57" i="13"/>
  <c r="F24" i="13" s="1"/>
  <c r="F25" i="13"/>
  <c r="F25" i="11"/>
  <c r="E57" i="11"/>
  <c r="F24" i="11" s="1"/>
  <c r="F50" i="11"/>
  <c r="F60" i="11" s="1"/>
  <c r="F34" i="12" l="1"/>
  <c r="F47" i="12" s="1"/>
  <c r="F56" i="12" s="1"/>
  <c r="F32" i="12"/>
  <c r="F45" i="12" s="1"/>
  <c r="F54" i="12" s="1"/>
  <c r="G25" i="12" s="1"/>
  <c r="F27" i="13"/>
  <c r="F29" i="13"/>
  <c r="F31" i="13" s="1"/>
  <c r="F30" i="13"/>
  <c r="F29" i="11"/>
  <c r="F31" i="11" s="1"/>
  <c r="F27" i="11"/>
  <c r="F30" i="11"/>
  <c r="F57" i="12" l="1"/>
  <c r="G24" i="12" s="1"/>
  <c r="G29" i="12" s="1"/>
  <c r="F32" i="13"/>
  <c r="F45" i="13" s="1"/>
  <c r="F49" i="13" s="1"/>
  <c r="F34" i="13"/>
  <c r="F47" i="13" s="1"/>
  <c r="F56" i="13" s="1"/>
  <c r="F33" i="13"/>
  <c r="F46" i="13" s="1"/>
  <c r="F55" i="13" s="1"/>
  <c r="G26" i="13" s="1"/>
  <c r="F32" i="11"/>
  <c r="F33" i="11"/>
  <c r="F46" i="11" s="1"/>
  <c r="F55" i="11" s="1"/>
  <c r="G26" i="11" s="1"/>
  <c r="F45" i="11"/>
  <c r="F54" i="11" s="1"/>
  <c r="F34" i="11"/>
  <c r="F47" i="11" s="1"/>
  <c r="F56" i="11" s="1"/>
  <c r="G27" i="12" l="1"/>
  <c r="G30" i="12"/>
  <c r="G31" i="12" s="1"/>
  <c r="G34" i="12" s="1"/>
  <c r="G47" i="12" s="1"/>
  <c r="G56" i="12" s="1"/>
  <c r="G50" i="13"/>
  <c r="F54" i="13"/>
  <c r="G25" i="11"/>
  <c r="F57" i="11"/>
  <c r="G24" i="11" s="1"/>
  <c r="G50" i="11"/>
  <c r="G60" i="11" s="1"/>
  <c r="G32" i="12" l="1"/>
  <c r="G45" i="12" s="1"/>
  <c r="G54" i="12" s="1"/>
  <c r="G33" i="12"/>
  <c r="G46" i="12" s="1"/>
  <c r="G55" i="12" s="1"/>
  <c r="H26" i="12" s="1"/>
  <c r="F57" i="13"/>
  <c r="G24" i="13" s="1"/>
  <c r="G25" i="13"/>
  <c r="H50" i="13"/>
  <c r="G60" i="13"/>
  <c r="G27" i="11"/>
  <c r="G29" i="11"/>
  <c r="G30" i="11"/>
  <c r="G57" i="12" l="1"/>
  <c r="H24" i="12" s="1"/>
  <c r="H30" i="12" s="1"/>
  <c r="H25" i="12"/>
  <c r="I50" i="13"/>
  <c r="H60" i="13"/>
  <c r="G27" i="13"/>
  <c r="G29" i="13"/>
  <c r="G30" i="13"/>
  <c r="G31" i="11"/>
  <c r="G34" i="11" s="1"/>
  <c r="G47" i="11" s="1"/>
  <c r="G56" i="11" s="1"/>
  <c r="G31" i="13" l="1"/>
  <c r="G33" i="13" s="1"/>
  <c r="G46" i="13" s="1"/>
  <c r="G55" i="13" s="1"/>
  <c r="H26" i="13" s="1"/>
  <c r="H29" i="12"/>
  <c r="H31" i="12" s="1"/>
  <c r="H33" i="12" s="1"/>
  <c r="H46" i="12" s="1"/>
  <c r="H55" i="12" s="1"/>
  <c r="I26" i="12" s="1"/>
  <c r="H27" i="12"/>
  <c r="J50" i="13"/>
  <c r="I60" i="13"/>
  <c r="G33" i="11"/>
  <c r="G46" i="11" s="1"/>
  <c r="G55" i="11" s="1"/>
  <c r="H26" i="11" s="1"/>
  <c r="G32" i="11"/>
  <c r="G45" i="11" s="1"/>
  <c r="G54" i="11" s="1"/>
  <c r="G57" i="11" s="1"/>
  <c r="H24" i="11" s="1"/>
  <c r="H25" i="11"/>
  <c r="H50" i="11"/>
  <c r="H60" i="11" s="1"/>
  <c r="G32" i="13" l="1"/>
  <c r="G45" i="13" s="1"/>
  <c r="G49" i="13" s="1"/>
  <c r="G34" i="13"/>
  <c r="G47" i="13" s="1"/>
  <c r="G56" i="13" s="1"/>
  <c r="H32" i="12"/>
  <c r="H45" i="12" s="1"/>
  <c r="H54" i="12" s="1"/>
  <c r="I25" i="12" s="1"/>
  <c r="H34" i="12"/>
  <c r="H47" i="12" s="1"/>
  <c r="H56" i="12" s="1"/>
  <c r="K50" i="13"/>
  <c r="J60" i="13"/>
  <c r="H29" i="11"/>
  <c r="H31" i="11" s="1"/>
  <c r="H27" i="11"/>
  <c r="H30" i="11"/>
  <c r="G54" i="13" l="1"/>
  <c r="G57" i="13" s="1"/>
  <c r="H24" i="13" s="1"/>
  <c r="H57" i="12"/>
  <c r="I24" i="12" s="1"/>
  <c r="I27" i="12" s="1"/>
  <c r="L50" i="13"/>
  <c r="L60" i="13" s="1"/>
  <c r="K60" i="13"/>
  <c r="H32" i="11"/>
  <c r="H45" i="11" s="1"/>
  <c r="H54" i="11" s="1"/>
  <c r="H33" i="11"/>
  <c r="H46" i="11" s="1"/>
  <c r="H55" i="11" s="1"/>
  <c r="I26" i="11" s="1"/>
  <c r="H34" i="11"/>
  <c r="H47" i="11" s="1"/>
  <c r="H56" i="11" s="1"/>
  <c r="H25" i="13" l="1"/>
  <c r="I29" i="12"/>
  <c r="I31" i="12" s="1"/>
  <c r="I32" i="12" s="1"/>
  <c r="I45" i="12" s="1"/>
  <c r="I54" i="12" s="1"/>
  <c r="J25" i="12" s="1"/>
  <c r="I30" i="12"/>
  <c r="H27" i="13"/>
  <c r="H29" i="13"/>
  <c r="H31" i="13" s="1"/>
  <c r="H30" i="13"/>
  <c r="I50" i="11"/>
  <c r="I60" i="11" s="1"/>
  <c r="H57" i="11"/>
  <c r="I24" i="11" s="1"/>
  <c r="I25" i="11"/>
  <c r="I33" i="12" l="1"/>
  <c r="I46" i="12" s="1"/>
  <c r="I55" i="12" s="1"/>
  <c r="J26" i="12" s="1"/>
  <c r="I34" i="12"/>
  <c r="I47" i="12" s="1"/>
  <c r="I56" i="12" s="1"/>
  <c r="H32" i="13"/>
  <c r="H45" i="13" s="1"/>
  <c r="H54" i="13" s="1"/>
  <c r="H34" i="13"/>
  <c r="H47" i="13" s="1"/>
  <c r="H56" i="13" s="1"/>
  <c r="H33" i="13"/>
  <c r="H46" i="13" s="1"/>
  <c r="H55" i="13" s="1"/>
  <c r="I26" i="13" s="1"/>
  <c r="I27" i="11"/>
  <c r="I29" i="11"/>
  <c r="I30" i="11"/>
  <c r="I31" i="11" l="1"/>
  <c r="I32" i="11" s="1"/>
  <c r="I45" i="11" s="1"/>
  <c r="I54" i="11" s="1"/>
  <c r="I57" i="12"/>
  <c r="J24" i="12" s="1"/>
  <c r="J27" i="12" s="1"/>
  <c r="H57" i="13"/>
  <c r="I24" i="13" s="1"/>
  <c r="I25" i="13"/>
  <c r="I33" i="11" l="1"/>
  <c r="J29" i="12"/>
  <c r="J30" i="12"/>
  <c r="I30" i="13"/>
  <c r="I27" i="13"/>
  <c r="I29" i="13"/>
  <c r="I31" i="13" s="1"/>
  <c r="I34" i="11"/>
  <c r="I47" i="11" s="1"/>
  <c r="I56" i="11" s="1"/>
  <c r="I46" i="11"/>
  <c r="I55" i="11" s="1"/>
  <c r="J26" i="11" s="1"/>
  <c r="J50" i="11" s="1"/>
  <c r="J60" i="11" s="1"/>
  <c r="J25" i="11"/>
  <c r="J31" i="12" l="1"/>
  <c r="J32" i="12" s="1"/>
  <c r="J45" i="12" s="1"/>
  <c r="J54" i="12" s="1"/>
  <c r="K25" i="12" s="1"/>
  <c r="I32" i="13"/>
  <c r="I45" i="13" s="1"/>
  <c r="I54" i="13" s="1"/>
  <c r="I33" i="13"/>
  <c r="I46" i="13" s="1"/>
  <c r="I55" i="13" s="1"/>
  <c r="J26" i="13" s="1"/>
  <c r="I34" i="13"/>
  <c r="I47" i="13" s="1"/>
  <c r="I56" i="13" s="1"/>
  <c r="I57" i="11"/>
  <c r="J24" i="11" s="1"/>
  <c r="J27" i="11" s="1"/>
  <c r="J34" i="12" l="1"/>
  <c r="J47" i="12" s="1"/>
  <c r="J56" i="12" s="1"/>
  <c r="J33" i="12"/>
  <c r="J46" i="12" s="1"/>
  <c r="J55" i="12" s="1"/>
  <c r="K26" i="12" s="1"/>
  <c r="I57" i="13"/>
  <c r="J24" i="13" s="1"/>
  <c r="J25" i="13"/>
  <c r="J29" i="11"/>
  <c r="J30" i="11"/>
  <c r="J57" i="12" l="1"/>
  <c r="K24" i="12" s="1"/>
  <c r="K30" i="12" s="1"/>
  <c r="J27" i="13"/>
  <c r="J29" i="13"/>
  <c r="J31" i="13" s="1"/>
  <c r="J30" i="13"/>
  <c r="J31" i="11"/>
  <c r="K29" i="12" l="1"/>
  <c r="K31" i="12" s="1"/>
  <c r="K32" i="12" s="1"/>
  <c r="K45" i="12" s="1"/>
  <c r="K54" i="12" s="1"/>
  <c r="L25" i="12" s="1"/>
  <c r="K27" i="12"/>
  <c r="J32" i="13"/>
  <c r="J45" i="13" s="1"/>
  <c r="J54" i="13" s="1"/>
  <c r="J34" i="13"/>
  <c r="J47" i="13" s="1"/>
  <c r="J56" i="13" s="1"/>
  <c r="J33" i="13"/>
  <c r="J46" i="13" s="1"/>
  <c r="J55" i="13" s="1"/>
  <c r="K26" i="13" s="1"/>
  <c r="J32" i="11"/>
  <c r="J45" i="11" s="1"/>
  <c r="J54" i="11" s="1"/>
  <c r="J57" i="11" s="1"/>
  <c r="K24" i="11" s="1"/>
  <c r="J33" i="11"/>
  <c r="J46" i="11" s="1"/>
  <c r="J55" i="11" s="1"/>
  <c r="K26" i="11" s="1"/>
  <c r="K50" i="11" s="1"/>
  <c r="K60" i="11" s="1"/>
  <c r="J34" i="11"/>
  <c r="J47" i="11" s="1"/>
  <c r="J56" i="11" s="1"/>
  <c r="K29" i="11" l="1"/>
  <c r="K31" i="11" s="1"/>
  <c r="K33" i="11" s="1"/>
  <c r="K46" i="11" s="1"/>
  <c r="K55" i="11" s="1"/>
  <c r="L26" i="11" s="1"/>
  <c r="K30" i="11"/>
  <c r="K25" i="11"/>
  <c r="K33" i="12"/>
  <c r="K46" i="12" s="1"/>
  <c r="K55" i="12" s="1"/>
  <c r="L26" i="12" s="1"/>
  <c r="K34" i="12"/>
  <c r="K47" i="12" s="1"/>
  <c r="K56" i="12" s="1"/>
  <c r="J57" i="13"/>
  <c r="K24" i="13" s="1"/>
  <c r="K25" i="13"/>
  <c r="K27" i="11"/>
  <c r="K32" i="11" l="1"/>
  <c r="K45" i="11" s="1"/>
  <c r="K54" i="11" s="1"/>
  <c r="K57" i="12"/>
  <c r="L24" i="12" s="1"/>
  <c r="L27" i="12" s="1"/>
  <c r="K27" i="13"/>
  <c r="K29" i="13"/>
  <c r="K31" i="13" s="1"/>
  <c r="K30" i="13"/>
  <c r="K34" i="11"/>
  <c r="K47" i="11" s="1"/>
  <c r="K56" i="11" s="1"/>
  <c r="L50" i="11"/>
  <c r="L60" i="11" s="1"/>
  <c r="L29" i="12" l="1"/>
  <c r="L30" i="12"/>
  <c r="K32" i="13"/>
  <c r="K45" i="13" s="1"/>
  <c r="K54" i="13" s="1"/>
  <c r="K34" i="13"/>
  <c r="K47" i="13" s="1"/>
  <c r="K56" i="13" s="1"/>
  <c r="K33" i="13"/>
  <c r="K46" i="13" s="1"/>
  <c r="K55" i="13" s="1"/>
  <c r="L26" i="13" s="1"/>
  <c r="K57" i="11"/>
  <c r="L24" i="11" s="1"/>
  <c r="L30" i="11" s="1"/>
  <c r="L25" i="11"/>
  <c r="L29" i="11"/>
  <c r="L31" i="11" s="1"/>
  <c r="L31" i="12" l="1"/>
  <c r="L34" i="12" s="1"/>
  <c r="L47" i="12" s="1"/>
  <c r="L56" i="12" s="1"/>
  <c r="L25" i="13"/>
  <c r="K57" i="13"/>
  <c r="L24" i="13" s="1"/>
  <c r="L32" i="11"/>
  <c r="L33" i="11"/>
  <c r="L27" i="11"/>
  <c r="L45" i="11"/>
  <c r="L54" i="11" s="1"/>
  <c r="L32" i="12" l="1"/>
  <c r="L45" i="12" s="1"/>
  <c r="L54" i="12" s="1"/>
  <c r="L33" i="12"/>
  <c r="L46" i="12" s="1"/>
  <c r="L55" i="12" s="1"/>
  <c r="L27" i="13"/>
  <c r="L29" i="13"/>
  <c r="L31" i="13" s="1"/>
  <c r="L30" i="13"/>
  <c r="L46" i="11"/>
  <c r="L55" i="11" s="1"/>
  <c r="L34" i="11"/>
  <c r="L47" i="11" s="1"/>
  <c r="L56" i="11" s="1"/>
  <c r="L57" i="11" s="1"/>
  <c r="L57" i="12" l="1"/>
  <c r="L34" i="13"/>
  <c r="L47" i="13" s="1"/>
  <c r="L56" i="13" s="1"/>
  <c r="L33" i="13"/>
  <c r="L46" i="13" s="1"/>
  <c r="L55" i="13" s="1"/>
  <c r="L32" i="13"/>
  <c r="L45" i="13" s="1"/>
  <c r="L54" i="13" s="1"/>
  <c r="M43" i="5"/>
  <c r="L57" i="13" l="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<sst xmlns="http://schemas.openxmlformats.org/spreadsheetml/2006/main" count="437" uniqueCount="168">
  <si>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</si>
  <si>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</si>
  <si>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</si>
  <si>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</si>
  <si>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</si>
  <si>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</si>
  <si>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</si>
  <si>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</si>
  <si>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</si>
  <si>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</si>
  <si>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</si>
  <si>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</si>
  <si>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</si>
  <si>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</si>
  <si>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</si>
  <si>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</si>
  <si>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</si>
  <si>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</si>
  <si>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</si>
  <si>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</si>
  <si>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</si>
  <si>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</si>
  <si>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</si>
  <si>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</si>
  <si>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</si>
  <si>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</si>
  <si>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</si>
  <si>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</si>
  <si>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</si>
  <si>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</si>
  <si>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</si>
  <si>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</si>
  <si>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</si>
  <si>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</si>
  <si>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</si>
  <si>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</si>
  <si>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</si>
  <si>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</si>
  <si>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</si>
  <si>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</si>
  <si>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</si>
  <si>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</si>
  <si>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</si>
  <si>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</si>
  <si>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</si>
  <si>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</si>
  <si>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</si>
  <si>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</si>
  <si>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</si>
  <si>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</si>
  <si>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</si>
  <si>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</si>
  <si>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</si>
  <si>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</si>
  <si>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</si>
  <si>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</si>
  <si>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</si>
  <si>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</si>
  <si>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</si>
  <si>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</si>
  <si>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</si>
  <si>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</si>
  <si>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</si>
  <si>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</si>
  <si>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</si>
  <si>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</si>
  <si>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</si>
  <si>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</si>
  <si>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</si>
  <si>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</si>
  <si>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</si>
  <si>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</si>
  <si>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</si>
  <si>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</si>
  <si>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</si>
  <si>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</si>
  <si>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</si>
  <si>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</si>
  <si>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</si>
  <si>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</si>
  <si>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</si>
  <si>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</si>
  <si>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</si>
  <si>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</si>
  <si>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</si>
  <si>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</si>
  <si>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</si>
  <si>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</si>
  <si>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</si>
  <si>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</si>
  <si>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</si>
  <si>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</si>
  <si>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</si>
  <si>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</si>
  <si>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</si>
  <si>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</si>
  <si>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</si>
  <si>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</si>
  <si>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</si>
  <si>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</si>
  <si>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</si>
  <si>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</si>
  <si>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</si>
  <si>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</si>
  <si>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</si>
  <si>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</si>
  <si>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</si>
  <si>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</si>
  <si>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</si>
  <si>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</si>
  <si>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</si>
  <si>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</si>
  <si>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</si>
  <si>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</si>
  <si>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</si>
  <si>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</si>
  <si>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</si>
  <si>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</si>
  <si>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</si>
  <si>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</si>
  <si>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</si>
  <si>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</si>
  <si>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</si>
  <si>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</si>
  <si>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</si>
  <si>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</si>
  <si>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</si>
  <si>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</si>
  <si>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</si>
  <si>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</si>
  <si>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</si>
  <si>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</si>
  <si>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</si>
  <si>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</si>
  <si>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</si>
  <si>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</si>
  <si>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</si>
  <si>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</si>
  <si>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</si>
  <si>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</si>
  <si>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</si>
  <si>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</si>
  <si>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</si>
  <si>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</si>
  <si>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</si>
  <si>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</si>
  <si>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</si>
  <si>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</si>
  <si>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</si>
  <si>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</si>
  <si>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</si>
  <si>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</si>
  <si>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</si>
  <si>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</si>
  <si>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</si>
  <si>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</si>
  <si>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</si>
  <si>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Mellennium-LawOfRiver</t>
  </si>
  <si>
    <t>A completed role play of the Millennium Drought continuing for 10 more years following the Law of the River for all political decisions</t>
  </si>
  <si>
    <t>4.9 to 6.5 feet per year for Powell, 5.5 to 6.4 feet per year from Schmidt et al (2016); 5.7 to 6.8 in Moreo (2015)</t>
  </si>
  <si>
    <t>11.0-Trade</t>
  </si>
  <si>
    <t>11.0-LawOfRiver</t>
  </si>
  <si>
    <t>11.0-PlotUse</t>
  </si>
  <si>
    <t>11.0-PlotStorage</t>
  </si>
  <si>
    <t>Compare Upper Basin storage account balance for 11.0-Trade and 11.0-LawOfRiver</t>
  </si>
  <si>
    <t>Compare Upper Basin consumptive use for 11.0-Trade and 11.0-LawOfRiver</t>
  </si>
  <si>
    <t>A completed role play with Lee Ferry natural flow of 11.0 maf per year for 5 years following the Law of the River for all political decisions</t>
  </si>
  <si>
    <t>A completed role play with Lee Ferry natural flow of 11.0 maf per year for 5 years allowing trades between users. Trades in Years 1 through 3 earn the Upper Basin $0.5 Billion and get the Upper Basin on a path of conservation and softer landing for this severe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</si>
</sst>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5.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theme" Target="theme/theme1.xml"/><Relationship Id="rId5" Type="http://schemas.openxmlformats.org/officeDocument/2006/relationships/chartsheet" Target="chartsheets/sheet1.xml"/><Relationship Id="rId10" Type="http://schemas.openxmlformats.org/officeDocument/2006/relationships/worksheet" Target="worksheets/sheet8.xml"/><Relationship Id="rId4" Type="http://schemas.openxmlformats.org/officeDocument/2006/relationships/worksheet" Target="worksheets/sheet4.xml"/><Relationship Id="rId9" Type="http://schemas.openxmlformats.org/officeDocument/2006/relationships/worksheet" Target="worksheets/sheet7.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3.3782273122835065</c:v>
                </c:pt>
                <c:pt idx="3">
                  <c:v>2.4112853600768069</c:v>
                </c:pt>
                <c:pt idx="4">
                  <c:v>2.4079688711010352</c:v>
                </c:pt>
              </c:numCache>
            </c:numRef>
          </c:val>
          <c:smooth val="0"/>
          <c:extLst>
            <c:ext xmlns:c16="http://schemas.microsoft.com/office/drawing/2014/chart" uri="{C3380CC4-5D6E-409C-BE32-E72D297353CC}">
              <c16:uniqueId val="{00000001-907C-421E-8B9B-AB01950ECF49}"/>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3.8</c:v>
                </c:pt>
                <c:pt idx="1">
                  <c:v>3.3</c:v>
                </c:pt>
                <c:pt idx="2">
                  <c:v>2.8</c:v>
                </c:pt>
                <c:pt idx="3">
                  <c:v>2.6</c:v>
                </c:pt>
                <c:pt idx="4">
                  <c:v>2.6</c:v>
                </c:pt>
              </c:numCache>
            </c:numRef>
          </c:val>
          <c:smooth val="0"/>
          <c:extLst>
            <c:ext xmlns:c16="http://schemas.microsoft.com/office/drawing/2014/chart" uri="{C3380CC4-5D6E-409C-BE32-E72D297353CC}">
              <c16:uniqueId val="{00000000-907C-421E-8B9B-AB01950ECF4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Upper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9.0172571336493021</c:v>
                </c:pt>
                <c:pt idx="2">
                  <c:v>7.1088601682676069</c:v>
                </c:pt>
                <c:pt idx="3">
                  <c:v>6.1</c:v>
                </c:pt>
                <c:pt idx="4">
                  <c:v>6.1</c:v>
                </c:pt>
              </c:numCache>
            </c:numRef>
          </c:val>
          <c:smooth val="0"/>
          <c:extLst>
            <c:ext xmlns:c16="http://schemas.microsoft.com/office/drawing/2014/chart" uri="{C3380CC4-5D6E-409C-BE32-E72D297353CC}">
              <c16:uniqueId val="{00000000-AA87-41D4-ACEB-BA843F5ADD4F}"/>
            </c:ext>
          </c:extLst>
        </c:ser>
        <c:ser>
          <c:idx val="0"/>
          <c:order val="1"/>
          <c:tx>
            <c:v>With Trade</c:v>
          </c:tx>
          <c:spPr>
            <a:ln w="19050" cap="rnd">
              <a:solidFill>
                <a:schemeClr val="accent1"/>
              </a:solidFill>
              <a:round/>
            </a:ln>
            <a:effectLst/>
          </c:spPr>
          <c:marker>
            <c:symbol val="triang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8.9172571336493043</c:v>
                </c:pt>
                <c:pt idx="2">
                  <c:v>7.4184595445476385</c:v>
                </c:pt>
                <c:pt idx="3">
                  <c:v>6.4827904842124324</c:v>
                </c:pt>
                <c:pt idx="4">
                  <c:v>6.2890185479502954</c:v>
                </c:pt>
              </c:numCache>
            </c:numRef>
          </c:val>
          <c:smooth val="0"/>
          <c:extLst>
            <c:ext xmlns:c16="http://schemas.microsoft.com/office/drawing/2014/chart" uri="{C3380CC4-5D6E-409C-BE32-E72D297353CC}">
              <c16:uniqueId val="{00000001-AA87-41D4-ACEB-BA843F5ADD4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297EC62-A5CD-4158-9592-AC76E370FCC0}">
  <sheetPr/>
  <sheetViews>
    <sheetView zoomScale="76"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902265-0E0F-4DE3-8482-388886F7C2EB}">
  <sheetPr/>
  <sheetViews>
    <sheetView zoomScale="76"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E6436E4C-B0BC-4464-8F03-A4D705EBFC9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4B1082E2-7431-4D6E-AAE8-2E9FFC95573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abSelected="1" topLeftCell="A17" zoomScale="150" zoomScaleNormal="150" workbookViewId="0">
      <selection activeCell="M20" sqref="M20"/>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125</v>
      </c>
      <c r="B1" s="1"/>
      <c r="C1" s="2"/>
      <c r="D1"/>
    </row>
    <row r="2" spans="1:12" x14ac:dyDescent="0.35">
      <c r="A2" s="1"/>
      <c r="B2" s="1"/>
      <c r="C2" s="2"/>
      <c r="D2"/>
    </row>
    <row r="3" spans="1:12" x14ac:dyDescent="0.35">
      <c r="A3" s="1" t="s">
        <v>39</v>
      </c>
      <c r="B3" s="1"/>
      <c r="C3" s="2"/>
      <c r="D3"/>
    </row>
    <row r="4" spans="1:12" ht="164.5" customHeight="1" x14ac:dyDescent="0.35">
      <c r="A4" s="62" t="s">
        <v>118</v>
      </c>
      <c r="B4" s="62"/>
      <c r="C4" s="62"/>
      <c r="D4" s="62"/>
      <c r="E4" s="62"/>
      <c r="F4" s="62"/>
      <c r="G4" s="62"/>
      <c r="H4" s="62"/>
      <c r="I4" s="62"/>
      <c r="J4" s="62"/>
      <c r="K4" s="62"/>
      <c r="L4" s="62"/>
    </row>
    <row r="5" spans="1:12" ht="13.5" customHeight="1" x14ac:dyDescent="0.35">
      <c r="B5" s="16"/>
      <c r="C5" s="16"/>
      <c r="D5" s="16"/>
      <c r="E5" s="16"/>
      <c r="F5" s="16"/>
      <c r="G5" s="16"/>
      <c r="H5" s="16"/>
      <c r="I5" s="16"/>
      <c r="J5" s="16"/>
      <c r="K5" s="16"/>
      <c r="L5" s="16"/>
    </row>
    <row r="6" spans="1:12" ht="16.5" customHeight="1" x14ac:dyDescent="0.35">
      <c r="A6" s="53" t="s">
        <v>123</v>
      </c>
      <c r="B6" s="54"/>
      <c r="C6" s="54"/>
      <c r="D6" s="54"/>
      <c r="E6" s="54"/>
      <c r="F6" s="54"/>
      <c r="G6" s="54"/>
      <c r="H6" s="54"/>
      <c r="I6" s="54"/>
      <c r="J6" s="54"/>
      <c r="K6" s="54"/>
      <c r="L6" s="55"/>
    </row>
    <row r="7" spans="1:12" ht="16.5" customHeight="1" x14ac:dyDescent="0.35">
      <c r="A7" s="29">
        <v>1</v>
      </c>
      <c r="B7" s="56" t="s">
        <v>119</v>
      </c>
      <c r="C7" s="56"/>
      <c r="D7" s="56"/>
      <c r="E7" s="56"/>
      <c r="F7" s="56"/>
      <c r="G7" s="56"/>
      <c r="H7" s="56"/>
      <c r="I7" s="56"/>
      <c r="J7" s="56"/>
      <c r="K7" s="56"/>
      <c r="L7" s="57"/>
    </row>
    <row r="8" spans="1:12" ht="16.5" customHeight="1" x14ac:dyDescent="0.35">
      <c r="A8" s="29">
        <v>2</v>
      </c>
      <c r="B8" s="56" t="s">
        <v>99</v>
      </c>
      <c r="C8" s="56"/>
      <c r="D8" s="56"/>
      <c r="E8" s="56"/>
      <c r="F8" s="56"/>
      <c r="G8" s="56"/>
      <c r="H8" s="56"/>
      <c r="I8" s="56"/>
      <c r="J8" s="56"/>
      <c r="K8" s="56"/>
      <c r="L8" s="57"/>
    </row>
    <row r="9" spans="1:12" ht="16.5" customHeight="1" x14ac:dyDescent="0.35">
      <c r="A9" s="29">
        <v>3</v>
      </c>
      <c r="B9" s="56" t="s">
        <v>55</v>
      </c>
      <c r="C9" s="56"/>
      <c r="D9" s="56"/>
      <c r="E9" s="56"/>
      <c r="F9" s="56"/>
      <c r="G9" s="56"/>
      <c r="H9" s="56"/>
      <c r="I9" s="56"/>
      <c r="J9" s="56"/>
      <c r="K9" s="56"/>
      <c r="L9" s="57"/>
    </row>
    <row r="10" spans="1:12" ht="32.5" customHeight="1" x14ac:dyDescent="0.35">
      <c r="A10" s="29">
        <v>4</v>
      </c>
      <c r="B10" s="56" t="s">
        <v>100</v>
      </c>
      <c r="C10" s="56"/>
      <c r="D10" s="56"/>
      <c r="E10" s="56"/>
      <c r="F10" s="56"/>
      <c r="G10" s="56"/>
      <c r="H10" s="56"/>
      <c r="I10" s="56"/>
      <c r="J10" s="56"/>
      <c r="K10" s="56"/>
      <c r="L10" s="57"/>
    </row>
    <row r="11" spans="1:12" ht="16.5" customHeight="1" x14ac:dyDescent="0.35">
      <c r="A11" s="29">
        <v>5</v>
      </c>
      <c r="B11" s="56" t="s">
        <v>57</v>
      </c>
      <c r="C11" s="56"/>
      <c r="D11" s="56"/>
      <c r="E11" s="56"/>
      <c r="F11" s="56"/>
      <c r="G11" s="56"/>
      <c r="H11" s="56"/>
      <c r="I11" s="56"/>
      <c r="J11" s="56"/>
      <c r="K11" s="56"/>
      <c r="L11" s="57"/>
    </row>
    <row r="12" spans="1:12" ht="16.5" customHeight="1" x14ac:dyDescent="0.35">
      <c r="A12" s="29">
        <v>6</v>
      </c>
      <c r="B12" s="56" t="s">
        <v>58</v>
      </c>
      <c r="C12" s="56"/>
      <c r="D12" s="56"/>
      <c r="E12" s="56"/>
      <c r="F12" s="56"/>
      <c r="G12" s="56"/>
      <c r="H12" s="56"/>
      <c r="I12" s="56"/>
      <c r="J12" s="56"/>
      <c r="K12" s="56"/>
      <c r="L12" s="57"/>
    </row>
    <row r="13" spans="1:12" ht="32.5" customHeight="1" x14ac:dyDescent="0.35">
      <c r="A13" s="29">
        <v>7</v>
      </c>
      <c r="B13" s="56" t="s">
        <v>120</v>
      </c>
      <c r="C13" s="56"/>
      <c r="D13" s="56"/>
      <c r="E13" s="56"/>
      <c r="F13" s="56"/>
      <c r="G13" s="56"/>
      <c r="H13" s="56"/>
      <c r="I13" s="56"/>
      <c r="J13" s="56"/>
      <c r="K13" s="56"/>
      <c r="L13" s="57"/>
    </row>
    <row r="14" spans="1:12" ht="16.5" customHeight="1" x14ac:dyDescent="0.35">
      <c r="A14" s="29">
        <v>8</v>
      </c>
      <c r="B14" s="56" t="s">
        <v>121</v>
      </c>
      <c r="C14" s="56"/>
      <c r="D14" s="56"/>
      <c r="E14" s="56"/>
      <c r="F14" s="56"/>
      <c r="G14" s="56"/>
      <c r="H14" s="56"/>
      <c r="I14" s="56"/>
      <c r="J14" s="56"/>
      <c r="K14" s="56"/>
      <c r="L14" s="57"/>
    </row>
    <row r="15" spans="1:12" ht="16.5" customHeight="1" x14ac:dyDescent="0.35">
      <c r="A15" s="29">
        <v>9</v>
      </c>
      <c r="B15" s="56" t="s">
        <v>122</v>
      </c>
      <c r="C15" s="56"/>
      <c r="D15" s="56"/>
      <c r="E15" s="56"/>
      <c r="F15" s="56"/>
      <c r="G15" s="56"/>
      <c r="H15" s="56"/>
      <c r="I15" s="56"/>
      <c r="J15" s="56"/>
      <c r="K15" s="56"/>
      <c r="L15" s="57"/>
    </row>
    <row r="16" spans="1:12" ht="16.5" customHeight="1" x14ac:dyDescent="0.35">
      <c r="A16" s="29">
        <v>10</v>
      </c>
      <c r="B16" s="56" t="s">
        <v>59</v>
      </c>
      <c r="C16" s="56"/>
      <c r="D16" s="56"/>
      <c r="E16" s="56"/>
      <c r="F16" s="56"/>
      <c r="G16" s="56"/>
      <c r="H16" s="56"/>
      <c r="I16" s="56"/>
      <c r="J16" s="56"/>
      <c r="K16" s="56"/>
      <c r="L16" s="57"/>
    </row>
    <row r="17" spans="1:12" ht="16.5" customHeight="1" x14ac:dyDescent="0.35">
      <c r="A17" s="29">
        <v>11</v>
      </c>
      <c r="B17" s="58" t="s">
        <v>60</v>
      </c>
      <c r="C17" s="58"/>
      <c r="D17" s="58"/>
      <c r="E17" s="58"/>
      <c r="F17" s="58"/>
      <c r="G17" s="58"/>
      <c r="H17" s="58"/>
      <c r="I17" s="58"/>
      <c r="J17" s="58"/>
      <c r="K17" s="58"/>
      <c r="L17" s="59"/>
    </row>
    <row r="18" spans="1:12" ht="32" customHeight="1" x14ac:dyDescent="0.35">
      <c r="A18" s="29">
        <v>12</v>
      </c>
      <c r="B18" s="60" t="s">
        <v>108</v>
      </c>
      <c r="C18" s="60"/>
      <c r="D18" s="60"/>
      <c r="E18" s="60"/>
      <c r="F18" s="60"/>
      <c r="G18" s="60"/>
      <c r="H18" s="60"/>
      <c r="I18" s="60"/>
      <c r="J18" s="60"/>
      <c r="K18" s="60"/>
      <c r="L18" s="61"/>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160</v>
      </c>
      <c r="C22" t="s">
        <v>167</v>
      </c>
    </row>
    <row r="23" spans="1:12" x14ac:dyDescent="0.35">
      <c r="B23" s="2" t="s">
        <v>161</v>
      </c>
      <c r="C23" t="s">
        <v>166</v>
      </c>
    </row>
    <row r="24" spans="1:12" x14ac:dyDescent="0.35">
      <c r="B24" s="2" t="s">
        <v>162</v>
      </c>
      <c r="C24" t="s">
        <v>165</v>
      </c>
    </row>
    <row r="25" spans="1:12" x14ac:dyDescent="0.35">
      <c r="B25" s="2" t="s">
        <v>163</v>
      </c>
      <c r="C25" t="s">
        <v>164</v>
      </c>
    </row>
    <row r="26" spans="1:12" x14ac:dyDescent="0.35">
      <c r="B26" s="2" t="s">
        <v>157</v>
      </c>
      <c r="C26" t="s">
        <v>158</v>
      </c>
    </row>
    <row r="27" spans="1:12" x14ac:dyDescent="0.35">
      <c r="B27" s="2" t="s">
        <v>104</v>
      </c>
      <c r="C27" t="s">
        <v>105</v>
      </c>
    </row>
    <row r="28" spans="1:12" x14ac:dyDescent="0.35">
      <c r="B28" s="2" t="s">
        <v>106</v>
      </c>
      <c r="C28" t="s">
        <v>107</v>
      </c>
    </row>
    <row r="31" spans="1:12" x14ac:dyDescent="0.35">
      <c r="A31" s="1" t="s">
        <v>51</v>
      </c>
    </row>
    <row r="32" spans="1:12" ht="30.5" customHeight="1" x14ac:dyDescent="0.35">
      <c r="A32" s="52" t="s">
        <v>124</v>
      </c>
      <c r="B32" s="52"/>
      <c r="C32" s="52"/>
      <c r="D32" s="52"/>
      <c r="E32" s="52"/>
      <c r="F32" s="52"/>
      <c r="G32" s="52"/>
      <c r="H32" s="52"/>
      <c r="I32" s="52"/>
      <c r="J32" s="52"/>
      <c r="K32" s="52"/>
      <c r="L32" s="52"/>
    </row>
  </sheetData>
  <mergeCells count="15">
    <mergeCell ref="A4:L4"/>
    <mergeCell ref="B9:L9"/>
    <mergeCell ref="B11:L11"/>
    <mergeCell ref="B12:L12"/>
    <mergeCell ref="B13:L13"/>
    <mergeCell ref="A32:L32"/>
    <mergeCell ref="A6:L6"/>
    <mergeCell ref="B10:L10"/>
    <mergeCell ref="B7:L7"/>
    <mergeCell ref="B8:L8"/>
    <mergeCell ref="B14:L14"/>
    <mergeCell ref="B15:L15"/>
    <mergeCell ref="B16:L16"/>
    <mergeCell ref="B17:L17"/>
    <mergeCell ref="B18:L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26" zoomScale="150" zoomScaleNormal="150" workbookViewId="0">
      <selection activeCell="C49" sqref="C49: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3"/>
      <c r="D5" s="63"/>
      <c r="E5" s="63"/>
      <c r="F5" s="63"/>
      <c r="G5" s="63"/>
      <c r="H5" s="63"/>
    </row>
    <row r="6" spans="1:11" x14ac:dyDescent="0.35">
      <c r="A6" s="17" t="s">
        <v>41</v>
      </c>
      <c r="B6" s="13"/>
      <c r="C6" s="63"/>
      <c r="D6" s="63"/>
      <c r="E6" s="63"/>
      <c r="F6" s="63"/>
      <c r="G6" s="63"/>
      <c r="H6" s="63"/>
    </row>
    <row r="7" spans="1:11" x14ac:dyDescent="0.35">
      <c r="A7" s="17" t="s">
        <v>42</v>
      </c>
      <c r="B7" s="13"/>
      <c r="C7" s="63"/>
      <c r="D7" s="63"/>
      <c r="E7" s="63"/>
      <c r="F7" s="63"/>
      <c r="G7" s="63"/>
      <c r="H7" s="63"/>
    </row>
    <row r="8" spans="1:11" x14ac:dyDescent="0.35">
      <c r="A8" s="17" t="s">
        <v>43</v>
      </c>
      <c r="B8" s="13"/>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138</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141</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133</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134</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132</v>
      </c>
      <c r="C28"/>
    </row>
    <row r="29" spans="1:13" x14ac:dyDescent="0.35">
      <c r="A29" t="s">
        <v>130</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131</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136</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109</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110</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111</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135</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150</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151</v>
      </c>
      <c r="B48" s="1"/>
      <c r="C48" s="30"/>
      <c r="D48" s="2"/>
      <c r="E48" s="2"/>
      <c r="F48" s="2"/>
      <c r="G48" s="2"/>
      <c r="H48" s="2"/>
      <c r="I48" s="2"/>
      <c r="J48" s="2"/>
      <c r="K48" s="2"/>
      <c r="L48" s="2"/>
    </row>
    <row r="49" spans="1:18" x14ac:dyDescent="0.35">
      <c r="A49" t="s">
        <v>152</v>
      </c>
      <c r="C49" s="45"/>
      <c r="D49" s="45"/>
      <c r="E49" s="45"/>
      <c r="F49" s="45"/>
      <c r="G49" s="45"/>
      <c r="H49" s="26">
        <v>2</v>
      </c>
      <c r="I49" s="26">
        <v>2</v>
      </c>
      <c r="J49" s="26">
        <v>2</v>
      </c>
      <c r="K49" s="26">
        <v>2</v>
      </c>
      <c r="L49" s="26">
        <v>2</v>
      </c>
      <c r="N49" s="1" t="s">
        <v>144</v>
      </c>
    </row>
    <row r="50" spans="1:18" x14ac:dyDescent="0.35">
      <c r="A50" t="s">
        <v>153</v>
      </c>
      <c r="C50" s="45"/>
      <c r="D50" s="45"/>
      <c r="E50" s="45"/>
      <c r="F50" s="45"/>
      <c r="G50" s="45"/>
      <c r="H50" s="45">
        <f t="shared" ref="H50:L50" si="17">G50</f>
        <v>0</v>
      </c>
      <c r="I50" s="45">
        <f t="shared" si="17"/>
        <v>0</v>
      </c>
      <c r="J50" s="45">
        <f t="shared" si="17"/>
        <v>0</v>
      </c>
      <c r="K50" s="45">
        <f t="shared" si="17"/>
        <v>0</v>
      </c>
      <c r="L50" s="45">
        <f t="shared" si="17"/>
        <v>0</v>
      </c>
      <c r="N50" s="39" t="s">
        <v>145</v>
      </c>
      <c r="O50" s="39" t="s">
        <v>146</v>
      </c>
      <c r="P50" s="40" t="s">
        <v>147</v>
      </c>
      <c r="Q50" s="40" t="s">
        <v>148</v>
      </c>
      <c r="R50" s="39" t="s">
        <v>149</v>
      </c>
    </row>
    <row r="51" spans="1:18" x14ac:dyDescent="0.35">
      <c r="A51" t="s">
        <v>154</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155</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140</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142</v>
      </c>
      <c r="C59" s="12" t="str">
        <f>IF(C$22&lt;&gt;"",0.2,"")</f>
        <v/>
      </c>
      <c r="D59" s="12" t="str">
        <f t="shared" ref="D59:L59" si="24">IF(D$22&lt;&gt;"",0.2,"")</f>
        <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143</v>
      </c>
      <c r="C60" s="15" t="str">
        <f>IF(C$22&lt;&gt;"",C50+C59,"")</f>
        <v/>
      </c>
      <c r="D60" s="15" t="str">
        <f t="shared" ref="D60:L60" si="25">IF(D$22&lt;&gt;"",D50+D59,"")</f>
        <v/>
      </c>
      <c r="E60" s="15" t="str">
        <f t="shared" si="25"/>
        <v/>
      </c>
      <c r="F60" s="15" t="str">
        <f t="shared" si="25"/>
        <v/>
      </c>
      <c r="G60" s="15" t="str">
        <f t="shared" si="25"/>
        <v/>
      </c>
      <c r="H60" s="15">
        <f t="shared" si="25"/>
        <v>0.2</v>
      </c>
      <c r="I60" s="15">
        <f t="shared" si="25"/>
        <v>0.2</v>
      </c>
      <c r="J60" s="15">
        <f t="shared" si="25"/>
        <v>0.2</v>
      </c>
      <c r="K60" s="15">
        <f t="shared" si="25"/>
        <v>0.2</v>
      </c>
      <c r="L60" s="15">
        <f t="shared" si="25"/>
        <v>0.2</v>
      </c>
    </row>
    <row r="62" spans="1:18" x14ac:dyDescent="0.35">
      <c r="D62" s="19"/>
    </row>
  </sheetData>
  <mergeCells count="4">
    <mergeCell ref="C5:H5"/>
    <mergeCell ref="C6:H6"/>
    <mergeCell ref="C7:H7"/>
    <mergeCell ref="C8:H8"/>
  </mergeCells>
  <conditionalFormatting sqref="C49:L49">
    <cfRule type="cellIs" dxfId="89" priority="44" operator="greaterThan">
      <formula>$C$45</formula>
    </cfRule>
  </conditionalFormatting>
  <conditionalFormatting sqref="C49:F49">
    <cfRule type="cellIs" dxfId="88" priority="43" operator="greaterThan">
      <formula>$C$45</formula>
    </cfRule>
  </conditionalFormatting>
  <conditionalFormatting sqref="E49:F49">
    <cfRule type="cellIs" dxfId="87" priority="42" operator="greaterThan">
      <formula>$E$45</formula>
    </cfRule>
  </conditionalFormatting>
  <conditionalFormatting sqref="D49:F49">
    <cfRule type="cellIs" dxfId="86" priority="41" operator="greaterThan">
      <formula>$D$45</formula>
    </cfRule>
  </conditionalFormatting>
  <conditionalFormatting sqref="F49">
    <cfRule type="cellIs" dxfId="85" priority="40" operator="greaterThan">
      <formula>$F$45</formula>
    </cfRule>
  </conditionalFormatting>
  <conditionalFormatting sqref="G49">
    <cfRule type="cellIs" dxfId="84" priority="39" operator="greaterThan">
      <formula>$G$45</formula>
    </cfRule>
  </conditionalFormatting>
  <conditionalFormatting sqref="H49">
    <cfRule type="cellIs" dxfId="83" priority="38" operator="greaterThan">
      <formula>$H$45</formula>
    </cfRule>
  </conditionalFormatting>
  <conditionalFormatting sqref="I49">
    <cfRule type="cellIs" dxfId="82" priority="37" operator="greaterThan">
      <formula>$I$45</formula>
    </cfRule>
  </conditionalFormatting>
  <conditionalFormatting sqref="J49">
    <cfRule type="cellIs" dxfId="81" priority="36" operator="greaterThan">
      <formula>$J$45</formula>
    </cfRule>
  </conditionalFormatting>
  <conditionalFormatting sqref="K49">
    <cfRule type="cellIs" dxfId="80" priority="35" operator="greaterThan">
      <formula>$K$45</formula>
    </cfRule>
  </conditionalFormatting>
  <conditionalFormatting sqref="L49">
    <cfRule type="cellIs" dxfId="79" priority="34" operator="greaterThan">
      <formula>$L$45</formula>
    </cfRule>
  </conditionalFormatting>
  <conditionalFormatting sqref="H50:L50">
    <cfRule type="cellIs" dxfId="78" priority="32" operator="greaterThan">
      <formula>$D$46</formula>
    </cfRule>
  </conditionalFormatting>
  <conditionalFormatting sqref="H50">
    <cfRule type="cellIs" dxfId="77" priority="27" operator="greaterThan">
      <formula>$H$46</formula>
    </cfRule>
  </conditionalFormatting>
  <conditionalFormatting sqref="I50">
    <cfRule type="cellIs" dxfId="76" priority="26" operator="greaterThan">
      <formula>$I$46</formula>
    </cfRule>
  </conditionalFormatting>
  <conditionalFormatting sqref="J50">
    <cfRule type="cellIs" dxfId="75" priority="25" operator="greaterThan">
      <formula>$J$46</formula>
    </cfRule>
  </conditionalFormatting>
  <conditionalFormatting sqref="K50">
    <cfRule type="cellIs" dxfId="74" priority="24" operator="greaterThan">
      <formula>$K$46</formula>
    </cfRule>
  </conditionalFormatting>
  <conditionalFormatting sqref="L50">
    <cfRule type="cellIs" dxfId="73" priority="23" operator="greaterThan">
      <formula>$L$46</formula>
    </cfRule>
  </conditionalFormatting>
  <conditionalFormatting sqref="H52">
    <cfRule type="cellIs" dxfId="72" priority="17" operator="greaterThan">
      <formula>$H$47</formula>
    </cfRule>
  </conditionalFormatting>
  <conditionalFormatting sqref="I52">
    <cfRule type="cellIs" dxfId="71" priority="16" operator="greaterThan">
      <formula>$I$47</formula>
    </cfRule>
  </conditionalFormatting>
  <conditionalFormatting sqref="J52">
    <cfRule type="cellIs" dxfId="70" priority="15" operator="greaterThan">
      <formula>$J$47</formula>
    </cfRule>
  </conditionalFormatting>
  <conditionalFormatting sqref="K52">
    <cfRule type="cellIs" dxfId="69" priority="14" operator="greaterThan">
      <formula>$K$47</formula>
    </cfRule>
  </conditionalFormatting>
  <conditionalFormatting sqref="L52">
    <cfRule type="cellIs" dxfId="68" priority="13" operator="greaterThan">
      <formula>$L$47</formula>
    </cfRule>
  </conditionalFormatting>
  <conditionalFormatting sqref="C50:G50">
    <cfRule type="cellIs" dxfId="67" priority="12" operator="greaterThan">
      <formula>$C$45</formula>
    </cfRule>
  </conditionalFormatting>
  <conditionalFormatting sqref="C50:F50">
    <cfRule type="cellIs" dxfId="66" priority="11" operator="greaterThan">
      <formula>$C$45</formula>
    </cfRule>
  </conditionalFormatting>
  <conditionalFormatting sqref="E50:F50">
    <cfRule type="cellIs" dxfId="65" priority="10" operator="greaterThan">
      <formula>$E$45</formula>
    </cfRule>
  </conditionalFormatting>
  <conditionalFormatting sqref="D50:F50">
    <cfRule type="cellIs" dxfId="64" priority="9" operator="greaterThan">
      <formula>$D$45</formula>
    </cfRule>
  </conditionalFormatting>
  <conditionalFormatting sqref="F50">
    <cfRule type="cellIs" dxfId="63" priority="8" operator="greaterThan">
      <formula>$F$45</formula>
    </cfRule>
  </conditionalFormatting>
  <conditionalFormatting sqref="G50">
    <cfRule type="cellIs" dxfId="62" priority="7" operator="greaterThan">
      <formula>$G$45</formula>
    </cfRule>
  </conditionalFormatting>
  <conditionalFormatting sqref="C52:G52">
    <cfRule type="cellIs" dxfId="61" priority="6" operator="greaterThan">
      <formula>$C$45</formula>
    </cfRule>
  </conditionalFormatting>
  <conditionalFormatting sqref="C52:F52">
    <cfRule type="cellIs" dxfId="60" priority="5" operator="greaterThan">
      <formula>$C$45</formula>
    </cfRule>
  </conditionalFormatting>
  <conditionalFormatting sqref="E52:F52">
    <cfRule type="cellIs" dxfId="59" priority="4" operator="greaterThan">
      <formula>$E$45</formula>
    </cfRule>
  </conditionalFormatting>
  <conditionalFormatting sqref="D52:F52">
    <cfRule type="cellIs" dxfId="58" priority="3" operator="greaterThan">
      <formula>$D$45</formula>
    </cfRule>
  </conditionalFormatting>
  <conditionalFormatting sqref="F52">
    <cfRule type="cellIs" dxfId="57" priority="2" operator="greaterThan">
      <formula>$F$45</formula>
    </cfRule>
  </conditionalFormatting>
  <conditionalFormatting sqref="G52">
    <cfRule type="cellIs" dxfId="56"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2"/>
  <sheetViews>
    <sheetView topLeftCell="A37" zoomScale="150" zoomScaleNormal="150" workbookViewId="0">
      <selection activeCell="D50" sqref="D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19.111102320000029</v>
      </c>
      <c r="E24" s="15">
        <f t="shared" ref="E24:L24" si="3">IF(E$22&lt;&gt;"",D57,"")</f>
        <v>17.682257605000633</v>
      </c>
      <c r="F24" s="15">
        <f t="shared" si="3"/>
        <v>16.795996721501201</v>
      </c>
      <c r="G24" s="15">
        <f t="shared" si="3"/>
        <v>16.138332072001205</v>
      </c>
      <c r="H24" s="15">
        <f t="shared" si="3"/>
        <v>15.500628101901777</v>
      </c>
      <c r="I24" s="15">
        <f t="shared" si="3"/>
        <v>15.484011271901204</v>
      </c>
      <c r="J24" s="15">
        <f t="shared" si="3"/>
        <v>15.46739444190063</v>
      </c>
      <c r="K24" s="15">
        <f t="shared" si="3"/>
        <v>15.450777611900055</v>
      </c>
      <c r="L24" s="15">
        <f t="shared" si="3"/>
        <v>15.435417829300054</v>
      </c>
    </row>
    <row r="25" spans="1:13" x14ac:dyDescent="0.35">
      <c r="A25" t="s">
        <v>133</v>
      </c>
      <c r="C25" s="15">
        <f>IF(C$22&lt;&gt;"",$B$19,"")</f>
        <v>11</v>
      </c>
      <c r="D25" s="15">
        <f>IF(D22&lt;&gt;"",C54,"")</f>
        <v>8.9172571336493043</v>
      </c>
      <c r="E25" s="15">
        <f t="shared" ref="E25:L27" si="4">IF(E22&lt;&gt;"",D54,"")</f>
        <v>7.4184595445476385</v>
      </c>
      <c r="F25" s="15">
        <f t="shared" si="4"/>
        <v>6.4827904842124324</v>
      </c>
      <c r="G25" s="15">
        <f t="shared" si="4"/>
        <v>6.2890185479502954</v>
      </c>
      <c r="H25" s="15">
        <f t="shared" si="4"/>
        <v>6.0997100374240141</v>
      </c>
      <c r="I25" s="15">
        <f t="shared" si="4"/>
        <v>6.5153741465265966</v>
      </c>
      <c r="J25" s="15">
        <f t="shared" si="4"/>
        <v>6.9078717247423267</v>
      </c>
      <c r="K25" s="15">
        <f t="shared" si="4"/>
        <v>7.2784255226769599</v>
      </c>
      <c r="L25" s="15">
        <f t="shared" si="4"/>
        <v>7.6287871582406748</v>
      </c>
    </row>
    <row r="26" spans="1:13" x14ac:dyDescent="0.35">
      <c r="A26" t="s">
        <v>134</v>
      </c>
      <c r="C26" s="15">
        <f>IF(C$22&lt;&gt;"",$C$19,"")</f>
        <v>10.1</v>
      </c>
      <c r="D26" s="15">
        <f>IF(D23&lt;&gt;"",C55,"")</f>
        <v>10.193845186350726</v>
      </c>
      <c r="E26" s="15">
        <f t="shared" si="4"/>
        <v>10.263798060452993</v>
      </c>
      <c r="F26" s="15">
        <f t="shared" si="4"/>
        <v>10.313206237288769</v>
      </c>
      <c r="G26" s="15">
        <f t="shared" si="4"/>
        <v>9.849313524050908</v>
      </c>
      <c r="H26" s="15">
        <f t="shared" si="4"/>
        <v>9.4009180644777626</v>
      </c>
      <c r="I26" s="15">
        <f t="shared" si="4"/>
        <v>8.9686371253746078</v>
      </c>
      <c r="J26" s="15">
        <f t="shared" si="4"/>
        <v>8.5595227171583037</v>
      </c>
      <c r="K26" s="15">
        <f t="shared" si="4"/>
        <v>8.1723520892230948</v>
      </c>
      <c r="L26" s="15">
        <f t="shared" si="4"/>
        <v>7.8066306710593789</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9.5555511600000145</v>
      </c>
      <c r="E29" s="15">
        <f t="shared" si="5"/>
        <v>8.8411288025003163</v>
      </c>
      <c r="F29" s="15">
        <f t="shared" si="5"/>
        <v>8.3979983607506004</v>
      </c>
      <c r="G29" s="15">
        <f t="shared" si="5"/>
        <v>8.0691660360006026</v>
      </c>
      <c r="H29" s="15">
        <f t="shared" si="5"/>
        <v>7.7503140509508883</v>
      </c>
      <c r="I29" s="15">
        <f t="shared" si="5"/>
        <v>7.7420056359506022</v>
      </c>
      <c r="J29" s="15">
        <f t="shared" si="5"/>
        <v>7.7336972209503152</v>
      </c>
      <c r="K29" s="15">
        <f t="shared" si="5"/>
        <v>7.7253888059500273</v>
      </c>
      <c r="L29" s="15">
        <f t="shared" si="5"/>
        <v>7.7177089146500268</v>
      </c>
    </row>
    <row r="30" spans="1:13" x14ac:dyDescent="0.35">
      <c r="A30" t="s">
        <v>131</v>
      </c>
      <c r="B30" s="37">
        <f>1-B29</f>
        <v>0.5</v>
      </c>
      <c r="C30" s="15">
        <f>C26</f>
        <v>10.1</v>
      </c>
      <c r="D30" s="15">
        <f t="shared" si="5"/>
        <v>9.5555511600000145</v>
      </c>
      <c r="E30" s="15">
        <f t="shared" si="5"/>
        <v>8.8411288025003163</v>
      </c>
      <c r="F30" s="15">
        <f t="shared" si="5"/>
        <v>8.3979983607506004</v>
      </c>
      <c r="G30" s="15">
        <f t="shared" si="5"/>
        <v>8.0691660360006026</v>
      </c>
      <c r="H30" s="15">
        <f t="shared" si="5"/>
        <v>7.7503140509508883</v>
      </c>
      <c r="I30" s="15">
        <f t="shared" si="5"/>
        <v>7.7420056359506022</v>
      </c>
      <c r="J30" s="15">
        <f t="shared" si="5"/>
        <v>7.7336972209503152</v>
      </c>
      <c r="K30" s="15">
        <f t="shared" si="5"/>
        <v>7.7253888059500273</v>
      </c>
      <c r="L30" s="15">
        <f t="shared" si="5"/>
        <v>7.7177089146500268</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0.96184471499940005</v>
      </c>
      <c r="E31" s="15">
        <f>IF(E$22&lt;&gt;"",VLOOKUP(E29*1000000,'Powell-Elevation-Area'!$B$5:$D$689,3)*$B$18/1000000 + VLOOKUP(E30*1000000,'Mead-Elevation-Area'!$B$5:$D$676,3)*$C$18/1000000,"")</f>
        <v>0.91926088349942692</v>
      </c>
      <c r="F31" s="15">
        <f>IF(F$22&lt;&gt;"",VLOOKUP(F29*1000000,'Powell-Elevation-Area'!$B$5:$D$689,3)*$B$18/1000000 + VLOOKUP(F30*1000000,'Mead-Elevation-Area'!$B$5:$D$676,3)*$C$18/1000000,"")</f>
        <v>0.89066464949999991</v>
      </c>
      <c r="G31" s="15">
        <f>IF(G$22&lt;&gt;"",VLOOKUP(G29*1000000,'Powell-Elevation-Area'!$B$5:$D$689,3)*$B$18/1000000 + VLOOKUP(G30*1000000,'Mead-Elevation-Area'!$B$5:$D$676,3)*$C$18/1000000,"")</f>
        <v>0.87070397009942702</v>
      </c>
      <c r="H31" s="15">
        <f>IF(H$22&lt;&gt;"",VLOOKUP(H29*1000000,'Powell-Elevation-Area'!$B$5:$D$689,3)*$B$18/1000000 + VLOOKUP(H30*1000000,'Mead-Elevation-Area'!$B$5:$D$676,3)*$C$18/1000000,"")</f>
        <v>0.84961683000057309</v>
      </c>
      <c r="I31" s="15">
        <f>IF(I$22&lt;&gt;"",VLOOKUP(I29*1000000,'Powell-Elevation-Area'!$B$5:$D$689,3)*$B$18/1000000 + VLOOKUP(I30*1000000,'Mead-Elevation-Area'!$B$5:$D$676,3)*$C$18/1000000,"")</f>
        <v>0.84961683000057309</v>
      </c>
      <c r="J31" s="15">
        <f>IF(J$22&lt;&gt;"",VLOOKUP(J29*1000000,'Powell-Elevation-Area'!$B$5:$D$689,3)*$B$18/1000000 + VLOOKUP(J30*1000000,'Mead-Elevation-Area'!$B$5:$D$676,3)*$C$18/1000000,"")</f>
        <v>0.84961683000057309</v>
      </c>
      <c r="K31" s="15">
        <f>IF(K$22&lt;&gt;"",VLOOKUP(K29*1000000,'Powell-Elevation-Area'!$B$5:$D$689,3)*$B$18/1000000 + VLOOKUP(K30*1000000,'Mead-Elevation-Area'!$B$5:$D$676,3)*$C$18/1000000,"")</f>
        <v>0.8483597826</v>
      </c>
      <c r="L31" s="15">
        <f>IF(L$22&lt;&gt;"",VLOOKUP(L29*1000000,'Powell-Elevation-Area'!$B$5:$D$689,3)*$B$18/1000000 + VLOOKUP(L30*1000000,'Mead-Elevation-Area'!$B$5:$D$676,3)*$C$18/1000000,"")</f>
        <v>0.84724978260060002</v>
      </c>
    </row>
    <row r="32" spans="1:13" x14ac:dyDescent="0.35">
      <c r="A32" t="s">
        <v>109</v>
      </c>
      <c r="B32" s="1"/>
      <c r="C32" s="15">
        <f>IF(C$22&lt;&gt;"",C$31*C25/C$24,"")</f>
        <v>0.5327428663506969</v>
      </c>
      <c r="D32" s="15">
        <f t="shared" ref="D32:L34" si="6">IF(D$22&lt;&gt;"",D$31*D25/D$24,"")</f>
        <v>0.44879758910166673</v>
      </c>
      <c r="E32" s="15">
        <f t="shared" si="6"/>
        <v>0.38566906033520454</v>
      </c>
      <c r="F32" s="15">
        <f t="shared" si="6"/>
        <v>0.3437719362621387</v>
      </c>
      <c r="G32" s="15">
        <f t="shared" si="6"/>
        <v>0.33930851052628203</v>
      </c>
      <c r="H32" s="15">
        <f t="shared" si="6"/>
        <v>0.334335890897417</v>
      </c>
      <c r="I32" s="15">
        <f t="shared" si="6"/>
        <v>0.35750242178427005</v>
      </c>
      <c r="J32" s="15">
        <f t="shared" si="6"/>
        <v>0.37944620206536739</v>
      </c>
      <c r="K32" s="15">
        <f t="shared" si="6"/>
        <v>0.39963836443628564</v>
      </c>
      <c r="L32" s="15">
        <f t="shared" si="6"/>
        <v>0.41874397783106587</v>
      </c>
    </row>
    <row r="33" spans="1:13" x14ac:dyDescent="0.35">
      <c r="A33" t="s">
        <v>110</v>
      </c>
      <c r="B33" s="1"/>
      <c r="C33" s="15">
        <f>IF(C$22&lt;&gt;"",C$31*C26/C$24,"")</f>
        <v>0.48915481364927621</v>
      </c>
      <c r="D33" s="15">
        <f t="shared" si="6"/>
        <v>0.51304712589773338</v>
      </c>
      <c r="E33" s="15">
        <f t="shared" si="6"/>
        <v>0.53359182316422227</v>
      </c>
      <c r="F33" s="15">
        <f t="shared" si="6"/>
        <v>0.54689271323786126</v>
      </c>
      <c r="G33" s="15">
        <f t="shared" si="6"/>
        <v>0.53139545957314493</v>
      </c>
      <c r="H33" s="15">
        <f t="shared" si="6"/>
        <v>0.51528093910315609</v>
      </c>
      <c r="I33" s="15">
        <f t="shared" si="6"/>
        <v>0.49211440821630298</v>
      </c>
      <c r="J33" s="15">
        <f t="shared" si="6"/>
        <v>0.47017062793520575</v>
      </c>
      <c r="K33" s="15">
        <f t="shared" si="6"/>
        <v>0.44872141816371436</v>
      </c>
      <c r="L33" s="15">
        <f t="shared" si="6"/>
        <v>0.42850580476953415</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10.25</v>
      </c>
      <c r="D36" s="15">
        <f t="shared" ref="D36:L36" si="8">IF(D$22&lt;&gt;"",D22-D35/2,"")</f>
        <v>10.25</v>
      </c>
      <c r="E36" s="15">
        <f t="shared" si="8"/>
        <v>10.25</v>
      </c>
      <c r="F36" s="15">
        <f t="shared" si="8"/>
        <v>10.25</v>
      </c>
      <c r="G36" s="15">
        <f t="shared" si="8"/>
        <v>10.25</v>
      </c>
      <c r="H36" s="15">
        <f t="shared" si="8"/>
        <v>10.25</v>
      </c>
      <c r="I36" s="15">
        <f t="shared" si="8"/>
        <v>10.25</v>
      </c>
      <c r="J36" s="15">
        <f t="shared" si="8"/>
        <v>10.25</v>
      </c>
      <c r="K36" s="15">
        <f t="shared" si="8"/>
        <v>10.25</v>
      </c>
      <c r="L36" s="15">
        <f t="shared" si="8"/>
        <v>10.25</v>
      </c>
    </row>
    <row r="37" spans="1:13" x14ac:dyDescent="0.35">
      <c r="A37" t="s">
        <v>0</v>
      </c>
      <c r="B37" s="25"/>
      <c r="C37" s="15">
        <f>IF(C22&lt;&gt;"",MAX(0,C36-C38),"")</f>
        <v>2.75</v>
      </c>
      <c r="D37" s="15">
        <f t="shared" ref="D37:L37" si="9">IF(D22&lt;&gt;"",MAX(0,D36-D38),"")</f>
        <v>2.75</v>
      </c>
      <c r="E37" s="15">
        <f t="shared" si="9"/>
        <v>2.75</v>
      </c>
      <c r="F37" s="15">
        <f t="shared" si="9"/>
        <v>2.75</v>
      </c>
      <c r="G37" s="15">
        <f t="shared" si="9"/>
        <v>2.75</v>
      </c>
      <c r="H37" s="15">
        <f t="shared" si="9"/>
        <v>2.75</v>
      </c>
      <c r="I37" s="15">
        <f t="shared" si="9"/>
        <v>2.75</v>
      </c>
      <c r="J37" s="15">
        <f t="shared" si="9"/>
        <v>2.75</v>
      </c>
      <c r="K37" s="15">
        <f t="shared" si="9"/>
        <v>2.75</v>
      </c>
      <c r="L37" s="15">
        <f t="shared" si="9"/>
        <v>2.75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v>0.5</v>
      </c>
      <c r="D40" s="26">
        <v>0.5</v>
      </c>
      <c r="E40" s="26">
        <v>0.5</v>
      </c>
      <c r="F40" s="26"/>
      <c r="G40" s="26"/>
      <c r="H40" s="26"/>
      <c r="I40" s="26"/>
      <c r="J40" s="26"/>
      <c r="K40" s="26"/>
      <c r="L40" s="26"/>
    </row>
    <row r="41" spans="1:13" x14ac:dyDescent="0.35">
      <c r="A41" s="33" t="s">
        <v>113</v>
      </c>
      <c r="B41" s="1"/>
      <c r="C41" s="32">
        <f>350*C40</f>
        <v>175</v>
      </c>
      <c r="D41" s="32">
        <f>350*D40</f>
        <v>175</v>
      </c>
      <c r="E41" s="32">
        <f t="shared" ref="E41:G41" si="11">350*E40</f>
        <v>175</v>
      </c>
      <c r="F41" s="32">
        <f t="shared" si="11"/>
        <v>0</v>
      </c>
      <c r="G41" s="32">
        <f t="shared" si="11"/>
        <v>0</v>
      </c>
      <c r="H41" s="32"/>
      <c r="I41" s="32"/>
      <c r="J41" s="32"/>
      <c r="K41" s="32"/>
      <c r="L41" s="32"/>
      <c r="M41" s="34">
        <f>SUM(C41:L41)</f>
        <v>525</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12.717257133649303</v>
      </c>
      <c r="D45" s="15">
        <f t="shared" ref="D45:L45" si="12">IF(D$22&lt;&gt;"",D25+D37-D32-D40,"")</f>
        <v>10.718459544547638</v>
      </c>
      <c r="E45" s="15">
        <f t="shared" si="12"/>
        <v>9.2827904842124322</v>
      </c>
      <c r="F45" s="15">
        <f>IF(F$22&lt;&gt;"",F25+F37-F32-F40,"")</f>
        <v>8.889018547950295</v>
      </c>
      <c r="G45" s="15">
        <f t="shared" si="12"/>
        <v>8.6997100374240137</v>
      </c>
      <c r="H45" s="15">
        <f t="shared" si="12"/>
        <v>8.5153741465265966</v>
      </c>
      <c r="I45" s="15">
        <f t="shared" si="12"/>
        <v>8.9078717247423267</v>
      </c>
      <c r="J45" s="15">
        <f t="shared" si="12"/>
        <v>9.2784255226769599</v>
      </c>
      <c r="K45" s="15">
        <f t="shared" si="12"/>
        <v>9.6287871582406748</v>
      </c>
      <c r="L45" s="15">
        <f t="shared" si="12"/>
        <v>9.9600431804096097</v>
      </c>
    </row>
    <row r="46" spans="1:13" x14ac:dyDescent="0.35">
      <c r="A46" t="s">
        <v>3</v>
      </c>
      <c r="C46" s="15">
        <f>IF(C$22&lt;&gt;"",C26+C38-C33+C40+C42+C23-C35/2,"")</f>
        <v>17.660845186350727</v>
      </c>
      <c r="D46" s="15">
        <f t="shared" ref="D46:L46" si="13">IF(D$22&lt;&gt;"",D26+D38-D33+D40+D42+D23-D35/2,"")</f>
        <v>17.730798060452994</v>
      </c>
      <c r="E46" s="15">
        <f t="shared" si="13"/>
        <v>17.78020623728877</v>
      </c>
      <c r="F46" s="15">
        <f t="shared" si="13"/>
        <v>17.316313524050909</v>
      </c>
      <c r="G46" s="15">
        <f t="shared" si="13"/>
        <v>16.867918064477763</v>
      </c>
      <c r="H46" s="15">
        <f t="shared" si="13"/>
        <v>16.435637125374608</v>
      </c>
      <c r="I46" s="15">
        <f t="shared" si="13"/>
        <v>16.026522717158304</v>
      </c>
      <c r="J46" s="15">
        <f t="shared" si="13"/>
        <v>15.639352089223095</v>
      </c>
      <c r="K46" s="15">
        <f t="shared" si="13"/>
        <v>15.273630671059379</v>
      </c>
      <c r="L46" s="15">
        <f t="shared" si="13"/>
        <v>14.928124866289846</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45">
        <v>3.8</v>
      </c>
      <c r="D49" s="45">
        <v>3.3</v>
      </c>
      <c r="E49" s="45">
        <v>2.8</v>
      </c>
      <c r="F49" s="45">
        <v>2.6</v>
      </c>
      <c r="G49" s="45">
        <v>2.6</v>
      </c>
      <c r="H49" s="26">
        <v>2</v>
      </c>
      <c r="I49" s="26">
        <v>2</v>
      </c>
      <c r="J49" s="26">
        <v>2</v>
      </c>
      <c r="K49" s="26">
        <v>2</v>
      </c>
      <c r="L49" s="26">
        <v>2</v>
      </c>
      <c r="N49" s="1" t="s">
        <v>144</v>
      </c>
    </row>
    <row r="50" spans="1:18" x14ac:dyDescent="0.35">
      <c r="A50" t="s">
        <v>153</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45">
        <v>1.5</v>
      </c>
      <c r="D52" s="45">
        <v>1.5</v>
      </c>
      <c r="E52" s="45">
        <v>1.5</v>
      </c>
      <c r="F52" s="45">
        <v>1.5</v>
      </c>
      <c r="G52" s="45">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8.9172571336493043</v>
      </c>
      <c r="D54" s="15">
        <f t="shared" ref="D54:L54" si="18">IF(D$22&lt;&gt;"",D45-D49,"")</f>
        <v>7.4184595445476385</v>
      </c>
      <c r="E54" s="15">
        <f t="shared" si="18"/>
        <v>6.4827904842124324</v>
      </c>
      <c r="F54" s="15">
        <f t="shared" si="18"/>
        <v>6.2890185479502954</v>
      </c>
      <c r="G54" s="15">
        <f t="shared" si="18"/>
        <v>6.0997100374240141</v>
      </c>
      <c r="H54" s="15">
        <f t="shared" si="18"/>
        <v>6.5153741465265966</v>
      </c>
      <c r="I54" s="15">
        <f t="shared" si="18"/>
        <v>6.9078717247423267</v>
      </c>
      <c r="J54" s="15">
        <f t="shared" si="18"/>
        <v>7.2784255226769599</v>
      </c>
      <c r="K54" s="15">
        <f t="shared" si="18"/>
        <v>7.6287871582406748</v>
      </c>
      <c r="L54" s="15">
        <f t="shared" si="18"/>
        <v>7.9600431804096097</v>
      </c>
      <c r="N54" s="41">
        <v>1040</v>
      </c>
      <c r="O54" s="42">
        <v>6.977665</v>
      </c>
      <c r="P54" s="43">
        <f t="shared" si="17"/>
        <v>1.0169999999999999</v>
      </c>
      <c r="Q54" s="44">
        <v>7.0000000000000007E-2</v>
      </c>
      <c r="R54" s="43">
        <v>1.087</v>
      </c>
    </row>
    <row r="55" spans="1:18" x14ac:dyDescent="0.35">
      <c r="A55" t="s">
        <v>3</v>
      </c>
      <c r="C55" s="15">
        <f>IF(C$22&lt;&gt;"",C46-C50-C51,"")</f>
        <v>10.193845186350726</v>
      </c>
      <c r="D55" s="15">
        <f t="shared" ref="D55:L55" si="19">IF(D$22&lt;&gt;"",D46-D50-D51,"")</f>
        <v>10.263798060452993</v>
      </c>
      <c r="E55" s="15">
        <f t="shared" si="19"/>
        <v>10.313206237288769</v>
      </c>
      <c r="F55" s="15">
        <f t="shared" si="19"/>
        <v>9.849313524050908</v>
      </c>
      <c r="G55" s="15">
        <f t="shared" si="19"/>
        <v>9.4009180644777626</v>
      </c>
      <c r="H55" s="15">
        <f t="shared" si="19"/>
        <v>8.9686371253746078</v>
      </c>
      <c r="I55" s="15">
        <f t="shared" si="19"/>
        <v>8.5595227171583037</v>
      </c>
      <c r="J55" s="15">
        <f t="shared" si="19"/>
        <v>8.1723520892230948</v>
      </c>
      <c r="K55" s="15">
        <f t="shared" si="19"/>
        <v>7.8066306710593789</v>
      </c>
      <c r="L55" s="15">
        <f t="shared" si="19"/>
        <v>7.4611248662898451</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19.111102320000029</v>
      </c>
      <c r="D57" s="15">
        <f t="shared" ref="D57:L57" si="21">IF(D$22&lt;&gt;"",SUM(D54:D56),"")</f>
        <v>17.682257605000633</v>
      </c>
      <c r="E57" s="15">
        <f t="shared" si="21"/>
        <v>16.795996721501201</v>
      </c>
      <c r="F57" s="15">
        <f t="shared" si="21"/>
        <v>16.138332072001205</v>
      </c>
      <c r="G57" s="15">
        <f t="shared" si="21"/>
        <v>15.500628101901777</v>
      </c>
      <c r="H57" s="15">
        <f t="shared" si="21"/>
        <v>15.484011271901204</v>
      </c>
      <c r="I57" s="15">
        <f t="shared" si="21"/>
        <v>15.46739444190063</v>
      </c>
      <c r="J57" s="15">
        <f t="shared" si="21"/>
        <v>15.450777611900055</v>
      </c>
      <c r="K57" s="15">
        <f t="shared" si="21"/>
        <v>15.435417829300054</v>
      </c>
      <c r="L57" s="15">
        <f t="shared" si="21"/>
        <v>15.421168046699455</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143</v>
      </c>
      <c r="C60" s="15">
        <f>IF(C$22&lt;&gt;"",C50+C59,"")</f>
        <v>7.0670000000000002</v>
      </c>
      <c r="D60" s="15">
        <f t="shared" ref="D60:L60" si="23">IF(D$22&lt;&gt;"",D50+D59,"")</f>
        <v>7.0670000000000002</v>
      </c>
      <c r="E60" s="15">
        <f t="shared" si="23"/>
        <v>7.0670000000000002</v>
      </c>
      <c r="F60" s="15">
        <f t="shared" si="23"/>
        <v>7.0670000000000002</v>
      </c>
      <c r="G60" s="15">
        <f t="shared" si="23"/>
        <v>7.0670000000000002</v>
      </c>
      <c r="H60" s="15">
        <f t="shared" si="23"/>
        <v>7.0670000000000002</v>
      </c>
      <c r="I60" s="15">
        <f t="shared" si="23"/>
        <v>7.0670000000000002</v>
      </c>
      <c r="J60" s="15">
        <f t="shared" si="23"/>
        <v>7.0670000000000002</v>
      </c>
      <c r="K60" s="15">
        <f t="shared" si="23"/>
        <v>7.0670000000000002</v>
      </c>
      <c r="L60" s="15">
        <f t="shared" si="23"/>
        <v>7.0670000000000002</v>
      </c>
    </row>
    <row r="62" spans="1:18" x14ac:dyDescent="0.35">
      <c r="D62" s="19"/>
    </row>
  </sheetData>
  <mergeCells count="4">
    <mergeCell ref="C5:H5"/>
    <mergeCell ref="C6:H6"/>
    <mergeCell ref="C7:H7"/>
    <mergeCell ref="C8:H8"/>
  </mergeCells>
  <conditionalFormatting sqref="C49:L49">
    <cfRule type="cellIs" dxfId="55" priority="32" operator="greaterThan">
      <formula>$C$45</formula>
    </cfRule>
  </conditionalFormatting>
  <conditionalFormatting sqref="C49:F49">
    <cfRule type="cellIs" dxfId="54" priority="31" operator="greaterThan">
      <formula>$C$45</formula>
    </cfRule>
  </conditionalFormatting>
  <conditionalFormatting sqref="E49:F49">
    <cfRule type="cellIs" dxfId="53" priority="30" operator="greaterThan">
      <formula>$E$45</formula>
    </cfRule>
  </conditionalFormatting>
  <conditionalFormatting sqref="D49:F49">
    <cfRule type="cellIs" dxfId="52" priority="29" operator="greaterThan">
      <formula>$D$45</formula>
    </cfRule>
  </conditionalFormatting>
  <conditionalFormatting sqref="F49">
    <cfRule type="cellIs" dxfId="51" priority="28" operator="greaterThan">
      <formula>$F$45</formula>
    </cfRule>
  </conditionalFormatting>
  <conditionalFormatting sqref="G49">
    <cfRule type="cellIs" dxfId="50" priority="27" operator="greaterThan">
      <formula>$G$45</formula>
    </cfRule>
  </conditionalFormatting>
  <conditionalFormatting sqref="H49">
    <cfRule type="cellIs" dxfId="49" priority="26" operator="greaterThan">
      <formula>$H$45</formula>
    </cfRule>
  </conditionalFormatting>
  <conditionalFormatting sqref="I49">
    <cfRule type="cellIs" dxfId="48" priority="25" operator="greaterThan">
      <formula>$I$45</formula>
    </cfRule>
  </conditionalFormatting>
  <conditionalFormatting sqref="J49">
    <cfRule type="cellIs" dxfId="47" priority="24" operator="greaterThan">
      <formula>$J$45</formula>
    </cfRule>
  </conditionalFormatting>
  <conditionalFormatting sqref="K49">
    <cfRule type="cellIs" dxfId="46" priority="23" operator="greaterThan">
      <formula>$K$45</formula>
    </cfRule>
  </conditionalFormatting>
  <conditionalFormatting sqref="L49">
    <cfRule type="cellIs" dxfId="45" priority="22" operator="greaterThan">
      <formula>$L$45</formula>
    </cfRule>
  </conditionalFormatting>
  <conditionalFormatting sqref="C50">
    <cfRule type="cellIs" dxfId="44" priority="21" operator="greaterThan">
      <formula>$C$46</formula>
    </cfRule>
  </conditionalFormatting>
  <conditionalFormatting sqref="D50:L50">
    <cfRule type="cellIs" dxfId="43" priority="20" operator="greaterThan">
      <formula>$D$46</formula>
    </cfRule>
  </conditionalFormatting>
  <conditionalFormatting sqref="E50">
    <cfRule type="cellIs" dxfId="42" priority="19" operator="greaterThan">
      <formula>$E$46</formula>
    </cfRule>
  </conditionalFormatting>
  <conditionalFormatting sqref="F50">
    <cfRule type="cellIs" dxfId="41" priority="18" operator="greaterThan">
      <formula>$F$46</formula>
    </cfRule>
  </conditionalFormatting>
  <conditionalFormatting sqref="G50">
    <cfRule type="cellIs" dxfId="40" priority="16" operator="greaterThan">
      <formula>$G$46</formula>
    </cfRule>
    <cfRule type="cellIs" dxfId="39" priority="17" operator="greaterThan">
      <formula>$G$46</formula>
    </cfRule>
  </conditionalFormatting>
  <conditionalFormatting sqref="H50">
    <cfRule type="cellIs" dxfId="38" priority="15" operator="greaterThan">
      <formula>$H$46</formula>
    </cfRule>
  </conditionalFormatting>
  <conditionalFormatting sqref="I50">
    <cfRule type="cellIs" dxfId="37" priority="14" operator="greaterThan">
      <formula>$I$46</formula>
    </cfRule>
  </conditionalFormatting>
  <conditionalFormatting sqref="J50">
    <cfRule type="cellIs" dxfId="36" priority="13" operator="greaterThan">
      <formula>$J$46</formula>
    </cfRule>
  </conditionalFormatting>
  <conditionalFormatting sqref="K50">
    <cfRule type="cellIs" dxfId="35" priority="12" operator="greaterThan">
      <formula>$K$46</formula>
    </cfRule>
  </conditionalFormatting>
  <conditionalFormatting sqref="L50">
    <cfRule type="cellIs" dxfId="34" priority="11" operator="greaterThan">
      <formula>$L$46</formula>
    </cfRule>
  </conditionalFormatting>
  <conditionalFormatting sqref="C52">
    <cfRule type="cellIs" dxfId="33" priority="10" operator="greaterThan">
      <formula>$C$47</formula>
    </cfRule>
  </conditionalFormatting>
  <conditionalFormatting sqref="D52">
    <cfRule type="cellIs" dxfId="32" priority="9" operator="greaterThan">
      <formula>$D$47</formula>
    </cfRule>
  </conditionalFormatting>
  <conditionalFormatting sqref="E52">
    <cfRule type="cellIs" dxfId="31" priority="8" operator="greaterThan">
      <formula>$E$47</formula>
    </cfRule>
  </conditionalFormatting>
  <conditionalFormatting sqref="F52">
    <cfRule type="cellIs" dxfId="30" priority="7" operator="greaterThan">
      <formula>$F$47</formula>
    </cfRule>
  </conditionalFormatting>
  <conditionalFormatting sqref="G52">
    <cfRule type="cellIs" dxfId="29" priority="6" operator="greaterThan">
      <formula>$G$47</formula>
    </cfRule>
  </conditionalFormatting>
  <conditionalFormatting sqref="H52">
    <cfRule type="cellIs" dxfId="28" priority="5" operator="greaterThan">
      <formula>$H$47</formula>
    </cfRule>
  </conditionalFormatting>
  <conditionalFormatting sqref="I52">
    <cfRule type="cellIs" dxfId="27" priority="4" operator="greaterThan">
      <formula>$I$47</formula>
    </cfRule>
  </conditionalFormatting>
  <conditionalFormatting sqref="J52">
    <cfRule type="cellIs" dxfId="26" priority="3" operator="greaterThan">
      <formula>$J$47</formula>
    </cfRule>
  </conditionalFormatting>
  <conditionalFormatting sqref="K52">
    <cfRule type="cellIs" dxfId="25" priority="2" operator="greaterThan">
      <formula>$K$47</formula>
    </cfRule>
  </conditionalFormatting>
  <conditionalFormatting sqref="L52">
    <cfRule type="cellIs" dxfId="24" priority="1" operator="greaterThan">
      <formula>$L$47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2"/>
  <sheetViews>
    <sheetView topLeftCell="A30" zoomScale="150" zoomScaleNormal="150" workbookViewId="0">
      <selection activeCell="N48" sqref="N4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159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18.71110232000003</v>
      </c>
      <c r="E24" s="15">
        <f t="shared" ref="E24:L24" si="3">IF(E$22&lt;&gt;"",D57,"")</f>
        <v>16.392913683000028</v>
      </c>
      <c r="F24" s="15">
        <f t="shared" si="3"/>
        <v>15.05395331571655</v>
      </c>
      <c r="G24" s="15">
        <f t="shared" si="3"/>
        <v>14.723767238139169</v>
      </c>
      <c r="H24" s="15">
        <f t="shared" si="3"/>
        <v>14.407226771938737</v>
      </c>
      <c r="I24" s="15">
        <f t="shared" si="3"/>
        <v>14.508747251838164</v>
      </c>
      <c r="J24" s="15">
        <f t="shared" si="3"/>
        <v>14.607996684339339</v>
      </c>
      <c r="K24" s="15">
        <f t="shared" si="3"/>
        <v>14.702710079338168</v>
      </c>
      <c r="L24" s="15">
        <f t="shared" si="3"/>
        <v>14.795152484238169</v>
      </c>
    </row>
    <row r="25" spans="1:13" x14ac:dyDescent="0.35">
      <c r="A25" t="s">
        <v>133</v>
      </c>
      <c r="C25" s="15">
        <f>IF(C$22&lt;&gt;"",$B$19,"")</f>
        <v>11</v>
      </c>
      <c r="D25" s="15">
        <f>IF(D22&lt;&gt;"",C54,"")</f>
        <v>9.0172571336493021</v>
      </c>
      <c r="E25" s="15">
        <f t="shared" ref="E25:L27" si="4">IF(E22&lt;&gt;"",D54,"")</f>
        <v>7.1088601682676069</v>
      </c>
      <c r="F25" s="15">
        <f t="shared" si="4"/>
        <v>6.1</v>
      </c>
      <c r="G25" s="15">
        <f t="shared" si="4"/>
        <v>6.1</v>
      </c>
      <c r="H25" s="15">
        <f t="shared" si="4"/>
        <v>6.1</v>
      </c>
      <c r="I25" s="15">
        <f t="shared" si="4"/>
        <v>6.5047270927738641</v>
      </c>
      <c r="J25" s="15">
        <f t="shared" si="4"/>
        <v>6.8881038289447343</v>
      </c>
      <c r="K25" s="15">
        <f t="shared" si="4"/>
        <v>7.2503712989619817</v>
      </c>
      <c r="L25" s="15">
        <f t="shared" si="4"/>
        <v>7.5937558729898971</v>
      </c>
    </row>
    <row r="26" spans="1:13" x14ac:dyDescent="0.35">
      <c r="A26" t="s">
        <v>134</v>
      </c>
      <c r="C26" s="15">
        <f>IF(C$22&lt;&gt;"",$C$19,"")</f>
        <v>10.1</v>
      </c>
      <c r="D26" s="15">
        <f>IF(D23&lt;&gt;"",C55,"")</f>
        <v>9.6938451863507265</v>
      </c>
      <c r="E26" s="15">
        <f t="shared" si="4"/>
        <v>9.2840535147324221</v>
      </c>
      <c r="F26" s="15">
        <f t="shared" si="4"/>
        <v>8.9539533157165501</v>
      </c>
      <c r="G26" s="15">
        <f t="shared" si="4"/>
        <v>8.6237672381391697</v>
      </c>
      <c r="H26" s="15">
        <f t="shared" si="4"/>
        <v>8.3072267719387369</v>
      </c>
      <c r="I26" s="15">
        <f t="shared" si="4"/>
        <v>8.0040201590643001</v>
      </c>
      <c r="J26" s="15">
        <f t="shared" si="4"/>
        <v>7.7198928553946047</v>
      </c>
      <c r="K26" s="15">
        <f t="shared" si="4"/>
        <v>7.452338780376186</v>
      </c>
      <c r="L26" s="15">
        <f t="shared" si="4"/>
        <v>7.2013966112482724</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9.3555511600000152</v>
      </c>
      <c r="E29" s="15">
        <f t="shared" si="5"/>
        <v>8.1964568415000141</v>
      </c>
      <c r="F29" s="15">
        <f t="shared" si="5"/>
        <v>7.5269766578582749</v>
      </c>
      <c r="G29" s="15">
        <f t="shared" si="5"/>
        <v>7.3618836190695847</v>
      </c>
      <c r="H29" s="15">
        <f t="shared" si="5"/>
        <v>7.2036133859693683</v>
      </c>
      <c r="I29" s="15">
        <f t="shared" si="5"/>
        <v>7.2543736259190821</v>
      </c>
      <c r="J29" s="15">
        <f t="shared" si="5"/>
        <v>7.3039983421696695</v>
      </c>
      <c r="K29" s="15">
        <f t="shared" si="5"/>
        <v>7.3513550396690839</v>
      </c>
      <c r="L29" s="15">
        <f t="shared" si="5"/>
        <v>7.3975762421190847</v>
      </c>
    </row>
    <row r="30" spans="1:13" x14ac:dyDescent="0.35">
      <c r="A30" t="s">
        <v>131</v>
      </c>
      <c r="B30" s="37">
        <f>1-B29</f>
        <v>0.5</v>
      </c>
      <c r="C30" s="15">
        <f>C26</f>
        <v>10.1</v>
      </c>
      <c r="D30" s="15">
        <f t="shared" si="5"/>
        <v>9.3555511600000152</v>
      </c>
      <c r="E30" s="15">
        <f t="shared" si="5"/>
        <v>8.1964568415000141</v>
      </c>
      <c r="F30" s="15">
        <f t="shared" si="5"/>
        <v>7.5269766578582749</v>
      </c>
      <c r="G30" s="15">
        <f t="shared" si="5"/>
        <v>7.3618836190695847</v>
      </c>
      <c r="H30" s="15">
        <f t="shared" si="5"/>
        <v>7.2036133859693683</v>
      </c>
      <c r="I30" s="15">
        <f t="shared" si="5"/>
        <v>7.2543736259190821</v>
      </c>
      <c r="J30" s="15">
        <f t="shared" si="5"/>
        <v>7.3039983421696695</v>
      </c>
      <c r="K30" s="15">
        <f t="shared" si="5"/>
        <v>7.3513550396690839</v>
      </c>
      <c r="L30" s="15">
        <f t="shared" si="5"/>
        <v>7.3975762421190847</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0.951188637</v>
      </c>
      <c r="E31" s="15">
        <f>IF(E$22&lt;&gt;"",VLOOKUP(E29*1000000,'Powell-Elevation-Area'!$B$5:$D$689,3)*$B$18/1000000 + VLOOKUP(E30*1000000,'Mead-Elevation-Area'!$B$5:$D$676,3)*$C$18/1000000,"")</f>
        <v>0.87773305499997312</v>
      </c>
      <c r="F31" s="15">
        <f>IF(F$22&lt;&gt;"",VLOOKUP(F29*1000000,'Powell-Elevation-Area'!$B$5:$D$689,3)*$B$18/1000000 + VLOOKUP(F30*1000000,'Mead-Elevation-Area'!$B$5:$D$676,3)*$C$18/1000000,"")</f>
        <v>0.83590071750057304</v>
      </c>
      <c r="G31" s="15">
        <f>IF(G$22&lt;&gt;"",VLOOKUP(G29*1000000,'Powell-Elevation-Area'!$B$5:$D$689,3)*$B$18/1000000 + VLOOKUP(G30*1000000,'Mead-Elevation-Area'!$B$5:$D$676,3)*$C$18/1000000,"")</f>
        <v>0.82557159509940004</v>
      </c>
      <c r="H31" s="15">
        <f>IF(H$22&lt;&gt;"",VLOOKUP(H29*1000000,'Powell-Elevation-Area'!$B$5:$D$689,3)*$B$18/1000000 + VLOOKUP(H30*1000000,'Mead-Elevation-Area'!$B$5:$D$676,3)*$C$18/1000000,"")</f>
        <v>0.81547952010057301</v>
      </c>
      <c r="I31" s="15">
        <f>IF(I$22&lt;&gt;"",VLOOKUP(I29*1000000,'Powell-Elevation-Area'!$B$5:$D$689,3)*$B$18/1000000 + VLOOKUP(I30*1000000,'Mead-Elevation-Area'!$B$5:$D$676,3)*$C$18/1000000,"")</f>
        <v>0.81775056749882702</v>
      </c>
      <c r="J31" s="15">
        <f>IF(J$22&lt;&gt;"",VLOOKUP(J29*1000000,'Powell-Elevation-Area'!$B$5:$D$689,3)*$B$18/1000000 + VLOOKUP(J30*1000000,'Mead-Elevation-Area'!$B$5:$D$676,3)*$C$18/1000000,"")</f>
        <v>0.82228660500117301</v>
      </c>
      <c r="K31" s="15">
        <f>IF(K$22&lt;&gt;"",VLOOKUP(K29*1000000,'Powell-Elevation-Area'!$B$5:$D$689,3)*$B$18/1000000 + VLOOKUP(K30*1000000,'Mead-Elevation-Area'!$B$5:$D$676,3)*$C$18/1000000,"")</f>
        <v>0.82455759509999993</v>
      </c>
      <c r="L31" s="15">
        <f>IF(L$22&lt;&gt;"",VLOOKUP(L29*1000000,'Powell-Elevation-Area'!$B$5:$D$689,3)*$B$18/1000000 + VLOOKUP(L30*1000000,'Mead-Elevation-Area'!$B$5:$D$676,3)*$C$18/1000000,"")</f>
        <v>0.82783664249940003</v>
      </c>
    </row>
    <row r="32" spans="1:13" x14ac:dyDescent="0.35">
      <c r="A32" t="s">
        <v>109</v>
      </c>
      <c r="B32" s="1"/>
      <c r="C32" s="15">
        <f>IF(C$22&lt;&gt;"",C$31*C25/C$24,"")</f>
        <v>0.5327428663506969</v>
      </c>
      <c r="D32" s="15">
        <f t="shared" ref="D32:L34" si="6">IF(D$22&lt;&gt;"",D$31*D25/D$24,"")</f>
        <v>0.458396965381695</v>
      </c>
      <c r="E32" s="15">
        <f t="shared" si="6"/>
        <v>0.38063285598410107</v>
      </c>
      <c r="F32" s="15">
        <f t="shared" si="6"/>
        <v>0.33871463992319345</v>
      </c>
      <c r="G32" s="15">
        <f t="shared" si="6"/>
        <v>0.34203112889896525</v>
      </c>
      <c r="H32" s="15">
        <f t="shared" si="6"/>
        <v>0.34527290722613518</v>
      </c>
      <c r="I32" s="15">
        <f t="shared" si="6"/>
        <v>0.36662326382912958</v>
      </c>
      <c r="J32" s="15">
        <f t="shared" si="6"/>
        <v>0.38773252998275209</v>
      </c>
      <c r="K32" s="15">
        <f t="shared" si="6"/>
        <v>0.40661542597208489</v>
      </c>
      <c r="L32" s="15">
        <f t="shared" si="6"/>
        <v>0.42489520622063093</v>
      </c>
    </row>
    <row r="33" spans="1:13" x14ac:dyDescent="0.35">
      <c r="A33" t="s">
        <v>110</v>
      </c>
      <c r="B33" s="1"/>
      <c r="C33" s="15">
        <f>IF(C$22&lt;&gt;"",C$31*C26/C$24,"")</f>
        <v>0.48915481364927621</v>
      </c>
      <c r="D33" s="15">
        <f t="shared" si="6"/>
        <v>0.49279167161830495</v>
      </c>
      <c r="E33" s="15">
        <f t="shared" si="6"/>
        <v>0.4971001990158721</v>
      </c>
      <c r="F33" s="15">
        <f t="shared" si="6"/>
        <v>0.49718607757737959</v>
      </c>
      <c r="G33" s="15">
        <f t="shared" si="6"/>
        <v>0.48354046620043478</v>
      </c>
      <c r="H33" s="15">
        <f t="shared" si="6"/>
        <v>0.47020661287443777</v>
      </c>
      <c r="I33" s="15">
        <f t="shared" si="6"/>
        <v>0.45112730366969739</v>
      </c>
      <c r="J33" s="15">
        <f t="shared" si="6"/>
        <v>0.43455407501842092</v>
      </c>
      <c r="K33" s="15">
        <f t="shared" si="6"/>
        <v>0.41794216912791515</v>
      </c>
      <c r="L33" s="15">
        <f t="shared" si="6"/>
        <v>0.40294143627876911</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10.25</v>
      </c>
      <c r="D36" s="15">
        <f t="shared" ref="D36:L36" si="8">IF(D$22&lt;&gt;"",D22-D35/2,"")</f>
        <v>10.25</v>
      </c>
      <c r="E36" s="15">
        <f t="shared" si="8"/>
        <v>10.25</v>
      </c>
      <c r="F36" s="15">
        <f t="shared" si="8"/>
        <v>10.25</v>
      </c>
      <c r="G36" s="15">
        <f t="shared" si="8"/>
        <v>10.25</v>
      </c>
      <c r="H36" s="15">
        <f t="shared" si="8"/>
        <v>10.25</v>
      </c>
      <c r="I36" s="15">
        <f t="shared" si="8"/>
        <v>10.25</v>
      </c>
      <c r="J36" s="15">
        <f t="shared" si="8"/>
        <v>10.25</v>
      </c>
      <c r="K36" s="15">
        <f t="shared" si="8"/>
        <v>10.25</v>
      </c>
      <c r="L36" s="15">
        <f t="shared" si="8"/>
        <v>10.25</v>
      </c>
    </row>
    <row r="37" spans="1:13" x14ac:dyDescent="0.35">
      <c r="A37" t="s">
        <v>0</v>
      </c>
      <c r="B37" s="25"/>
      <c r="C37" s="15">
        <f>IF(C22&lt;&gt;"",MAX(0,C36-C38),"")</f>
        <v>2.75</v>
      </c>
      <c r="D37" s="15">
        <f t="shared" ref="D37:L37" si="9">IF(D22&lt;&gt;"",MAX(0,D36-D38),"")</f>
        <v>2.75</v>
      </c>
      <c r="E37" s="15">
        <f t="shared" si="9"/>
        <v>2.75</v>
      </c>
      <c r="F37" s="15">
        <f t="shared" si="9"/>
        <v>2.75</v>
      </c>
      <c r="G37" s="15">
        <f t="shared" si="9"/>
        <v>2.75</v>
      </c>
      <c r="H37" s="15">
        <f t="shared" si="9"/>
        <v>2.75</v>
      </c>
      <c r="I37" s="15">
        <f t="shared" si="9"/>
        <v>2.75</v>
      </c>
      <c r="J37" s="15">
        <f t="shared" si="9"/>
        <v>2.75</v>
      </c>
      <c r="K37" s="15">
        <f t="shared" si="9"/>
        <v>2.75</v>
      </c>
      <c r="L37" s="15">
        <f t="shared" si="9"/>
        <v>2.75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13.217257133649303</v>
      </c>
      <c r="D45" s="15">
        <f t="shared" ref="D45:L45" si="11">IF(D$22&lt;&gt;"",D25+D37-D32-D40,"")</f>
        <v>11.308860168267607</v>
      </c>
      <c r="E45" s="15">
        <f t="shared" si="11"/>
        <v>9.4782273122835061</v>
      </c>
      <c r="F45" s="15">
        <f>IF(F$22&lt;&gt;"",F25+F37-F32-F40,"")</f>
        <v>8.5112853600768066</v>
      </c>
      <c r="G45" s="15">
        <f t="shared" si="11"/>
        <v>8.5079688711010348</v>
      </c>
      <c r="H45" s="15">
        <f t="shared" si="11"/>
        <v>8.5047270927738641</v>
      </c>
      <c r="I45" s="15">
        <f t="shared" si="11"/>
        <v>8.8881038289447343</v>
      </c>
      <c r="J45" s="15">
        <f t="shared" si="11"/>
        <v>9.2503712989619817</v>
      </c>
      <c r="K45" s="15">
        <f t="shared" si="11"/>
        <v>9.5937558729898971</v>
      </c>
      <c r="L45" s="15">
        <f t="shared" si="11"/>
        <v>9.918860666769266</v>
      </c>
    </row>
    <row r="46" spans="1:13" x14ac:dyDescent="0.35">
      <c r="A46" t="s">
        <v>3</v>
      </c>
      <c r="C46" s="15">
        <f>IF(C$22&lt;&gt;"",C26+C38-C33+C40+C42+C23-C35/2,"")</f>
        <v>17.160845186350727</v>
      </c>
      <c r="D46" s="15">
        <f t="shared" ref="D46:L46" si="12">IF(D$22&lt;&gt;"",D26+D38-D33+D40+D42+D23-D35/2,"")</f>
        <v>16.751053514732423</v>
      </c>
      <c r="E46" s="15">
        <f t="shared" si="12"/>
        <v>16.336953315716549</v>
      </c>
      <c r="F46" s="15">
        <f t="shared" si="12"/>
        <v>16.006767238139169</v>
      </c>
      <c r="G46" s="15">
        <f t="shared" si="12"/>
        <v>15.690226771938736</v>
      </c>
      <c r="H46" s="15">
        <f t="shared" si="12"/>
        <v>15.387020159064299</v>
      </c>
      <c r="I46" s="15">
        <f t="shared" si="12"/>
        <v>15.102892855394604</v>
      </c>
      <c r="J46" s="15">
        <f t="shared" si="12"/>
        <v>14.835338780376185</v>
      </c>
      <c r="K46" s="15">
        <f t="shared" si="12"/>
        <v>14.584396611248271</v>
      </c>
      <c r="L46" s="15">
        <f t="shared" si="12"/>
        <v>14.348455174969503</v>
      </c>
    </row>
    <row r="47" spans="1:13" x14ac:dyDescent="0.35">
      <c r="A47" t="s">
        <v>4</v>
      </c>
      <c r="C47" s="15">
        <f>IF(C$22&lt;&gt;"",C27+C35-C34-C42,"")</f>
        <v>1.5</v>
      </c>
      <c r="D47" s="15">
        <f t="shared" ref="D47:L47" si="13">IF(D$22&lt;&gt;"",D27+D35-D34-D42,"")</f>
        <v>1.5</v>
      </c>
      <c r="E47" s="15">
        <f t="shared" si="13"/>
        <v>1.5</v>
      </c>
      <c r="F47" s="15">
        <f t="shared" si="13"/>
        <v>1.5</v>
      </c>
      <c r="G47" s="15">
        <f t="shared" si="13"/>
        <v>1.5</v>
      </c>
      <c r="H47" s="15">
        <f t="shared" si="13"/>
        <v>1.5</v>
      </c>
      <c r="I47" s="15">
        <f t="shared" si="13"/>
        <v>1.5</v>
      </c>
      <c r="J47" s="15">
        <f t="shared" si="13"/>
        <v>1.5</v>
      </c>
      <c r="K47" s="15">
        <f t="shared" si="13"/>
        <v>1.5</v>
      </c>
      <c r="L47" s="15">
        <f t="shared" si="13"/>
        <v>1.5</v>
      </c>
    </row>
    <row r="48" spans="1:13" x14ac:dyDescent="0.35">
      <c r="A48" s="1" t="s">
        <v>151</v>
      </c>
      <c r="B48" s="1"/>
      <c r="C48" s="30"/>
      <c r="D48" s="2"/>
      <c r="E48" s="2"/>
      <c r="F48" s="2"/>
      <c r="G48" s="2"/>
      <c r="H48" s="2"/>
      <c r="I48" s="2"/>
      <c r="J48" s="2"/>
      <c r="K48" s="2"/>
      <c r="L48" s="2"/>
    </row>
    <row r="49" spans="1:18" x14ac:dyDescent="0.35">
      <c r="A49" t="s">
        <v>152</v>
      </c>
      <c r="C49" s="45">
        <f>IF(C45&gt;6.1+4.2,4.2,MAX(C45-6.1,0))</f>
        <v>4.2</v>
      </c>
      <c r="D49" s="45">
        <f t="shared" ref="D49:G49" si="14">IF(D45&gt;6.1+4.2,4.2,MAX(D45-6.1,0))</f>
        <v>4.2</v>
      </c>
      <c r="E49" s="45">
        <f t="shared" si="14"/>
        <v>3.3782273122835065</v>
      </c>
      <c r="F49" s="45">
        <f t="shared" si="14"/>
        <v>2.4112853600768069</v>
      </c>
      <c r="G49" s="45">
        <f t="shared" si="14"/>
        <v>2.4079688711010352</v>
      </c>
      <c r="H49" s="45">
        <v>2</v>
      </c>
      <c r="I49" s="45">
        <v>2</v>
      </c>
      <c r="J49" s="45">
        <v>2</v>
      </c>
      <c r="K49" s="45">
        <v>2</v>
      </c>
      <c r="L49" s="45">
        <v>2</v>
      </c>
      <c r="M49" s="51"/>
      <c r="N49" s="1" t="s">
        <v>144</v>
      </c>
    </row>
    <row r="50" spans="1:18" x14ac:dyDescent="0.35">
      <c r="A50" t="s">
        <v>153</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H50:L50" si="16">G50</f>
        <v>6.7829999999999995</v>
      </c>
      <c r="I50" s="45">
        <f t="shared" si="16"/>
        <v>6.7829999999999995</v>
      </c>
      <c r="J50" s="45">
        <f t="shared" si="16"/>
        <v>6.7829999999999995</v>
      </c>
      <c r="K50" s="45">
        <f t="shared" si="16"/>
        <v>6.7829999999999995</v>
      </c>
      <c r="L50" s="45">
        <f t="shared" si="16"/>
        <v>6.7829999999999995</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v>1.5</v>
      </c>
      <c r="E52" s="26">
        <v>1.5</v>
      </c>
      <c r="F52" s="26">
        <v>1.5</v>
      </c>
      <c r="G52" s="26">
        <v>1.5</v>
      </c>
      <c r="H52" s="26">
        <v>1.5</v>
      </c>
      <c r="I52" s="26">
        <v>1.5</v>
      </c>
      <c r="J52" s="26">
        <v>1.5</v>
      </c>
      <c r="K52" s="26">
        <v>1.5</v>
      </c>
      <c r="L52" s="26">
        <v>1.5</v>
      </c>
      <c r="N52" s="41">
        <v>1030</v>
      </c>
      <c r="O52" s="42">
        <v>6.305377</v>
      </c>
      <c r="P52" s="43">
        <f t="shared" si="18"/>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9.0172571336493021</v>
      </c>
      <c r="D54" s="15">
        <f t="shared" ref="D54:L54" si="19">IF(D$22&lt;&gt;"",D45-D49,"")</f>
        <v>7.1088601682676069</v>
      </c>
      <c r="E54" s="15">
        <f t="shared" si="19"/>
        <v>6.1</v>
      </c>
      <c r="F54" s="15">
        <f t="shared" si="19"/>
        <v>6.1</v>
      </c>
      <c r="G54" s="15">
        <f t="shared" si="19"/>
        <v>6.1</v>
      </c>
      <c r="H54" s="15">
        <f t="shared" si="19"/>
        <v>6.5047270927738641</v>
      </c>
      <c r="I54" s="15">
        <f t="shared" si="19"/>
        <v>6.8881038289447343</v>
      </c>
      <c r="J54" s="15">
        <f t="shared" si="19"/>
        <v>7.2503712989619817</v>
      </c>
      <c r="K54" s="15">
        <f t="shared" si="19"/>
        <v>7.5937558729898971</v>
      </c>
      <c r="L54" s="15">
        <f t="shared" si="19"/>
        <v>7.918860666769266</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L55" si="20">IF(D$22&lt;&gt;"",D46-D50-D51,"")</f>
        <v>9.2840535147324221</v>
      </c>
      <c r="E55" s="15">
        <f t="shared" si="20"/>
        <v>8.9539533157165501</v>
      </c>
      <c r="F55" s="15">
        <f t="shared" si="20"/>
        <v>8.6237672381391697</v>
      </c>
      <c r="G55" s="15">
        <f t="shared" si="20"/>
        <v>8.3072267719387369</v>
      </c>
      <c r="H55" s="15">
        <f t="shared" si="20"/>
        <v>8.0040201590643001</v>
      </c>
      <c r="I55" s="15">
        <f t="shared" si="20"/>
        <v>7.7198928553946047</v>
      </c>
      <c r="J55" s="15">
        <f t="shared" si="20"/>
        <v>7.452338780376186</v>
      </c>
      <c r="K55" s="15">
        <f t="shared" si="20"/>
        <v>7.2013966112482724</v>
      </c>
      <c r="L55" s="15">
        <f t="shared" si="20"/>
        <v>6.9654551749695042</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18.71110232000003</v>
      </c>
      <c r="D57" s="15">
        <f t="shared" ref="D57:L57" si="22">IF(D$22&lt;&gt;"",SUM(D54:D56),"")</f>
        <v>16.392913683000028</v>
      </c>
      <c r="E57" s="15">
        <f t="shared" si="22"/>
        <v>15.05395331571655</v>
      </c>
      <c r="F57" s="15">
        <f t="shared" si="22"/>
        <v>14.723767238139169</v>
      </c>
      <c r="G57" s="15">
        <f t="shared" si="22"/>
        <v>14.407226771938737</v>
      </c>
      <c r="H57" s="15">
        <f t="shared" si="22"/>
        <v>14.508747251838164</v>
      </c>
      <c r="I57" s="15">
        <f t="shared" si="22"/>
        <v>14.607996684339339</v>
      </c>
      <c r="J57" s="15">
        <f t="shared" si="22"/>
        <v>14.702710079338168</v>
      </c>
      <c r="K57" s="15">
        <f t="shared" si="22"/>
        <v>14.795152484238169</v>
      </c>
      <c r="L57" s="15">
        <f t="shared" si="22"/>
        <v>14.88431584173877</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3">IF(D$22&lt;&gt;"",0.2,"")</f>
        <v>0.2</v>
      </c>
      <c r="E59" s="12">
        <f t="shared" si="23"/>
        <v>0.2</v>
      </c>
      <c r="F59" s="12">
        <f t="shared" si="23"/>
        <v>0.2</v>
      </c>
      <c r="G59" s="12">
        <f t="shared" si="23"/>
        <v>0.2</v>
      </c>
      <c r="H59" s="12">
        <f t="shared" si="23"/>
        <v>0.2</v>
      </c>
      <c r="I59" s="12">
        <f t="shared" si="23"/>
        <v>0.2</v>
      </c>
      <c r="J59" s="12">
        <f t="shared" si="23"/>
        <v>0.2</v>
      </c>
      <c r="K59" s="12">
        <f t="shared" si="23"/>
        <v>0.2</v>
      </c>
      <c r="L59" s="12">
        <f t="shared" si="23"/>
        <v>0.2</v>
      </c>
    </row>
    <row r="60" spans="1:18" x14ac:dyDescent="0.35">
      <c r="A60" t="s">
        <v>143</v>
      </c>
      <c r="C60" s="15">
        <f>IF(C$22&lt;&gt;"",C50+C59,"")</f>
        <v>7.0670000000000002</v>
      </c>
      <c r="D60" s="15">
        <f t="shared" ref="D60:L60" si="24">IF(D$22&lt;&gt;"",D50+D59,"")</f>
        <v>7.0670000000000002</v>
      </c>
      <c r="E60" s="15">
        <f t="shared" si="24"/>
        <v>6.9829999999999997</v>
      </c>
      <c r="F60" s="15">
        <f t="shared" si="24"/>
        <v>6.9829999999999997</v>
      </c>
      <c r="G60" s="15">
        <f t="shared" si="24"/>
        <v>6.9829999999999997</v>
      </c>
      <c r="H60" s="15">
        <f t="shared" si="24"/>
        <v>6.9829999999999997</v>
      </c>
      <c r="I60" s="15">
        <f t="shared" si="24"/>
        <v>6.9829999999999997</v>
      </c>
      <c r="J60" s="15">
        <f t="shared" si="24"/>
        <v>6.9829999999999997</v>
      </c>
      <c r="K60" s="15">
        <f t="shared" si="24"/>
        <v>6.9829999999999997</v>
      </c>
      <c r="L60" s="15">
        <f t="shared" si="24"/>
        <v>6.9829999999999997</v>
      </c>
    </row>
    <row r="62" spans="1:18" x14ac:dyDescent="0.35">
      <c r="D62" s="19"/>
    </row>
  </sheetData>
  <mergeCells count="4">
    <mergeCell ref="C5:H5"/>
    <mergeCell ref="C6:H6"/>
    <mergeCell ref="C7:H7"/>
    <mergeCell ref="C8:H8"/>
  </mergeCells>
  <conditionalFormatting sqref="H49:L49">
    <cfRule type="cellIs" dxfId="23" priority="33" operator="greaterThan">
      <formula>$C$45</formula>
    </cfRule>
  </conditionalFormatting>
  <conditionalFormatting sqref="H49">
    <cfRule type="cellIs" dxfId="22" priority="27" operator="greaterThan">
      <formula>$H$45</formula>
    </cfRule>
  </conditionalFormatting>
  <conditionalFormatting sqref="I49">
    <cfRule type="cellIs" dxfId="21" priority="26" operator="greaterThan">
      <formula>$I$45</formula>
    </cfRule>
  </conditionalFormatting>
  <conditionalFormatting sqref="J49">
    <cfRule type="cellIs" dxfId="20" priority="25" operator="greaterThan">
      <formula>$J$45</formula>
    </cfRule>
  </conditionalFormatting>
  <conditionalFormatting sqref="K49">
    <cfRule type="cellIs" dxfId="19" priority="24" operator="greaterThan">
      <formula>$K$45</formula>
    </cfRule>
  </conditionalFormatting>
  <conditionalFormatting sqref="L49">
    <cfRule type="cellIs" dxfId="18" priority="23" operator="greaterThan">
      <formula>$L$45</formula>
    </cfRule>
  </conditionalFormatting>
  <conditionalFormatting sqref="H50:L50">
    <cfRule type="cellIs" dxfId="17" priority="21" operator="greaterThan">
      <formula>$D$46</formula>
    </cfRule>
  </conditionalFormatting>
  <conditionalFormatting sqref="H50">
    <cfRule type="cellIs" dxfId="16" priority="16" operator="greaterThan">
      <formula>$H$46</formula>
    </cfRule>
  </conditionalFormatting>
  <conditionalFormatting sqref="I50">
    <cfRule type="cellIs" dxfId="15" priority="15" operator="greaterThan">
      <formula>$I$46</formula>
    </cfRule>
  </conditionalFormatting>
  <conditionalFormatting sqref="J50">
    <cfRule type="cellIs" dxfId="14" priority="14" operator="greaterThan">
      <formula>$J$46</formula>
    </cfRule>
  </conditionalFormatting>
  <conditionalFormatting sqref="K50">
    <cfRule type="cellIs" dxfId="13" priority="13" operator="greaterThan">
      <formula>$K$46</formula>
    </cfRule>
  </conditionalFormatting>
  <conditionalFormatting sqref="L50">
    <cfRule type="cellIs" dxfId="12" priority="12" operator="greaterThan">
      <formula>$L$46</formula>
    </cfRule>
  </conditionalFormatting>
  <conditionalFormatting sqref="C52">
    <cfRule type="cellIs" dxfId="11" priority="11" operator="greaterThan">
      <formula>$C$47</formula>
    </cfRule>
  </conditionalFormatting>
  <conditionalFormatting sqref="D52">
    <cfRule type="cellIs" dxfId="10" priority="10" operator="greaterThan">
      <formula>$D$47</formula>
    </cfRule>
  </conditionalFormatting>
  <conditionalFormatting sqref="E52">
    <cfRule type="cellIs" dxfId="9" priority="9" operator="greaterThan">
      <formula>$E$47</formula>
    </cfRule>
  </conditionalFormatting>
  <conditionalFormatting sqref="F52">
    <cfRule type="cellIs" dxfId="8" priority="8" operator="greaterThan">
      <formula>$F$47</formula>
    </cfRule>
  </conditionalFormatting>
  <conditionalFormatting sqref="G52">
    <cfRule type="cellIs" dxfId="7" priority="7" operator="greaterThan">
      <formula>$G$47</formula>
    </cfRule>
  </conditionalFormatting>
  <conditionalFormatting sqref="H52">
    <cfRule type="cellIs" dxfId="6" priority="6" operator="greaterThan">
      <formula>$H$47</formula>
    </cfRule>
  </conditionalFormatting>
  <conditionalFormatting sqref="I52">
    <cfRule type="cellIs" dxfId="5" priority="5" operator="greaterThan">
      <formula>$I$47</formula>
    </cfRule>
  </conditionalFormatting>
  <conditionalFormatting sqref="J52">
    <cfRule type="cellIs" dxfId="4" priority="4" operator="greaterThan">
      <formula>$J$47</formula>
    </cfRule>
  </conditionalFormatting>
  <conditionalFormatting sqref="K52">
    <cfRule type="cellIs" dxfId="3" priority="3" operator="greaterThan">
      <formula>$K$47</formula>
    </cfRule>
  </conditionalFormatting>
  <conditionalFormatting sqref="L52">
    <cfRule type="cellIs" dxfId="2" priority="2" operator="greaterThan">
      <formula>$L$47</formula>
    </cfRule>
  </conditionalFormatting>
  <conditionalFormatting sqref="C49:G49">
    <cfRule type="cellIs" dxfId="1"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A40" zoomScale="150" zoomScaleNormal="150" workbookViewId="0">
      <selection activeCell="C64" sqref="C64"/>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3"/>
      <c r="D5" s="63"/>
      <c r="E5" s="63"/>
      <c r="F5" s="63"/>
      <c r="G5" s="63"/>
      <c r="H5" s="63"/>
    </row>
    <row r="6" spans="1:11" x14ac:dyDescent="0.35">
      <c r="A6" s="17" t="s">
        <v>41</v>
      </c>
      <c r="B6" s="36"/>
      <c r="C6" s="63"/>
      <c r="D6" s="63"/>
      <c r="E6" s="63"/>
      <c r="F6" s="63"/>
      <c r="G6" s="63"/>
      <c r="H6" s="63"/>
    </row>
    <row r="7" spans="1:11" x14ac:dyDescent="0.35">
      <c r="A7" s="17" t="s">
        <v>42</v>
      </c>
      <c r="B7" s="36"/>
      <c r="C7" s="63"/>
      <c r="D7" s="63"/>
      <c r="E7" s="63"/>
      <c r="F7" s="63"/>
      <c r="G7" s="63"/>
      <c r="H7" s="63"/>
    </row>
    <row r="8" spans="1:11" x14ac:dyDescent="0.35">
      <c r="A8" s="17" t="s">
        <v>43</v>
      </c>
      <c r="B8" s="36"/>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117</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138</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141</v>
      </c>
      <c r="B24" s="1"/>
      <c r="C24" s="15">
        <f>IF(C$22&lt;&gt;"",SUM(C25:C27),"")</f>
        <v>21.1</v>
      </c>
      <c r="D24" s="15">
        <f>IF(D$22&lt;&gt;"",C57,"")</f>
        <v>20.111102320000029</v>
      </c>
      <c r="E24" s="15">
        <f t="shared" ref="E24:L24" si="1">IF(E$22&lt;&gt;"",D57,"")</f>
        <v>19.152398230000031</v>
      </c>
      <c r="F24" s="15">
        <f t="shared" si="1"/>
        <v>18.305145995499462</v>
      </c>
      <c r="G24" s="15">
        <f t="shared" si="1"/>
        <v>17.483102955998888</v>
      </c>
      <c r="H24" s="15">
        <f t="shared" si="1"/>
        <v>16.687176630999463</v>
      </c>
      <c r="I24" s="15">
        <f t="shared" si="1"/>
        <v>15.917071501000038</v>
      </c>
      <c r="J24" s="15">
        <f t="shared" si="1"/>
        <v>15.170396558498869</v>
      </c>
      <c r="K24" s="15">
        <f t="shared" si="1"/>
        <v>14.446953803498872</v>
      </c>
      <c r="L24" s="15">
        <f t="shared" si="1"/>
        <v>13.997460283398901</v>
      </c>
    </row>
    <row r="25" spans="1:13" x14ac:dyDescent="0.35">
      <c r="A25" t="s">
        <v>133</v>
      </c>
      <c r="C25" s="15">
        <f>IF(C$22&lt;&gt;"",$B$19,"")</f>
        <v>11</v>
      </c>
      <c r="D25" s="15">
        <f>IF(D22&lt;&gt;"",C54,"")</f>
        <v>10.417257133649304</v>
      </c>
      <c r="E25" s="15">
        <f t="shared" ref="E25:L25" si="2">IF(E22&lt;&gt;"",D54,"")</f>
        <v>9.8535689060404223</v>
      </c>
      <c r="F25" s="15">
        <f t="shared" si="2"/>
        <v>9.3074782482881169</v>
      </c>
      <c r="G25" s="15">
        <f t="shared" si="2"/>
        <v>8.7800101818489402</v>
      </c>
      <c r="H25" s="15">
        <f t="shared" si="2"/>
        <v>8.2715387967094642</v>
      </c>
      <c r="I25" s="15">
        <f t="shared" si="2"/>
        <v>7.7818164481176071</v>
      </c>
      <c r="J25" s="15">
        <f t="shared" si="2"/>
        <v>7.3095679287866249</v>
      </c>
      <c r="K25" s="15">
        <f t="shared" si="2"/>
        <v>6.8546165233148004</v>
      </c>
      <c r="L25" s="15">
        <f t="shared" si="2"/>
        <v>6.417216518429254</v>
      </c>
    </row>
    <row r="26" spans="1:13" x14ac:dyDescent="0.35">
      <c r="A26" t="s">
        <v>134</v>
      </c>
      <c r="C26" s="15">
        <f>IF(C$22&lt;&gt;"",$C$19,"")</f>
        <v>10.1</v>
      </c>
      <c r="D26" s="15">
        <f>IF(D23&lt;&gt;"",C55,"")</f>
        <v>9.6938451863507265</v>
      </c>
      <c r="E26" s="15">
        <f t="shared" ref="E26:L27" si="3">IF(E23&lt;&gt;"",D55,"")</f>
        <v>9.2988293239596107</v>
      </c>
      <c r="F26" s="15">
        <f t="shared" si="3"/>
        <v>8.9976677472113451</v>
      </c>
      <c r="G26" s="15">
        <f t="shared" si="3"/>
        <v>8.7030927741499475</v>
      </c>
      <c r="H26" s="15">
        <f t="shared" si="3"/>
        <v>8.4156378342899991</v>
      </c>
      <c r="I26" s="15">
        <f t="shared" si="3"/>
        <v>8.1352550528824317</v>
      </c>
      <c r="J26" s="15">
        <f t="shared" si="3"/>
        <v>7.8608286297122429</v>
      </c>
      <c r="K26" s="15">
        <f t="shared" si="3"/>
        <v>7.5923372801840703</v>
      </c>
      <c r="L26" s="15">
        <f t="shared" si="3"/>
        <v>7.5802437649696461</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132</v>
      </c>
      <c r="C28"/>
    </row>
    <row r="29" spans="1:13" x14ac:dyDescent="0.35">
      <c r="A29" t="s">
        <v>130</v>
      </c>
      <c r="B29" s="37">
        <v>0.5</v>
      </c>
      <c r="C29" s="15">
        <f>C25</f>
        <v>11</v>
      </c>
      <c r="D29" s="15">
        <f t="shared" ref="D29:L30" si="4">IF(D22&lt;&gt;"",$B29*D$24,"")</f>
        <v>10.055551160000014</v>
      </c>
      <c r="E29" s="15">
        <f t="shared" si="4"/>
        <v>9.5761991150000156</v>
      </c>
      <c r="F29" s="15">
        <f t="shared" si="4"/>
        <v>9.152572997749731</v>
      </c>
      <c r="G29" s="15">
        <f t="shared" si="4"/>
        <v>8.7415514779994439</v>
      </c>
      <c r="H29" s="15">
        <f t="shared" si="4"/>
        <v>8.3435883154997317</v>
      </c>
      <c r="I29" s="15">
        <f t="shared" si="4"/>
        <v>7.9585357505000189</v>
      </c>
      <c r="J29" s="15">
        <f t="shared" si="4"/>
        <v>7.5851982792494343</v>
      </c>
      <c r="K29" s="15">
        <f t="shared" si="4"/>
        <v>7.2234769017494358</v>
      </c>
      <c r="L29" s="15">
        <f t="shared" si="4"/>
        <v>6.9987301416994505</v>
      </c>
    </row>
    <row r="30" spans="1:13" x14ac:dyDescent="0.35">
      <c r="A30" t="s">
        <v>131</v>
      </c>
      <c r="B30" s="37">
        <f>1-B29</f>
        <v>0.5</v>
      </c>
      <c r="C30" s="15">
        <f>C26</f>
        <v>10.1</v>
      </c>
      <c r="D30" s="15">
        <f t="shared" si="4"/>
        <v>10.055551160000014</v>
      </c>
      <c r="E30" s="15">
        <f t="shared" si="4"/>
        <v>9.5761991150000156</v>
      </c>
      <c r="F30" s="15">
        <f t="shared" si="4"/>
        <v>9.152572997749731</v>
      </c>
      <c r="G30" s="15">
        <f t="shared" si="4"/>
        <v>8.7415514779994439</v>
      </c>
      <c r="H30" s="15">
        <f t="shared" si="4"/>
        <v>8.3435883154997317</v>
      </c>
      <c r="I30" s="15">
        <f t="shared" si="4"/>
        <v>7.9585357505000189</v>
      </c>
      <c r="J30" s="15">
        <f t="shared" si="4"/>
        <v>7.5851982792494343</v>
      </c>
      <c r="K30" s="15">
        <f t="shared" si="4"/>
        <v>7.2234769017494358</v>
      </c>
      <c r="L30" s="15">
        <f t="shared" si="4"/>
        <v>6.9987301416994505</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0.99170409000000004</v>
      </c>
      <c r="E31" s="15">
        <f>IF(E$22&lt;&gt;"",VLOOKUP(E29*1000000,'Powell-Elevation-Area'!$B$5:$D$689,3)*$B$18/1000000 + VLOOKUP(E30*1000000,'Mead-Elevation-Area'!$B$5:$D$676,3)*$C$18/1000000,"")</f>
        <v>0.96425223450057307</v>
      </c>
      <c r="F31" s="15">
        <f>IF(F$22&lt;&gt;"",VLOOKUP(F29*1000000,'Powell-Elevation-Area'!$B$5:$D$689,3)*$B$18/1000000 + VLOOKUP(F30*1000000,'Mead-Elevation-Area'!$B$5:$D$676,3)*$C$18/1000000,"")</f>
        <v>0.939043039500573</v>
      </c>
      <c r="G31" s="15">
        <f>IF(G$22&lt;&gt;"",VLOOKUP(G29*1000000,'Powell-Elevation-Area'!$B$5:$D$689,3)*$B$18/1000000 + VLOOKUP(G30*1000000,'Mead-Elevation-Area'!$B$5:$D$676,3)*$C$18/1000000,"")</f>
        <v>0.91292632499942705</v>
      </c>
      <c r="H31" s="15">
        <f>IF(H$22&lt;&gt;"",VLOOKUP(H29*1000000,'Powell-Elevation-Area'!$B$5:$D$689,3)*$B$18/1000000 + VLOOKUP(H30*1000000,'Mead-Elevation-Area'!$B$5:$D$676,3)*$C$18/1000000,"")</f>
        <v>0.88710512999942703</v>
      </c>
      <c r="I31" s="15">
        <f>IF(I$22&lt;&gt;"",VLOOKUP(I29*1000000,'Powell-Elevation-Area'!$B$5:$D$689,3)*$B$18/1000000 + VLOOKUP(I30*1000000,'Mead-Elevation-Area'!$B$5:$D$676,3)*$C$18/1000000,"")</f>
        <v>0.86367494250117305</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0.816493520099973</v>
      </c>
      <c r="L31" s="15">
        <f>IF(L$22&lt;&gt;"",VLOOKUP(L29*1000000,'Powell-Elevation-Area'!$B$5:$D$689,3)*$B$18/1000000 + VLOOKUP(L30*1000000,'Mead-Elevation-Area'!$B$5:$D$676,3)*$C$18/1000000,"")</f>
        <v>0.80186540759997305</v>
      </c>
    </row>
    <row r="32" spans="1:13" x14ac:dyDescent="0.35">
      <c r="A32" t="s">
        <v>109</v>
      </c>
      <c r="B32" s="1"/>
      <c r="C32" s="15">
        <f>IF(C$22&lt;&gt;"",C$31*C25/C$24,"")</f>
        <v>0.5327428663506969</v>
      </c>
      <c r="D32" s="15">
        <f t="shared" ref="D32:L32" si="5">IF(D$22&lt;&gt;"",D$31*D25/D$24,"")</f>
        <v>0.51368822760888211</v>
      </c>
      <c r="E32" s="15">
        <f t="shared" si="5"/>
        <v>0.49609065775230743</v>
      </c>
      <c r="F32" s="15">
        <f t="shared" si="5"/>
        <v>0.47746806643917539</v>
      </c>
      <c r="G32" s="15">
        <f t="shared" si="5"/>
        <v>0.45847138513947755</v>
      </c>
      <c r="H32" s="15">
        <f t="shared" si="5"/>
        <v>0.43972234859185805</v>
      </c>
      <c r="I32" s="15">
        <f t="shared" si="5"/>
        <v>0.42224851933098323</v>
      </c>
      <c r="J32" s="15">
        <f t="shared" si="5"/>
        <v>0.40495140547182634</v>
      </c>
      <c r="K32" s="15">
        <f t="shared" si="5"/>
        <v>0.38740000488554738</v>
      </c>
      <c r="L32" s="15">
        <f t="shared" si="5"/>
        <v>0.36761982781336749</v>
      </c>
    </row>
    <row r="33" spans="1:13" x14ac:dyDescent="0.35">
      <c r="A33" t="s">
        <v>110</v>
      </c>
      <c r="B33" s="1"/>
      <c r="C33" s="15">
        <f>IF(C$22&lt;&gt;"",C$31*C26/C$24,"")</f>
        <v>0.48915481364927621</v>
      </c>
      <c r="D33" s="15">
        <f t="shared" ref="D33:L33" si="6">IF(D$22&lt;&gt;"",D$31*D26/D$24,"")</f>
        <v>0.47801586239111798</v>
      </c>
      <c r="E33" s="15">
        <f t="shared" si="6"/>
        <v>0.46816157674826575</v>
      </c>
      <c r="F33" s="15">
        <f t="shared" si="6"/>
        <v>0.46157497306139766</v>
      </c>
      <c r="G33" s="15">
        <f t="shared" si="6"/>
        <v>0.45445493985994956</v>
      </c>
      <c r="H33" s="15">
        <f t="shared" si="6"/>
        <v>0.44738278140756899</v>
      </c>
      <c r="I33" s="15">
        <f t="shared" si="6"/>
        <v>0.44142642317018987</v>
      </c>
      <c r="J33" s="15">
        <f t="shared" si="6"/>
        <v>0.43549134952817353</v>
      </c>
      <c r="K33" s="15">
        <f t="shared" si="6"/>
        <v>0.42909351521442557</v>
      </c>
      <c r="L33" s="15">
        <f t="shared" si="6"/>
        <v>0.4342455797866055</v>
      </c>
    </row>
    <row r="34" spans="1:13" x14ac:dyDescent="0.35">
      <c r="A34" t="s">
        <v>111</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135</v>
      </c>
      <c r="B35" s="1"/>
      <c r="C35" s="26">
        <v>1.5</v>
      </c>
      <c r="D35" s="26">
        <f>C35</f>
        <v>1.5</v>
      </c>
      <c r="E35" s="26">
        <f t="shared" ref="E35:L35" si="8">D35</f>
        <v>1.5</v>
      </c>
      <c r="F35" s="26">
        <f t="shared" si="8"/>
        <v>1.5</v>
      </c>
      <c r="G35" s="26">
        <f t="shared" si="8"/>
        <v>1.5</v>
      </c>
      <c r="H35" s="26">
        <f t="shared" si="8"/>
        <v>1.5</v>
      </c>
      <c r="I35" s="26">
        <f t="shared" si="8"/>
        <v>1.5</v>
      </c>
      <c r="J35" s="26">
        <f t="shared" si="8"/>
        <v>1.5</v>
      </c>
      <c r="K35" s="26">
        <f t="shared" si="8"/>
        <v>1.5</v>
      </c>
      <c r="L35" s="26">
        <f t="shared" si="8"/>
        <v>1.5</v>
      </c>
    </row>
    <row r="36" spans="1:13" x14ac:dyDescent="0.35">
      <c r="A36" s="1" t="s">
        <v>150</v>
      </c>
      <c r="B36" s="1"/>
      <c r="C36" s="15">
        <f>IF(C$22&lt;&gt;"",C22-C35/2,"")</f>
        <v>11.65</v>
      </c>
      <c r="D36" s="15">
        <f t="shared" ref="D36:L36" si="9">IF(D$22&lt;&gt;"",D22-D35/2,"")</f>
        <v>11.65</v>
      </c>
      <c r="E36" s="15">
        <f t="shared" si="9"/>
        <v>11.65</v>
      </c>
      <c r="F36" s="15">
        <f t="shared" si="9"/>
        <v>11.65</v>
      </c>
      <c r="G36" s="15">
        <f t="shared" si="9"/>
        <v>11.65</v>
      </c>
      <c r="H36" s="15">
        <f t="shared" si="9"/>
        <v>11.65</v>
      </c>
      <c r="I36" s="15">
        <f t="shared" si="9"/>
        <v>11.65</v>
      </c>
      <c r="J36" s="15">
        <f t="shared" si="9"/>
        <v>11.65</v>
      </c>
      <c r="K36" s="15">
        <f t="shared" si="9"/>
        <v>11.65</v>
      </c>
      <c r="L36" s="15">
        <f t="shared" si="9"/>
        <v>11.65</v>
      </c>
    </row>
    <row r="37" spans="1:13" x14ac:dyDescent="0.35">
      <c r="A37" t="s">
        <v>0</v>
      </c>
      <c r="B37" s="25"/>
      <c r="C37" s="15">
        <f>IF(C21&lt;&gt;"",MAX(0,C36-C38),"")</f>
        <v>4.1500000000000004</v>
      </c>
      <c r="D37" s="15">
        <f t="shared" ref="D37:L37" si="10">IF(D21&lt;&gt;"",MAX(0,D36-D38),"")</f>
        <v>4.1500000000000004</v>
      </c>
      <c r="E37" s="15">
        <f t="shared" si="10"/>
        <v>4.1500000000000004</v>
      </c>
      <c r="F37" s="15">
        <f t="shared" si="10"/>
        <v>4.1500000000000004</v>
      </c>
      <c r="G37" s="15">
        <f t="shared" si="10"/>
        <v>4.1500000000000004</v>
      </c>
      <c r="H37" s="15">
        <f t="shared" si="10"/>
        <v>4.1500000000000004</v>
      </c>
      <c r="I37" s="15">
        <f t="shared" si="10"/>
        <v>4.1500000000000004</v>
      </c>
      <c r="J37" s="15">
        <f t="shared" si="10"/>
        <v>4.1500000000000004</v>
      </c>
      <c r="K37" s="15">
        <f t="shared" si="10"/>
        <v>4.1500000000000004</v>
      </c>
      <c r="L37" s="15">
        <f t="shared" si="10"/>
        <v>4.1500000000000004</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14.617257133649304</v>
      </c>
      <c r="D45" s="15">
        <f t="shared" ref="D45:L45" si="12">IF(D$22&lt;&gt;"",D25+D37-D32-D40,"")</f>
        <v>14.053568906040422</v>
      </c>
      <c r="E45" s="15">
        <f t="shared" si="12"/>
        <v>13.507478248288116</v>
      </c>
      <c r="F45" s="15">
        <f t="shared" si="12"/>
        <v>12.980010181848941</v>
      </c>
      <c r="G45" s="15">
        <f t="shared" si="12"/>
        <v>12.471538796709464</v>
      </c>
      <c r="H45" s="15">
        <f t="shared" si="12"/>
        <v>11.981816448117607</v>
      </c>
      <c r="I45" s="15">
        <f t="shared" si="12"/>
        <v>11.509567928786625</v>
      </c>
      <c r="J45" s="15">
        <f t="shared" si="12"/>
        <v>11.054616523314801</v>
      </c>
      <c r="K45" s="15">
        <f t="shared" si="12"/>
        <v>10.617216518429254</v>
      </c>
      <c r="L45" s="15">
        <f t="shared" si="12"/>
        <v>10.199596690615888</v>
      </c>
    </row>
    <row r="46" spans="1:13" x14ac:dyDescent="0.35">
      <c r="A46" t="s">
        <v>3</v>
      </c>
      <c r="C46" s="15">
        <f>IF(C$22&lt;&gt;"",C26+C38-C33+C40+C42+C23-C35/2,"")</f>
        <v>17.160845186350727</v>
      </c>
      <c r="D46" s="15">
        <f t="shared" ref="D46:L46" si="13">IF(D$22&lt;&gt;"",D26+D38-D33+D40+D42+D23-D35/2,"")</f>
        <v>16.765829323959611</v>
      </c>
      <c r="E46" s="15">
        <f t="shared" si="13"/>
        <v>16.380667747211344</v>
      </c>
      <c r="F46" s="15">
        <f t="shared" si="13"/>
        <v>16.086092774149947</v>
      </c>
      <c r="G46" s="15">
        <f t="shared" si="13"/>
        <v>15.798637834289998</v>
      </c>
      <c r="H46" s="15">
        <f t="shared" si="13"/>
        <v>15.518255052882431</v>
      </c>
      <c r="I46" s="15">
        <f t="shared" si="13"/>
        <v>15.243828629712242</v>
      </c>
      <c r="J46" s="15">
        <f t="shared" si="13"/>
        <v>14.975337280184069</v>
      </c>
      <c r="K46" s="15">
        <f t="shared" si="13"/>
        <v>14.713243764969645</v>
      </c>
      <c r="L46" s="15">
        <f t="shared" si="13"/>
        <v>14.695998185183042</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26">
        <v>4.2</v>
      </c>
      <c r="D49" s="26">
        <f>C49</f>
        <v>4.2</v>
      </c>
      <c r="E49" s="26">
        <f>D49</f>
        <v>4.2</v>
      </c>
      <c r="F49" s="26">
        <f t="shared" ref="F49:L49" si="15">E49</f>
        <v>4.2</v>
      </c>
      <c r="G49" s="26">
        <f t="shared" si="15"/>
        <v>4.2</v>
      </c>
      <c r="H49" s="26">
        <f t="shared" si="15"/>
        <v>4.2</v>
      </c>
      <c r="I49" s="26">
        <f t="shared" si="15"/>
        <v>4.2</v>
      </c>
      <c r="J49" s="26">
        <f t="shared" si="15"/>
        <v>4.2</v>
      </c>
      <c r="K49" s="26">
        <f t="shared" si="15"/>
        <v>4.2</v>
      </c>
      <c r="L49" s="26">
        <f t="shared" si="15"/>
        <v>4.2</v>
      </c>
      <c r="N49" s="1" t="s">
        <v>144</v>
      </c>
    </row>
    <row r="50" spans="1:18" x14ac:dyDescent="0.35">
      <c r="A50" t="s">
        <v>153</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6.5330000000000004</v>
      </c>
      <c r="L50" s="45">
        <f t="shared" si="16"/>
        <v>6.5330000000000004</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f>C52</f>
        <v>1.5</v>
      </c>
      <c r="E52" s="26">
        <f>D52</f>
        <v>1.5</v>
      </c>
      <c r="F52" s="26">
        <f t="shared" ref="F52:L52" si="19">E52</f>
        <v>1.5</v>
      </c>
      <c r="G52" s="26">
        <f t="shared" si="19"/>
        <v>1.5</v>
      </c>
      <c r="H52" s="26">
        <f t="shared" si="19"/>
        <v>1.5</v>
      </c>
      <c r="I52" s="26">
        <f t="shared" si="19"/>
        <v>1.5</v>
      </c>
      <c r="J52" s="26">
        <f t="shared" si="19"/>
        <v>1.5</v>
      </c>
      <c r="K52" s="26">
        <f t="shared" si="19"/>
        <v>1.5</v>
      </c>
      <c r="L52" s="26">
        <f t="shared" si="19"/>
        <v>1.5</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10.417257133649304</v>
      </c>
      <c r="D54" s="15">
        <f t="shared" ref="D54:L54" si="20">IF(D$22&lt;&gt;"",D45-D49,"")</f>
        <v>9.8535689060404223</v>
      </c>
      <c r="E54" s="15">
        <f t="shared" si="20"/>
        <v>9.3074782482881169</v>
      </c>
      <c r="F54" s="15">
        <f t="shared" si="20"/>
        <v>8.7800101818489402</v>
      </c>
      <c r="G54" s="15">
        <f t="shared" si="20"/>
        <v>8.2715387967094642</v>
      </c>
      <c r="H54" s="15">
        <f t="shared" si="20"/>
        <v>7.7818164481176071</v>
      </c>
      <c r="I54" s="15">
        <f t="shared" si="20"/>
        <v>7.3095679287866249</v>
      </c>
      <c r="J54" s="15">
        <f t="shared" si="20"/>
        <v>6.8546165233148004</v>
      </c>
      <c r="K54" s="15">
        <f t="shared" si="20"/>
        <v>6.417216518429254</v>
      </c>
      <c r="L54" s="15">
        <f t="shared" si="20"/>
        <v>5.9995966906158875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K55" si="21">IF(D$22&lt;&gt;"",D46-D50-D51,"")</f>
        <v>9.2988293239596107</v>
      </c>
      <c r="E55" s="15">
        <f t="shared" si="21"/>
        <v>8.9976677472113451</v>
      </c>
      <c r="F55" s="15">
        <f t="shared" si="21"/>
        <v>8.7030927741499475</v>
      </c>
      <c r="G55" s="15">
        <f t="shared" si="21"/>
        <v>8.4156378342899991</v>
      </c>
      <c r="H55" s="15">
        <f t="shared" si="21"/>
        <v>8.1352550528824317</v>
      </c>
      <c r="I55" s="15">
        <f t="shared" si="21"/>
        <v>7.8608286297122429</v>
      </c>
      <c r="J55" s="15">
        <f t="shared" si="21"/>
        <v>7.5923372801840703</v>
      </c>
      <c r="K55" s="15">
        <f t="shared" si="21"/>
        <v>7.5802437649696461</v>
      </c>
      <c r="L55" s="15">
        <f>IF(L$22&lt;&gt;"",L46-L50-L51,"")</f>
        <v>7.5629981851830426</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20.111102320000029</v>
      </c>
      <c r="D57" s="15">
        <f t="shared" ref="D57:L57" si="23">IF(D$22&lt;&gt;"",SUM(D54:D56),"")</f>
        <v>19.152398230000031</v>
      </c>
      <c r="E57" s="15">
        <f t="shared" si="23"/>
        <v>18.305145995499462</v>
      </c>
      <c r="F57" s="15">
        <f t="shared" si="23"/>
        <v>17.483102955998888</v>
      </c>
      <c r="G57" s="15">
        <f t="shared" si="23"/>
        <v>16.687176630999463</v>
      </c>
      <c r="H57" s="15">
        <f t="shared" si="23"/>
        <v>15.917071501000038</v>
      </c>
      <c r="I57" s="15">
        <f t="shared" si="23"/>
        <v>15.170396558498869</v>
      </c>
      <c r="J57" s="15">
        <f t="shared" si="23"/>
        <v>14.446953803498872</v>
      </c>
      <c r="K57" s="15">
        <f t="shared" si="23"/>
        <v>13.997460283398901</v>
      </c>
      <c r="L57" s="15">
        <f t="shared" si="23"/>
        <v>13.562594875798929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6.7330000000000005</v>
      </c>
      <c r="L60" s="15">
        <f t="shared" si="25"/>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137</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Charts</vt:lpstr>
      </vt:variant>
      <vt:variant>
        <vt:i4>2</vt:i4>
      </vt:variant>
    </vt:vector>
  </HeadingPairs>
  <TitlesOfParts>
    <vt:vector size="10" baseType="lpstr">
      <vt:lpstr>ReadMe-Directions</vt:lpstr>
      <vt:lpstr>Master</vt:lpstr>
      <vt:lpstr>11.0-Trade</vt:lpstr>
      <vt:lpstr>11.0-LawOfRiver</vt:lpstr>
      <vt:lpstr>Millenium-LawOfRiver</vt:lpstr>
      <vt:lpstr>HydrologicScenarios</vt:lpstr>
      <vt:lpstr>Powell-Elevation-Area</vt:lpstr>
      <vt:lpstr>Mead-Elevation-Area</vt:lpstr>
      <vt:lpstr>11.0-PlotUse</vt:lpstr>
      <vt:lpstr>11.0-PlotStorage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2021-05-19T23:13:26Z</dcterms:modified>
</cp:coreProperties>
</file>